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Inputs" sheetId="2" r:id="rId6"/>
    <sheet state="visible" name="IncomeExpenses" sheetId="3" r:id="rId7"/>
    <sheet state="visible" name="Notes" sheetId="4" r:id="rId8"/>
    <sheet state="visible" name="Monthly CF" sheetId="5" r:id="rId9"/>
    <sheet state="visible" name="Quarterly CF" sheetId="6" r:id="rId10"/>
    <sheet state="visible" name="Annual CF" sheetId="7" r:id="rId11"/>
    <sheet state="visible" name="Equity Waterfall" sheetId="8" r:id="rId12"/>
  </sheets>
  <definedNames/>
  <calcPr/>
</workbook>
</file>

<file path=xl/sharedStrings.xml><?xml version="1.0" encoding="utf-8"?>
<sst xmlns="http://schemas.openxmlformats.org/spreadsheetml/2006/main" count="845" uniqueCount="421">
  <si>
    <t>INVESTMENT SUMMARY</t>
  </si>
  <si>
    <t>DEAL OVERVIEW</t>
  </si>
  <si>
    <t>WATERFALL RETURN</t>
  </si>
  <si>
    <t xml:space="preserve">  Purchase Price</t>
  </si>
  <si>
    <t>LP (Capital Partner)</t>
  </si>
  <si>
    <t xml:space="preserve">  Number of Units</t>
  </si>
  <si>
    <t xml:space="preserve">  IRR</t>
  </si>
  <si>
    <t xml:space="preserve">  Total Equity Required</t>
  </si>
  <si>
    <t xml:space="preserve">  Equity Multiple</t>
  </si>
  <si>
    <t xml:space="preserve">  Total Debt (Acquisition)</t>
  </si>
  <si>
    <t xml:space="preserve">  Total Distributions</t>
  </si>
  <si>
    <t xml:space="preserve">  LTV</t>
  </si>
  <si>
    <t xml:space="preserve">  Equity Invested</t>
  </si>
  <si>
    <t xml:space="preserve">  Price Per Unit</t>
  </si>
  <si>
    <t>GP (Manager)</t>
  </si>
  <si>
    <t xml:space="preserve">  Year 1 Cap Rate</t>
  </si>
  <si>
    <t xml:space="preserve">  Hold Period</t>
  </si>
  <si>
    <t xml:space="preserve">  Refi Year</t>
  </si>
  <si>
    <t xml:space="preserve">  Exit Cap Rate</t>
  </si>
  <si>
    <t>SOURCES &amp; USES</t>
  </si>
  <si>
    <t>KEY PERFORMANCE METRICS</t>
  </si>
  <si>
    <t xml:space="preserve">  Year 1 NOI</t>
  </si>
  <si>
    <t xml:space="preserve">  Closing Costs</t>
  </si>
  <si>
    <t xml:space="preserve">  Year 1 DSCR</t>
  </si>
  <si>
    <t xml:space="preserve">  Due Diligence</t>
  </si>
  <si>
    <t xml:space="preserve">  Year 1 Cash-on-Cash</t>
  </si>
  <si>
    <t xml:space="preserve">  Loan Origination</t>
  </si>
  <si>
    <t xml:space="preserve">  Immediate Repairs</t>
  </si>
  <si>
    <t xml:space="preserve">  10-Year Total NOI</t>
  </si>
  <si>
    <t xml:space="preserve">  TOTAL USES</t>
  </si>
  <si>
    <t xml:space="preserve">  10-Year Total CFAD</t>
  </si>
  <si>
    <t>Funded By</t>
  </si>
  <si>
    <t xml:space="preserve">  Exit Selling Price</t>
  </si>
  <si>
    <t xml:space="preserve">  Seller Finance</t>
  </si>
  <si>
    <t xml:space="preserve">  Net Sale Proceeds</t>
  </si>
  <si>
    <t xml:space="preserve">  Bank Loan</t>
  </si>
  <si>
    <t>Feasibility Checks</t>
  </si>
  <si>
    <t xml:space="preserve">  Equity</t>
  </si>
  <si>
    <t xml:space="preserve">  Year 1 DSCR ≥ 1.25x?</t>
  </si>
  <si>
    <t xml:space="preserve">  Year 1 CF &gt; $0?</t>
  </si>
  <si>
    <t>10-YEAR ANNUAL SNAPSHOT</t>
  </si>
  <si>
    <t>Metric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</si>
  <si>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</si>
  <si>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</si>
  <si>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</si>
  <si>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</si>
  <si>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</si>
  <si>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</si>
  <si>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</si>
  <si>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</si>
  <si>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</si>
  <si>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</si>
  <si>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 xml:space="preserve">  NOI</t>
  </si>
  <si>
    <t xml:space="preserve">  CF Before Debt</t>
  </si>
  <si>
    <t xml:space="preserve">  CF After Debt</t>
  </si>
  <si>
    <t xml:space="preserve">  DSCR</t>
  </si>
  <si>
    <t xml:space="preserve">  LP Distributions</t>
  </si>
  <si>
    <t xml:space="preserve">  GP Distributions</t>
  </si>
  <si>
    <t xml:space="preserve">  Cumulative CF</t>
  </si>
  <si>
    <t>PROJECT-LEVEL RETURNS</t>
  </si>
  <si>
    <t>FINANCING SUMMARY</t>
  </si>
  <si>
    <t xml:space="preserve">  Project IRR</t>
  </si>
  <si>
    <t xml:space="preserve">  Project Equity Multiple</t>
  </si>
  <si>
    <t xml:space="preserve">    Rate / Amort / Balloon</t>
  </si>
  <si>
    <t xml:space="preserve">  Total Distributable Cash</t>
  </si>
  <si>
    <t xml:space="preserve">  Total LP Distributions</t>
  </si>
  <si>
    <t xml:space="preserve">  Total GP Distributions</t>
  </si>
  <si>
    <t xml:space="preserve">  Refi Loan (Year 6)</t>
  </si>
  <si>
    <t xml:space="preserve">    Rate / Amort / Term</t>
  </si>
  <si>
    <t>MODEL NOTES &amp; ASSUMPTIONS</t>
  </si>
  <si>
    <t>• Revenue and expenses grow annually at rates defined in the Inputs sheet; Year 1 figures are based on T-12 proforma</t>
  </si>
  <si>
    <t>• Seller Finance and Bank Loan fund at acquisition; Refinance replaces Bank Loan at the designated Refi Year</t>
  </si>
  <si>
    <t>• Capital expenditures: Year 1 uses dedicated CapEx input; Years 2-5 and 6-10 use separate annual assumptions</t>
  </si>
  <si>
    <t>• DSCR = NOI ÷ Total Debt Service (absolute value); target ≥ 1.25x for bankability</t>
  </si>
  <si>
    <t>• Net Sale Proceeds = Selling Price − Selling Costs at exit; Sale Year NOI capitalized at Exit Cap Rate</t>
  </si>
  <si>
    <t>• All green values are formula-linked to Inputs, Monthly CF, Annual CF, or Equity Waterfall — change inputs to rerun</t>
  </si>
  <si>
    <t>COMMERCIAL REAL ESTATE UNDERWRITING MODEL</t>
  </si>
  <si>
    <t>INPUT ASSUMPTIONS  |  All blue cells are inputs</t>
  </si>
  <si>
    <t>SECTION 1  ·  PROPERTY INFORMATION</t>
  </si>
  <si>
    <t>Property Name</t>
  </si>
  <si>
    <t>Property Type</t>
  </si>
  <si>
    <t>Address</t>
  </si>
  <si>
    <t>City / State</t>
  </si>
  <si>
    <t>Number of Units</t>
  </si>
  <si>
    <t>Purchase Price</t>
  </si>
  <si>
    <t>Amount ($)</t>
  </si>
  <si>
    <t>Down Payment (%)</t>
  </si>
  <si>
    <t>Due Diligence Costs (%)</t>
  </si>
  <si>
    <t>Loan Origination Costs (%)</t>
  </si>
  <si>
    <t>Purchase Date</t>
  </si>
  <si>
    <t>End Year</t>
  </si>
  <si>
    <t>Refi Year</t>
  </si>
  <si>
    <t>SECTION 2  ·  REVENUE ASSUMPTIONS</t>
  </si>
  <si>
    <t>T12</t>
  </si>
  <si>
    <t>% Change</t>
  </si>
  <si>
    <t>Proforma Y-1</t>
  </si>
  <si>
    <t>Enter monthly T12 averages; model annualizes and projects forward</t>
  </si>
  <si>
    <t xml:space="preserve">  Gross Potential Rent</t>
  </si>
  <si>
    <t xml:space="preserve">  Vacancy (%)</t>
  </si>
  <si>
    <t xml:space="preserve">  Credit Loss (%)</t>
  </si>
  <si>
    <t xml:space="preserve">  SUM Income</t>
  </si>
  <si>
    <t xml:space="preserve">  Annual Revenue Growth Rate</t>
  </si>
  <si>
    <t xml:space="preserve">  Revenue Start Month</t>
  </si>
  <si>
    <t>SECTION 3  ·  EXPENSE ASSUMPTIONS</t>
  </si>
  <si>
    <t xml:space="preserve">  Property Management Fee (%EGI)</t>
  </si>
  <si>
    <t xml:space="preserve">  SUM Expenses</t>
  </si>
  <si>
    <t xml:space="preserve">  Annual Expense Growth Rate</t>
  </si>
  <si>
    <t xml:space="preserve">  Expense Start Month</t>
  </si>
  <si>
    <t>SECTION 4  ·  CAPITAL EXPENDITURES</t>
  </si>
  <si>
    <t>Amount</t>
  </si>
  <si>
    <t>Month</t>
  </si>
  <si>
    <t xml:space="preserve">  CapEx Item 1</t>
  </si>
  <si>
    <t xml:space="preserve">  CapEx Item 2</t>
  </si>
  <si>
    <t xml:space="preserve">  CapEx Item 3</t>
  </si>
  <si>
    <t xml:space="preserve">  CapEx Item 4</t>
  </si>
  <si>
    <t xml:space="preserve">  CapEx Item 5</t>
  </si>
  <si>
    <t xml:space="preserve">  CapEx Item 6</t>
  </si>
  <si>
    <t>SECTION 5  ·  FUNDING &amp; DEBT ASSUMPTIONS</t>
  </si>
  <si>
    <t>Acquisition - Seller Finance</t>
  </si>
  <si>
    <t xml:space="preserve">  Seller Finance Amount</t>
  </si>
  <si>
    <t xml:space="preserve">  Seller Finance Interest Rate</t>
  </si>
  <si>
    <t xml:space="preserve">  Seller Finance Amortization (Yrs)</t>
  </si>
  <si>
    <t xml:space="preserve">  Seller Finance Balloon at EOY</t>
  </si>
  <si>
    <t xml:space="preserve">  Seller Finance IO Period (Mos)</t>
  </si>
  <si>
    <t xml:space="preserve">  Seller Finance Origination Month</t>
  </si>
  <si>
    <t xml:space="preserve">  Seller Finance PMT Start Month</t>
  </si>
  <si>
    <t>Bank Loan Amount</t>
  </si>
  <si>
    <t xml:space="preserve">  Bank Loan Interest Rate</t>
  </si>
  <si>
    <t xml:space="preserve">  Bank Loan Amortization (Yrs)</t>
  </si>
  <si>
    <t xml:space="preserve">  Bank Loan Balloon at EOY</t>
  </si>
  <si>
    <t xml:space="preserve">  Bank Loan IO Period (Mos)</t>
  </si>
  <si>
    <t xml:space="preserve">  Bank Loan Origination Month</t>
  </si>
  <si>
    <t xml:space="preserve">  Bank Loan PMT Start Month</t>
  </si>
  <si>
    <t>Refinance Loan (Replaces Bank Loan)</t>
  </si>
  <si>
    <t xml:space="preserve">  Refi Cap Rate (%)</t>
  </si>
  <si>
    <t xml:space="preserve">  Refi LTV (%)</t>
  </si>
  <si>
    <t xml:space="preserve">  Refi Closing Cost (%)</t>
  </si>
  <si>
    <t xml:space="preserve">  Refi Property Value</t>
  </si>
  <si>
    <t xml:space="preserve">  Refi Closing Costs ($)</t>
  </si>
  <si>
    <t xml:space="preserve">  Refi Loan Amount</t>
  </si>
  <si>
    <t xml:space="preserve">  Refi Interest Rate</t>
  </si>
  <si>
    <t xml:space="preserve">  Refi Amortization (Yrs)</t>
  </si>
  <si>
    <t xml:space="preserve">  Refi Term (Yrs)</t>
  </si>
  <si>
    <t xml:space="preserve">  Refi IO Period (Mos)</t>
  </si>
  <si>
    <t>Sources &amp; Uses</t>
  </si>
  <si>
    <t>Uses</t>
  </si>
  <si>
    <t>Total Cost</t>
  </si>
  <si>
    <t>Seller Finance</t>
  </si>
  <si>
    <t>Bank Loan</t>
  </si>
  <si>
    <t>Equity</t>
  </si>
  <si>
    <t xml:space="preserve">  Acquisition Fee</t>
  </si>
  <si>
    <t xml:space="preserve">  Due Diligence Costs</t>
  </si>
  <si>
    <t xml:space="preserve">  Loan Origination Costs</t>
  </si>
  <si>
    <t xml:space="preserve">  Immediate Repairs / Reserves</t>
  </si>
  <si>
    <t xml:space="preserve">  TOTAL</t>
  </si>
  <si>
    <t>SECTION 6  ·  ACQUISITION &amp; EQUITY</t>
  </si>
  <si>
    <t xml:space="preserve">  Equity Contribution</t>
  </si>
  <si>
    <t xml:space="preserve">  Capital Partner Contribution ($)</t>
  </si>
  <si>
    <t xml:space="preserve">  Manager Contribution ($)</t>
  </si>
  <si>
    <t xml:space="preserve">  Capital Partner Share (%)</t>
  </si>
  <si>
    <t xml:space="preserve">  Manager Share (%)</t>
  </si>
  <si>
    <t xml:space="preserve">  Asset Management Fee (% EGI)</t>
  </si>
  <si>
    <t xml:space="preserve">  Acquisition Fee (% Purchase)</t>
  </si>
  <si>
    <t>SECTION 7  ·  DISPOSITION / EXIT</t>
  </si>
  <si>
    <t xml:space="preserve">  Exit Cap Rate (%)</t>
  </si>
  <si>
    <t xml:space="preserve">  Selling Cost (% of Sale Price)</t>
  </si>
  <si>
    <t>Calculated Exit Values</t>
  </si>
  <si>
    <t xml:space="preserve">  Selling Price</t>
  </si>
  <si>
    <t xml:space="preserve">  Selling Costs ($)</t>
  </si>
  <si>
    <t>SECTION 8  ·  EQUITY WATERFALL</t>
  </si>
  <si>
    <t xml:space="preserve">  Preferred Return (Annual)</t>
  </si>
  <si>
    <t xml:space="preserve">  GP Catch-Up Share (%)</t>
  </si>
  <si>
    <t xml:space="preserve">  GP Catch-Up Target (%)</t>
  </si>
  <si>
    <t xml:space="preserve">  IRR Hurdle</t>
  </si>
  <si>
    <t>Tier Distribution Splits</t>
  </si>
  <si>
    <t>LP %</t>
  </si>
  <si>
    <t>GP %</t>
  </si>
  <si>
    <t xml:space="preserve">  1. Return of Capital</t>
  </si>
  <si>
    <t xml:space="preserve">  2. Preferred Return</t>
  </si>
  <si>
    <t xml:space="preserve">  3. GP Catch-Up</t>
  </si>
  <si>
    <t xml:space="preserve">  4. Residual (below IRR hurdle)</t>
  </si>
  <si>
    <t xml:space="preserve">  5. Residual (above IRR hurdle)</t>
  </si>
  <si>
    <t>COLOR LEGEND</t>
  </si>
  <si>
    <t>Blue = Input / Assumption (edit these)</t>
  </si>
  <si>
    <t>Green = Linked from another sheet</t>
  </si>
  <si>
    <t>Black = Calculated formula (do not edit)</t>
  </si>
  <si>
    <t>SECTION 1  ·  REVENUE ASSUMPTIONS</t>
  </si>
  <si>
    <t>Late Fees</t>
  </si>
  <si>
    <t>Lot Rent</t>
  </si>
  <si>
    <t>Down Payment Income</t>
  </si>
  <si>
    <t>Waste Removal Utility Income</t>
  </si>
  <si>
    <t>Home Sales</t>
  </si>
  <si>
    <t>Eviction Fees Collected</t>
  </si>
  <si>
    <t>SECTION 2  ·  EXPENSE ASSUMPTIONS</t>
  </si>
  <si>
    <t>Property Tax</t>
  </si>
  <si>
    <t>Insurance</t>
  </si>
  <si>
    <t>Repairs</t>
  </si>
  <si>
    <t>Utilities</t>
  </si>
  <si>
    <t>Capital Expenditures</t>
  </si>
  <si>
    <t>Landscape</t>
  </si>
  <si>
    <t>Legal Fees</t>
  </si>
  <si>
    <t>Sheriff Eviction Fee</t>
  </si>
  <si>
    <t>CAM - Insurance</t>
  </si>
  <si>
    <t>Other CAM Expenses</t>
  </si>
  <si>
    <t>Software</t>
  </si>
  <si>
    <t>Bad Debt</t>
  </si>
  <si>
    <t>Purchase mobile home</t>
  </si>
  <si>
    <t>Move and Install Mobile Home</t>
  </si>
  <si>
    <t>Mobile Home Pad Preparation</t>
  </si>
  <si>
    <t>Mobile home park permit</t>
  </si>
  <si>
    <t>Septic Maintenance and Repair</t>
  </si>
  <si>
    <t>Purchase Vehicle</t>
  </si>
  <si>
    <t>Mobile home building permit</t>
  </si>
  <si>
    <t>Remove mobile home</t>
  </si>
  <si>
    <t>NOTES FOR PEDRO – What Data Does the Client Give Us?</t>
  </si>
  <si>
    <t>Hey Pedro! This document explains what information we need from the client so we can plug it into our model.</t>
  </si>
  <si>
    <t>The "Inputs" sheet is where ALL the client data goes. Think of it as the control panel — everything we type there drives the entire model.</t>
  </si>
  <si>
    <t>Blue cells = things we type in (client data or our assumptions).  Black cells = the model calculates automatically.  Green cells = pulled from other sheets.</t>
  </si>
  <si>
    <t>Below is a section-by-section breakdown of what the client provides and where it goes.</t>
  </si>
  <si>
    <t>═══════════════════════════════════════════════════════════════════</t>
  </si>
  <si>
    <t>SECTION 1 · PROPERTY INFORMATION  (Inputs sheet, rows 5–16)</t>
  </si>
  <si>
    <t>This is basic info about the property the client wants to buy. Ask the client for:</t>
  </si>
  <si>
    <t xml:space="preserve">   •  Property Name (cell C5) — What is the property called? Example: "High Land Park"</t>
  </si>
  <si>
    <t xml:space="preserve">   •  Property Type (cell C6) — What kind of property? Example: "RV Park", "Apartment", "Retail"</t>
  </si>
  <si>
    <t xml:space="preserve">   •  Address (cell C7) — Street address of the property</t>
  </si>
  <si>
    <t xml:space="preserve">   •  City / State (cell C8) — Example: "Dallas, TX"</t>
  </si>
  <si>
    <t xml:space="preserve">   •  Number of Units (cell C9) — How many units (apartments, RV pads, etc.) does the property have?</t>
  </si>
  <si>
    <t xml:space="preserve">   •  Purchase Price (cell C10) — How much is the client paying for the property? This is the big number. Example: $1,100,000</t>
  </si>
  <si>
    <t xml:space="preserve">   •  Down Payment % (cell C11) — What percentage of the price is cash upfront? Example: 20%</t>
  </si>
  <si>
    <t xml:space="preserve">   •  Due Diligence Costs (cell D12) — Dollar amount spent on inspections, appraisals, etc. before buying</t>
  </si>
  <si>
    <t xml:space="preserve">   •  Loan Origination Costs % (cell C13) — Bank fee for setting up the loan. Example: 1%</t>
  </si>
  <si>
    <t xml:space="preserve">   •  Purchase Date (cell C14) — When is the deal closing? Enter as a date (e.g., 01/01/2025)</t>
  </si>
  <si>
    <t xml:space="preserve">   •  End Year (cell C15) — How many years will we hold this property? Example: 10 (meaning we sell after 10 years)</t>
  </si>
  <si>
    <t xml:space="preserve">   •  Refi Year (cell C16) — In which year do we plan to refinance the loan? Example: Year 5</t>
  </si>
  <si>
    <t>SECTION 2 · REVENUE ASSUMPTIONS  (Inputs sheet, rows 20–29)</t>
  </si>
  <si>
    <t>This is about money coming IN — how much rent and other income the property earns.</t>
  </si>
  <si>
    <t>The client gives us a "T12" which means the last 12 months of actual income/expense data. These are YEARLY totals. Our cash flow (CF) sheets divide by 12 to get monthly figures.</t>
  </si>
  <si>
    <t xml:space="preserve">   •  Gross Potential Rent (cell C20) — Yearly rent income if every unit were occupied and everyone paid. Example: $175,000/year</t>
  </si>
  <si>
    <t xml:space="preserve">   •  Vacancy % (cell C21) — What % of units are typically empty? Example: 2.5% means about 1 out of 40 units sits vacant</t>
  </si>
  <si>
    <t xml:space="preserve">   •  Credit Loss % (cell C22) — What % of tenants don't pay their rent? Example: 2.0%</t>
  </si>
  <si>
    <t xml:space="preserve">   •  Other Income (cells C23–C27) — Any extra income like parking fees, laundry machines, misc fees. Enter yearly amounts.</t>
  </si>
  <si>
    <t>SECTION 3 · EXPENSE ASSUMPTIONS  (Inputs sheet, rows 32–48)</t>
  </si>
  <si>
    <t>This is about money going OUT — what it costs to run the property each month.</t>
  </si>
  <si>
    <t>Again, the client's T12 report gives us these. Enter yearly totals (the CF sheets divide by 12 for monthly):</t>
  </si>
  <si>
    <t xml:space="preserve">   •  Property Taxes (cell C32) — Yearly property tax amount</t>
  </si>
  <si>
    <t xml:space="preserve">   •  Insurance (cell C33) — Yearly insurance premium</t>
  </si>
  <si>
    <t xml:space="preserve">   •  Property Management Fee (cell C34) — As a % of income collected (EGI). Example: 8% means the manager gets 8 cents of every dollar</t>
  </si>
  <si>
    <t xml:space="preserve">   •  Repairs &amp; Maintenance (cell C35) — Yearly amount for fixing things</t>
  </si>
  <si>
    <t xml:space="preserve">   •  Utilities (cell C36) — Electric, water, gas, etc.</t>
  </si>
  <si>
    <t xml:space="preserve">   •  Landscaping / Janitorial (cell C37) — Groundskeeping and cleaning costs</t>
  </si>
  <si>
    <t xml:space="preserve">   •  Admin &amp; Marketing (cell C38) — Office costs, advertising to fill vacancies</t>
  </si>
  <si>
    <t xml:space="preserve">   •  Reserves for Replacement (cell C39) — Money set aside for big future repairs (roof, HVAC, etc.)</t>
  </si>
  <si>
    <t xml:space="preserve">   •  Other Expenses (cells C40–C46) — Pest control, security, trash, legal fees, turnover costs, permits, etc.</t>
  </si>
  <si>
    <t>SECTION 4 · CAPITAL EXPENDITURES  (Inputs sheet, rows 51–56)</t>
  </si>
  <si>
    <t>These are big one-time improvement projects (not regular repairs). Think renovations, upgrades, new equipment.</t>
  </si>
  <si>
    <t>Ask the client: "What renovation or improvement projects are planned, how much will each cost, and when?"</t>
  </si>
  <si>
    <t xml:space="preserve">   •  CapEx Item 1–6 (cells B51:B56) — Description of each project. Example: "Unit Renovations", "New Roof"</t>
  </si>
  <si>
    <t xml:space="preserve">   •  Amount (cells C51:C56) — How much does each project cost? Example: $10,000</t>
  </si>
  <si>
    <t xml:space="preserve">   •  Month (cells D51:D56) — Which month should we schedule this expense? Month 1 = first month after purchase</t>
  </si>
  <si>
    <t>SECTION 5 · FUNDING &amp; DEBT ASSUMPTIONS  (Inputs sheet, rows 59–88)</t>
  </si>
  <si>
    <t>This is about HOW the purchase is being paid for — the loans and their terms.</t>
  </si>
  <si>
    <t>Most deals have two parts: a Seller Finance loan (seller lends part) and a Bank Loan (bank lends the rest).</t>
  </si>
  <si>
    <t xml:space="preserve">   SELLER FINANCE (rows 60–66) — When the seller agrees to lend part of the purchase price:</t>
  </si>
  <si>
    <t xml:space="preserve">   •  Interest Rate (cell C61) — What interest rate does the seller charge? Example: 5%</t>
  </si>
  <si>
    <t xml:space="preserve">   •  Amortization (cell C62) — Over how many years is the loan spread out? Example: 25 years</t>
  </si>
  <si>
    <t xml:space="preserve">   •  IO Period in Months (cell C64) — "Interest Only" period = months where you only pay interest, not principal. 0 = pay both right away</t>
  </si>
  <si>
    <t xml:space="preserve">   •  Origination Month (cell C65) — Which month does this loan start? Usually month 1</t>
  </si>
  <si>
    <t xml:space="preserve">   •  PMT Start Month (cell C66) — Which month do payments begin? Sometimes there's a grace period</t>
  </si>
  <si>
    <t xml:space="preserve">   BANK LOAN (rows 69–75) — Same exact fields as above, but for the bank's portion:</t>
  </si>
  <si>
    <t xml:space="preserve">   •  Interest Rate (cell C70), Amortization (cell C71), IO Period (cell C73), Origination Month (cell C74), PMT Start (cell C75)</t>
  </si>
  <si>
    <t xml:space="preserve">   REFINANCE LOAN (rows 78–88) — If we plan to refinance (get a new, better loan) in a few years:</t>
  </si>
  <si>
    <t xml:space="preserve">   •  Refi Cap Rate % (cell C78) — Used to estimate what the property will be worth at refi time</t>
  </si>
  <si>
    <t xml:space="preserve">   •  Refi LTV % (cell C79) — "Loan-to-Value" = what % of the property value the bank will lend. Example: 75%</t>
  </si>
  <si>
    <t xml:space="preserve">   •  Refi Closing Cost % (cell C80), Refi Interest Rate (cell C85), Refi Amortization (cell C86), Refi Term (cell C87), Refi IO Period (cell C88)</t>
  </si>
  <si>
    <t>SECTION 6 · ACQUISITION &amp; EQUITY  (Inputs sheet, rows 102–110)</t>
  </si>
  <si>
    <t>This is about WHO is putting up the cash (equity) to buy the property.</t>
  </si>
  <si>
    <t>Usually there's a Capital Partner (investor with money) and a Manager (person running the deal).</t>
  </si>
  <si>
    <t>Together they cover the cash needed beyond the loans.</t>
  </si>
  <si>
    <t xml:space="preserve">   •  Closing Costs % (cell D102) — As a % of purchase price. Example: 2% (dollar amount in C102 is auto-calculated)</t>
  </si>
  <si>
    <t xml:space="preserve">   •  Immediate Repairs / Reserves (cell C103) — Cash set aside on day one for urgent fixes. Example: $5,000</t>
  </si>
  <si>
    <t xml:space="preserve">   •  Capital Partner Contribution (cell C105) — How much cash is the investor putting in? Example: $85,000</t>
  </si>
  <si>
    <t xml:space="preserve">   •  Manager Contribution (cell C106) — Auto-calculated = Total equity needed minus Capital Partner's share</t>
  </si>
  <si>
    <t xml:space="preserve">   •  Ownership %s (cells C107:C108) — Auto-calculated based on who contributed how much</t>
  </si>
  <si>
    <t xml:space="preserve">   •  Asset Management Fee (cell C109) — Yearly fee paid to the manager as a % of income (EGI). Example: 2%</t>
  </si>
  <si>
    <t xml:space="preserve">   •  Acquisition Fee (cell C110) — One-time fee to the manager for finding the deal. As a % of purchase price. Example: 1%</t>
  </si>
  <si>
    <t>SECTION 7 · DISPOSITION / EXIT  (Inputs sheet, rows 113–114)</t>
  </si>
  <si>
    <t>This is about SELLING the property at the end of the hold period. Only two inputs here:</t>
  </si>
  <si>
    <t xml:space="preserve">   •  Exit Cap Rate % (cell C113) — Used to estimate the future sale price. A lower cap rate = higher sale price. Example: 9%</t>
  </si>
  <si>
    <t xml:space="preserve">   •  Selling Cost % (cell C114) — Broker fees and closing costs when selling. Example: 3%</t>
  </si>
  <si>
    <t>SECTION 8 · EQUITY WATERFALL  (Inputs sheet, rows 123–133)</t>
  </si>
  <si>
    <t>This decides HOW PROFITS ARE SPLIT between the Capital Partner (LP) and the Manager (GP) when money comes back.</t>
  </si>
  <si>
    <t>Think of it like a waterfall — money flows through each tier in order. Only after one tier is full does money flow to the next.</t>
  </si>
  <si>
    <t xml:space="preserve">   •  Preferred Return (cell C123) — The LP gets this % return on their money FIRST, before the GP gets anything. Example: 8%</t>
  </si>
  <si>
    <t xml:space="preserve">   •  GP Catch-Up Share (cell C124) — After LP gets their preferred return, the GP "catches up". This % goes to GP. Example: 50%</t>
  </si>
  <si>
    <t xml:space="preserve">   •  GP Catch-Up Target (cell C125) — GP catches up until they've received this % of total profits so far. Example: 20%</t>
  </si>
  <si>
    <t xml:space="preserve">   •  IRR Hurdle (cell C126) — After catch-up, profits split one way BELOW this return rate, and another way ABOVE it. Example: 15%</t>
  </si>
  <si>
    <t xml:space="preserve">   TIER SPLITS (rows 129–133) — LP% and GP% for each tier of profit distribution:</t>
  </si>
  <si>
    <t xml:space="preserve">   •  Tier 1: Return of Capital (cell C129) — LP gets 100%, GP gets 0%. Investor gets their original money back first.</t>
  </si>
  <si>
    <t xml:space="preserve">   •  Tier 2: Preferred Return (cell C130) — LP gets 100%, GP gets 0%. Investor earns their guaranteed return.</t>
  </si>
  <si>
    <t xml:space="preserve">   •  Tier 3: GP Catch-Up (cell C131) — Auto-calculated from GP Catch-Up Share above. GP now gets their share.</t>
  </si>
  <si>
    <t xml:space="preserve">   •  Tier 4: Residual below IRR hurdle (cell C132) — Split remaining profits below the hurdle. Example: LP 70% / GP 30%</t>
  </si>
  <si>
    <t xml:space="preserve">   •  Tier 5: Residual above IRR hurdle (cell C133) — Split profits above the hurdle. Example: LP 50% / GP 50%</t>
  </si>
  <si>
    <t>QUICK SUMMARY — What to Ask the Client</t>
  </si>
  <si>
    <t>1.  Property details — name, type, address, units, purchase price, closing date</t>
  </si>
  <si>
    <t>2.  T12 (Trailing 12 months) report — gives us actual rent income and operating expenses from the past year</t>
  </si>
  <si>
    <t>3.  Loan terms — interest rates, amortization period, balloon dates, for both seller finance and bank loan</t>
  </si>
  <si>
    <t>4.  Renovation / CapEx plan — what improvements are planned, cost of each, and timing</t>
  </si>
  <si>
    <t>5.  Equity structure — how much is the Capital Partner investing vs. the Manager, and any fees</t>
  </si>
  <si>
    <t>6.  Exit plan — expected cap rate at sale and estimated selling costs</t>
  </si>
  <si>
    <t>7.  Waterfall terms — preferred return %, catch-up terms, profit split percentages for each tier</t>
  </si>
  <si>
    <t>MONTHLY CASHFLOW MODEL</t>
  </si>
  <si>
    <t>All values driven by Inputs sheet  |  Blue = Input  |  Green = Linked  |  Black = Formula</t>
  </si>
  <si>
    <t>Month No.</t>
  </si>
  <si>
    <t>Quarter No.</t>
  </si>
  <si>
    <t>Year No.</t>
  </si>
  <si>
    <t>REVENUE</t>
  </si>
  <si>
    <t xml:space="preserve">  Less: Vacancy</t>
  </si>
  <si>
    <t xml:space="preserve">  Less: Credit Loss</t>
  </si>
  <si>
    <t xml:space="preserve">  Effective Gross Income (EGI)</t>
  </si>
  <si>
    <t>Revenue</t>
  </si>
  <si>
    <t xml:space="preserve">  TOTAL REVENUE</t>
  </si>
  <si>
    <t>OPERATING EXPENSES</t>
  </si>
  <si>
    <t>Property Management Fee (%EGI)</t>
  </si>
  <si>
    <t>Expenses</t>
  </si>
  <si>
    <t xml:space="preserve">  TOTAL OPERATING EXPENSES</t>
  </si>
  <si>
    <t xml:space="preserve">  NET OPERATING INCOME (NOI)</t>
  </si>
  <si>
    <t>CAPITAL EXPENDITURES</t>
  </si>
  <si>
    <t xml:space="preserve">  Capital Expenditures (CapEx)</t>
  </si>
  <si>
    <t>ACQUISITION</t>
  </si>
  <si>
    <t>Due Diligence Costs</t>
  </si>
  <si>
    <t>0</t>
  </si>
  <si>
    <t>Loan Origination Costs</t>
  </si>
  <si>
    <t xml:space="preserve">  TOTAL ACQUISITION COSTS</t>
  </si>
  <si>
    <t>DISPOSITION / EXIT</t>
  </si>
  <si>
    <t xml:space="preserve">  Sale Proceeds</t>
  </si>
  <si>
    <t xml:space="preserve">  Selling Costs</t>
  </si>
  <si>
    <t xml:space="preserve">  NET SALE PROCEEDS</t>
  </si>
  <si>
    <t xml:space="preserve">  CASHFLOW BEFORE DEBT SERVICE</t>
  </si>
  <si>
    <t>DEBT SERVICE — SELLER FINANCE</t>
  </si>
  <si>
    <t xml:space="preserve">  Beginning Balance</t>
  </si>
  <si>
    <t xml:space="preserve">  Loan Funding</t>
  </si>
  <si>
    <t xml:space="preserve">  Interest Payment</t>
  </si>
  <si>
    <t xml:space="preserve">  Principal Payment</t>
  </si>
  <si>
    <t xml:space="preserve">  Loan Payoff</t>
  </si>
  <si>
    <t xml:space="preserve">  Ending Balance</t>
  </si>
  <si>
    <t xml:space="preserve">  Total Debt Service (SF)</t>
  </si>
  <si>
    <t>DEBT SERVICE — BANK LOAN</t>
  </si>
  <si>
    <t xml:space="preserve">  Loan Payoff / Refi Payoff</t>
  </si>
  <si>
    <t xml:space="preserve">  Total Debt Service (BL)</t>
  </si>
  <si>
    <t>DEBT SERVICE — REFINANCE LOAN</t>
  </si>
  <si>
    <t xml:space="preserve">  Total Debt Service (Refi)</t>
  </si>
  <si>
    <t xml:space="preserve">  Equity Contribution (Inflow)</t>
  </si>
  <si>
    <t xml:space="preserve">  Refi Proceeds (Net)</t>
  </si>
  <si>
    <t xml:space="preserve">  Loan Proceeds (Inflow)</t>
  </si>
  <si>
    <t xml:space="preserve">  TOTAL DEBT SERVICE</t>
  </si>
  <si>
    <t xml:space="preserve">  CASHFLOW AFTER DEBT SERVICE</t>
  </si>
  <si>
    <t xml:space="preserve">  Cumulative Cashflow</t>
  </si>
  <si>
    <t>MEMBER DISTRIBUTIONS</t>
  </si>
  <si>
    <t xml:space="preserve">  Less: Asset Management Fee</t>
  </si>
  <si>
    <t xml:space="preserve">  Cash Available for Members</t>
  </si>
  <si>
    <t xml:space="preserve">  Return of Capital (Capital Partner)</t>
  </si>
  <si>
    <t xml:space="preserve">  TOTAL DISTRIBUTIONS</t>
  </si>
  <si>
    <t>CUMULATIVE METRICS</t>
  </si>
  <si>
    <t xml:space="preserve">  Cumulative NOI</t>
  </si>
  <si>
    <t xml:space="preserve">  Cumulative CF After Debt</t>
  </si>
  <si>
    <t xml:space="preserve">  DSCR (NOI / Total DS)</t>
  </si>
  <si>
    <t>QUARTERLY CASHFLOW SUMMARY</t>
  </si>
  <si>
    <t>Aggregated from Monthly CF  |  Q1 = Months 1-3, Q2 = Months 4-6, etc.</t>
  </si>
  <si>
    <t>Line Item</t>
  </si>
  <si>
    <t xml:space="preserve">  Capital Expenditures</t>
  </si>
  <si>
    <t xml:space="preserve">  Acquisition Costs (Yr 1 only)</t>
  </si>
  <si>
    <t xml:space="preserve">  DSCR (NOI / Debt Service)</t>
  </si>
  <si>
    <t>ANNUAL CASHFLOW SUMMARY</t>
  </si>
  <si>
    <t>Aggregated from Monthly CF  |  All formulas reference Monthly CF sheet</t>
  </si>
  <si>
    <t xml:space="preserve">  Asset Mgmt Fee</t>
  </si>
  <si>
    <t>EQUITY WATERFALL</t>
  </si>
  <si>
    <t>Preferred Return + GP Catch-Up + Promote  |  Linked to Inputs &amp; Annual CF</t>
  </si>
  <si>
    <t>Year 0</t>
  </si>
  <si>
    <t>Total</t>
  </si>
  <si>
    <t>PROJECT-LEVEL CASH FLOWS</t>
  </si>
  <si>
    <t xml:space="preserve">  Total Equity Invested</t>
  </si>
  <si>
    <t xml:space="preserve">  CF After Debt Service (from Annual CF)</t>
  </si>
  <si>
    <t xml:space="preserve">  Additional Capital Events (if any)</t>
  </si>
  <si>
    <t xml:space="preserve">  TOTAL DISTRIBUTABLE CASH</t>
  </si>
  <si>
    <t>EQUITY CONTRIBUTIONS</t>
  </si>
  <si>
    <t xml:space="preserve">  LP (Capital Partner) Contribution</t>
  </si>
  <si>
    <t xml:space="preserve">  GP (Manager) Contribution</t>
  </si>
  <si>
    <t xml:space="preserve">  TOTAL EQUITY INVESTED</t>
  </si>
  <si>
    <t xml:space="preserve">  LP Ownership %</t>
  </si>
  <si>
    <t xml:space="preserve">  GP Ownership %</t>
  </si>
  <si>
    <t>WATERFALL DISTRIBUTION</t>
  </si>
  <si>
    <t>Cash Available for Distribution</t>
  </si>
  <si>
    <t xml:space="preserve">  LP Unreturned Capital (BOY)</t>
  </si>
  <si>
    <t xml:space="preserve">  Return of Capital to LP</t>
  </si>
  <si>
    <t xml:space="preserve">  LP Unreturned Capital (EOY)</t>
  </si>
  <si>
    <t xml:space="preserve">  Remaining Cash After Tier 1</t>
  </si>
  <si>
    <t xml:space="preserve">  Accrued Preferred Return (BOY)</t>
  </si>
  <si>
    <t xml:space="preserve">  Preferred Return Accrual</t>
  </si>
  <si>
    <t xml:space="preserve">  Preferred Return Paid to LP</t>
  </si>
  <si>
    <t xml:space="preserve">  Accrued Preferred Return (EOY)</t>
  </si>
  <si>
    <t xml:space="preserve">  Remaining Cash After Tier 2</t>
  </si>
  <si>
    <t xml:space="preserve">  GP Catch-Up Amount</t>
  </si>
  <si>
    <t xml:space="preserve">  Catch-Up to LP</t>
  </si>
  <si>
    <t xml:space="preserve">  Catch-Up to GP</t>
  </si>
  <si>
    <t xml:space="preserve">  Remaining Cash After Tier 3</t>
  </si>
  <si>
    <t xml:space="preserve">  Remaining Cash After Tier 4</t>
  </si>
  <si>
    <t>DISTRIBUTION SUMMARY</t>
  </si>
  <si>
    <t xml:space="preserve">  Check (Dist. - Available = 0)</t>
  </si>
  <si>
    <t>RETURN METRICS</t>
  </si>
  <si>
    <t xml:space="preserve">  LP Cash Flows</t>
  </si>
  <si>
    <t xml:space="preserve">  GP Cash Flows</t>
  </si>
  <si>
    <t xml:space="preserve">  Project Cash Flows</t>
  </si>
  <si>
    <t>LP (Capital Partner) Returns</t>
  </si>
  <si>
    <t xml:space="preserve">  LP IRR</t>
  </si>
  <si>
    <t xml:space="preserve">  LP Equity Multiple</t>
  </si>
  <si>
    <t xml:space="preserve">  LP Total Distributions</t>
  </si>
  <si>
    <t>GP (Manager) Returns</t>
  </si>
  <si>
    <t xml:space="preserve">  GP IRR</t>
  </si>
  <si>
    <t xml:space="preserve">  GP Equity Multiple</t>
  </si>
  <si>
    <t xml:space="preserve">  GP Total Distributions</t>
  </si>
  <si>
    <t>Project-Level 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</si>
</sst>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&quot;$&quot;#,##0;\(&quot;$&quot;#,##0\);&quot;-&quot;"/>
    <numFmt numFmtId="165" formatCode="0.0%"/>
    <numFmt numFmtId="166" formatCode="0.00&quot;x&quot;"/>
    <numFmt numFmtId="167" formatCode="0\ &quot;Years&quot;"/>
    <numFmt numFmtId="168" formatCode="\$#,##0;&quot;($&quot;#,##0\);\-"/>
    <numFmt numFmtId="169" formatCode="&quot;$&quot;#,##0;&quot;($&quot;#,##0\);\-"/>
    <numFmt numFmtId="170" formatCode="mm/dd/yyyy"/>
    <numFmt numFmtId="171" formatCode="&quot;$&quot;#,##0"/>
    <numFmt numFmtId="172" formatCode="&quot;$&quot;#,##0.00"/>
    <numFmt numFmtId="173" formatCode="0.00%;\-0.00%;\-"/>
    <numFmt numFmtId="174" formatCode="&quot;$&quot;#,##0;\(&quot;$&quot;#,##0\);\-"/>
    <numFmt numFmtId="175" formatCode="#,##0;\(#,##0\);&quot;-&quot;"/>
    <numFmt numFmtId="176" formatCode="0.00\x;\-0.00\x;\-"/>
    <numFmt numFmtId="177" formatCode="&quot;Q&quot;0"/>
    <numFmt numFmtId="178" formatCode="0.00&quot;x&quot;;\-0.00&quot;x&quot;;&quot;-&quot;"/>
    <numFmt numFmtId="179" formatCode="&quot;Year &quot;0"/>
    <numFmt numFmtId="180" formatCode="&quot;$&quot;#,##0_);\(&quot;$&quot;#,##0\);&quot;-&quot;"/>
  </numFmts>
  <fonts count="24">
    <font>
      <sz val="11.0"/>
      <color theme="1"/>
      <name val="Calibri"/>
      <scheme val="minor"/>
    </font>
    <font>
      <b/>
      <sz val="16.0"/>
      <color rgb="FFFFFFFF"/>
      <name val="Garamond"/>
    </font>
    <font/>
    <font>
      <i/>
      <sz val="12.0"/>
      <color rgb="FFF0A500"/>
      <name val="Garamond"/>
    </font>
    <font>
      <sz val="11.0"/>
      <color theme="1"/>
      <name val="Calibri"/>
    </font>
    <font>
      <b/>
      <sz val="12.0"/>
      <color rgb="FFFFFFFF"/>
      <name val="Garamond"/>
    </font>
    <font>
      <sz val="12.0"/>
      <color rgb="FF1F2D3D"/>
      <name val="Garamond"/>
    </font>
    <font>
      <sz val="12.0"/>
      <color rgb="FF008000"/>
      <name val="Garamond"/>
    </font>
    <font>
      <b/>
      <sz val="12.0"/>
      <color rgb="FF1F2D3D"/>
      <name val="Garamond"/>
    </font>
    <font>
      <b/>
      <sz val="14.0"/>
      <color rgb="FFFFFFFF"/>
      <name val="Garamond"/>
    </font>
    <font>
      <b/>
      <sz val="12.0"/>
      <color theme="1"/>
      <name val="Garamond"/>
    </font>
    <font>
      <i/>
      <sz val="11.0"/>
      <color rgb="FF5D6D7E"/>
      <name val="Garamond"/>
    </font>
    <font>
      <sz val="12.0"/>
      <color theme="1"/>
      <name val="Garamond"/>
    </font>
    <font>
      <sz val="12.0"/>
      <color rgb="FF000000"/>
      <name val="Garamond"/>
    </font>
    <font>
      <sz val="12.0"/>
      <color rgb="FF0000FF"/>
      <name val="Garamond"/>
    </font>
    <font>
      <i/>
      <sz val="12.0"/>
      <color rgb="FF7F8C8D"/>
      <name val="Garamond"/>
    </font>
    <font>
      <i/>
      <sz val="12.0"/>
      <color rgb="FF000000"/>
      <name val="Garamond"/>
    </font>
    <font>
      <b/>
      <sz val="12.0"/>
      <color rgb="FF000000"/>
      <name val="Garamond"/>
    </font>
    <font>
      <b/>
      <sz val="16.0"/>
      <color rgb="FF2E6DA4"/>
      <name val="Garamond"/>
    </font>
    <font>
      <sz val="12.0"/>
      <color rgb="FFAAAAAA"/>
      <name val="Garamond"/>
    </font>
    <font>
      <b/>
      <sz val="14.0"/>
      <color rgb="FF2E6DA4"/>
      <name val="Garamond"/>
    </font>
    <font>
      <sz val="12.0"/>
      <color rgb="FFC0392B"/>
      <name val="Garamond"/>
    </font>
    <font>
      <b/>
      <sz val="14.0"/>
      <color rgb="FF2C3E50"/>
      <name val="Garamond"/>
    </font>
    <font>
      <sz val="12.0"/>
      <color rgb="FF7F8C8D"/>
      <name val="Garamond"/>
    </font>
  </fonts>
  <fills count="16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C3E50"/>
        <bgColor rgb="FF2C3E50"/>
      </patternFill>
    </fill>
    <fill>
      <patternFill patternType="solid">
        <fgColor rgb="FF2E6DA4"/>
        <bgColor rgb="FF2E6DA4"/>
      </patternFill>
    </fill>
    <fill>
      <patternFill patternType="solid">
        <fgColor rgb="FFD6E4F0"/>
        <bgColor rgb="FFD6E4F0"/>
      </patternFill>
    </fill>
    <fill>
      <patternFill patternType="solid">
        <fgColor rgb="FF1E8449"/>
        <bgColor rgb="FF1E8449"/>
      </patternFill>
    </fill>
    <fill>
      <patternFill patternType="solid">
        <fgColor rgb="FFF7F9FC"/>
        <bgColor rgb="FFF7F9FC"/>
      </patternFill>
    </fill>
    <fill>
      <patternFill patternType="solid">
        <fgColor rgb="FFE2F2F6"/>
        <bgColor rgb="FFE2F2F6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D9D9D9"/>
        <bgColor rgb="FFD9D9D9"/>
      </patternFill>
    </fill>
    <fill>
      <patternFill patternType="solid">
        <fgColor rgb="FF1ABC9C"/>
        <bgColor rgb="FF1ABC9C"/>
      </patternFill>
    </fill>
    <fill>
      <patternFill patternType="solid">
        <fgColor rgb="FF16A085"/>
        <bgColor rgb="FF16A085"/>
      </patternFill>
    </fill>
    <fill>
      <patternFill patternType="solid">
        <fgColor rgb="FFECF0F1"/>
        <bgColor rgb="FFECF0F1"/>
      </patternFill>
    </fill>
  </fills>
  <borders count="31">
    <border/>
    <border>
      <left/>
      <top/>
      <bottom/>
    </border>
    <border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/>
      <right style="thin">
        <color rgb="FF2C3E50"/>
      </right>
      <top/>
      <bottom/>
    </border>
    <border>
      <left/>
      <right style="thin">
        <color rgb="FF2C3E50"/>
      </right>
      <top style="thin">
        <color rgb="FF2C3E50"/>
      </top>
      <bottom style="thin">
        <color rgb="FF2C3E50"/>
      </bottom>
    </border>
    <border>
      <right style="thin">
        <color rgb="FFAAAAAA"/>
      </right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/>
      <top/>
      <bottom/>
    </border>
    <border>
      <left/>
      <right/>
      <top/>
      <bottom style="thin">
        <color rgb="FFFFFFFF"/>
      </bottom>
    </border>
    <border>
      <left/>
      <right/>
      <top style="thin">
        <color rgb="FFAAAAAA"/>
      </top>
      <bottom/>
    </border>
    <border>
      <top style="thin">
        <color rgb="FFAAAAAA"/>
      </top>
    </border>
    <border>
      <left/>
      <right/>
      <top style="thin">
        <color rgb="FF1E8449"/>
      </top>
      <bottom style="thin">
        <color rgb="FF1E8449"/>
      </bottom>
    </border>
    <border>
      <left/>
      <right style="thin">
        <color rgb="FF2C3E50"/>
      </right>
      <top style="thin">
        <color rgb="FF2C3E50"/>
      </top>
      <bottom/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/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1" fillId="4" fontId="5" numFmtId="0" xfId="0" applyBorder="1" applyFill="1" applyFont="1"/>
    <xf borderId="3" fillId="0" fontId="6" numFmtId="0" xfId="0" applyAlignment="1" applyBorder="1" applyFont="1">
      <alignment horizontal="left"/>
    </xf>
    <xf borderId="4" fillId="0" fontId="7" numFmtId="164" xfId="0" applyAlignment="1" applyBorder="1" applyFont="1" applyNumberFormat="1">
      <alignment horizontal="right"/>
    </xf>
    <xf borderId="5" fillId="5" fontId="8" numFmtId="0" xfId="0" applyAlignment="1" applyBorder="1" applyFill="1" applyFont="1">
      <alignment horizontal="center"/>
    </xf>
    <xf borderId="6" fillId="0" fontId="2" numFmtId="0" xfId="0" applyBorder="1" applyFont="1"/>
    <xf borderId="4" fillId="0" fontId="7" numFmtId="3" xfId="0" applyAlignment="1" applyBorder="1" applyFont="1" applyNumberFormat="1">
      <alignment horizontal="right"/>
    </xf>
    <xf borderId="7" fillId="0" fontId="6" numFmtId="0" xfId="0" applyAlignment="1" applyBorder="1" applyFont="1">
      <alignment horizontal="left"/>
    </xf>
    <xf borderId="8" fillId="3" fontId="9" numFmtId="165" xfId="0" applyAlignment="1" applyBorder="1" applyFont="1" applyNumberFormat="1">
      <alignment horizontal="center"/>
    </xf>
    <xf borderId="9" fillId="3" fontId="9" numFmtId="166" xfId="0" applyAlignment="1" applyBorder="1" applyFont="1" applyNumberFormat="1">
      <alignment horizontal="center"/>
    </xf>
    <xf borderId="10" fillId="0" fontId="7" numFmtId="164" xfId="0" applyAlignment="1" applyBorder="1" applyFont="1" applyNumberFormat="1">
      <alignment horizontal="right"/>
    </xf>
    <xf borderId="4" fillId="0" fontId="7" numFmtId="165" xfId="0" applyAlignment="1" applyBorder="1" applyFont="1" applyNumberFormat="1">
      <alignment horizontal="right"/>
    </xf>
    <xf borderId="4" fillId="0" fontId="7" numFmtId="167" xfId="0" applyAlignment="1" applyBorder="1" applyFont="1" applyNumberFormat="1">
      <alignment horizontal="right"/>
    </xf>
    <xf borderId="4" fillId="0" fontId="7" numFmtId="1" xfId="0" applyAlignment="1" applyBorder="1" applyFont="1" applyNumberFormat="1">
      <alignment horizontal="right"/>
    </xf>
    <xf borderId="11" fillId="0" fontId="6" numFmtId="0" xfId="0" applyAlignment="1" applyBorder="1" applyFont="1">
      <alignment horizontal="left"/>
    </xf>
    <xf borderId="6" fillId="0" fontId="7" numFmtId="165" xfId="0" applyAlignment="1" applyBorder="1" applyFont="1" applyNumberFormat="1">
      <alignment horizontal="right"/>
    </xf>
    <xf borderId="6" fillId="0" fontId="7" numFmtId="164" xfId="0" applyAlignment="1" applyBorder="1" applyFont="1" applyNumberFormat="1">
      <alignment horizontal="right"/>
    </xf>
    <xf borderId="4" fillId="0" fontId="7" numFmtId="166" xfId="0" applyAlignment="1" applyBorder="1" applyFont="1" applyNumberFormat="1">
      <alignment horizontal="right"/>
    </xf>
    <xf borderId="12" fillId="6" fontId="5" numFmtId="0" xfId="0" applyAlignment="1" applyBorder="1" applyFill="1" applyFont="1">
      <alignment horizontal="left"/>
    </xf>
    <xf borderId="13" fillId="6" fontId="5" numFmtId="164" xfId="0" applyAlignment="1" applyBorder="1" applyFont="1" applyNumberFormat="1">
      <alignment horizontal="right"/>
    </xf>
    <xf borderId="5" fillId="5" fontId="8" numFmtId="0" xfId="0" applyAlignment="1" applyBorder="1" applyFont="1">
      <alignment horizontal="left"/>
    </xf>
    <xf borderId="10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14" fillId="3" fontId="5" numFmtId="0" xfId="0" applyBorder="1" applyFont="1"/>
    <xf borderId="15" fillId="3" fontId="5" numFmtId="0" xfId="0" applyAlignment="1" applyBorder="1" applyFont="1">
      <alignment horizontal="center"/>
    </xf>
    <xf borderId="3" fillId="0" fontId="6" numFmtId="0" xfId="0" applyBorder="1" applyFont="1"/>
    <xf borderId="0" fillId="0" fontId="7" numFmtId="164" xfId="0" applyAlignment="1" applyFont="1" applyNumberFormat="1">
      <alignment horizontal="right" vertical="bottom"/>
    </xf>
    <xf borderId="12" fillId="7" fontId="6" numFmtId="0" xfId="0" applyBorder="1" applyFill="1" applyFont="1"/>
    <xf borderId="16" fillId="7" fontId="7" numFmtId="164" xfId="0" applyAlignment="1" applyBorder="1" applyFont="1" applyNumberFormat="1">
      <alignment horizontal="right" vertical="bottom"/>
    </xf>
    <xf borderId="17" fillId="0" fontId="7" numFmtId="164" xfId="0" applyAlignment="1" applyBorder="1" applyFont="1" applyNumberFormat="1">
      <alignment horizontal="right" vertical="bottom"/>
    </xf>
    <xf borderId="16" fillId="7" fontId="7" numFmtId="166" xfId="0" applyAlignment="1" applyBorder="1" applyFont="1" applyNumberFormat="1">
      <alignment horizontal="right" vertical="bottom"/>
    </xf>
    <xf borderId="11" fillId="6" fontId="5" numFmtId="0" xfId="0" applyBorder="1" applyFont="1"/>
    <xf borderId="18" fillId="6" fontId="5" numFmtId="164" xfId="0" applyAlignment="1" applyBorder="1" applyFont="1" applyNumberFormat="1">
      <alignment horizontal="right"/>
    </xf>
    <xf borderId="19" fillId="3" fontId="9" numFmtId="165" xfId="0" applyAlignment="1" applyBorder="1" applyFont="1" applyNumberFormat="1">
      <alignment horizontal="center"/>
    </xf>
    <xf borderId="4" fillId="0" fontId="7" numFmtId="0" xfId="0" applyAlignment="1" applyBorder="1" applyFont="1">
      <alignment horizontal="right"/>
    </xf>
    <xf borderId="6" fillId="0" fontId="7" numFmtId="0" xfId="0" applyAlignment="1" applyBorder="1" applyFont="1">
      <alignment horizontal="right"/>
    </xf>
    <xf borderId="1" fillId="5" fontId="8" numFmtId="0" xfId="0" applyBorder="1" applyFont="1"/>
    <xf borderId="0" fillId="0" fontId="11" numFmtId="0" xfId="0" applyFont="1"/>
    <xf borderId="1" fillId="2" fontId="9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12" numFmtId="0" xfId="0" applyFont="1"/>
    <xf borderId="1" fillId="4" fontId="5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borderId="11" fillId="8" fontId="14" numFmtId="0" xfId="0" applyBorder="1" applyFill="1" applyFont="1"/>
    <xf borderId="11" fillId="8" fontId="14" numFmtId="3" xfId="0" applyBorder="1" applyFont="1" applyNumberFormat="1"/>
    <xf borderId="11" fillId="9" fontId="14" numFmtId="168" xfId="0" applyBorder="1" applyFill="1" applyFont="1" applyNumberFormat="1"/>
    <xf borderId="14" fillId="10" fontId="15" numFmtId="0" xfId="0" applyAlignment="1" applyBorder="1" applyFill="1" applyFont="1">
      <alignment horizontal="right"/>
    </xf>
    <xf borderId="14" fillId="10" fontId="13" numFmtId="0" xfId="0" applyAlignment="1" applyBorder="1" applyFont="1">
      <alignment horizontal="left" vertical="center"/>
    </xf>
    <xf borderId="20" fillId="8" fontId="14" numFmtId="165" xfId="0" applyBorder="1" applyFont="1" applyNumberFormat="1"/>
    <xf borderId="3" fillId="0" fontId="13" numFmtId="169" xfId="0" applyAlignment="1" applyBorder="1" applyFont="1" applyNumberFormat="1">
      <alignment horizontal="right"/>
    </xf>
    <xf borderId="11" fillId="8" fontId="12" numFmtId="165" xfId="0" applyBorder="1" applyFont="1" applyNumberFormat="1"/>
    <xf borderId="12" fillId="11" fontId="14" numFmtId="168" xfId="0" applyAlignment="1" applyBorder="1" applyFill="1" applyFont="1" applyNumberFormat="1">
      <alignment horizontal="right" vertical="center"/>
    </xf>
    <xf borderId="21" fillId="8" fontId="14" numFmtId="165" xfId="0" applyBorder="1" applyFont="1" applyNumberFormat="1"/>
    <xf borderId="11" fillId="10" fontId="13" numFmtId="169" xfId="0" applyAlignment="1" applyBorder="1" applyFont="1" applyNumberFormat="1">
      <alignment horizontal="right"/>
    </xf>
    <xf borderId="22" fillId="8" fontId="14" numFmtId="170" xfId="0" applyBorder="1" applyFont="1" applyNumberFormat="1"/>
    <xf borderId="11" fillId="9" fontId="14" numFmtId="3" xfId="0" applyBorder="1" applyFont="1" applyNumberFormat="1"/>
    <xf borderId="11" fillId="9" fontId="14" numFmtId="3" xfId="0" applyAlignment="1" applyBorder="1" applyFont="1" applyNumberFormat="1">
      <alignment readingOrder="0"/>
    </xf>
    <xf borderId="14" fillId="4" fontId="5" numFmtId="0" xfId="0" applyAlignment="1" applyBorder="1" applyFont="1">
      <alignment vertical="center"/>
    </xf>
    <xf borderId="23" fillId="4" fontId="5" numFmtId="0" xfId="0" applyAlignment="1" applyBorder="1" applyFont="1">
      <alignment horizontal="center" vertical="center"/>
    </xf>
    <xf borderId="0" fillId="0" fontId="15" numFmtId="0" xfId="0" applyFont="1"/>
    <xf borderId="11" fillId="9" fontId="14" numFmtId="168" xfId="0" applyAlignment="1" applyBorder="1" applyFont="1" applyNumberFormat="1">
      <alignment horizontal="right"/>
    </xf>
    <xf borderId="20" fillId="9" fontId="14" numFmtId="165" xfId="0" applyAlignment="1" applyBorder="1" applyFont="1" applyNumberFormat="1">
      <alignment horizontal="right"/>
    </xf>
    <xf borderId="24" fillId="10" fontId="13" numFmtId="171" xfId="0" applyAlignment="1" applyBorder="1" applyFont="1" applyNumberFormat="1">
      <alignment horizontal="right"/>
    </xf>
    <xf borderId="24" fillId="9" fontId="14" numFmtId="165" xfId="0" applyAlignment="1" applyBorder="1" applyFont="1" applyNumberFormat="1">
      <alignment horizontal="right"/>
    </xf>
    <xf borderId="12" fillId="12" fontId="12" numFmtId="0" xfId="0" applyBorder="1" applyFill="1" applyFont="1"/>
    <xf borderId="25" fillId="12" fontId="13" numFmtId="165" xfId="0" applyAlignment="1" applyBorder="1" applyFont="1" applyNumberFormat="1">
      <alignment horizontal="right"/>
    </xf>
    <xf borderId="11" fillId="12" fontId="12" numFmtId="0" xfId="0" applyBorder="1" applyFont="1"/>
    <xf borderId="21" fillId="11" fontId="14" numFmtId="171" xfId="0" applyAlignment="1" applyBorder="1" applyFont="1" applyNumberFormat="1">
      <alignment horizontal="right" vertical="center"/>
    </xf>
    <xf borderId="26" fillId="9" fontId="14" numFmtId="165" xfId="0" applyAlignment="1" applyBorder="1" applyFont="1" applyNumberFormat="1">
      <alignment horizontal="right"/>
    </xf>
    <xf borderId="12" fillId="10" fontId="13" numFmtId="171" xfId="0" applyAlignment="1" applyBorder="1" applyFont="1" applyNumberFormat="1">
      <alignment horizontal="right"/>
    </xf>
    <xf borderId="14" fillId="10" fontId="16" numFmtId="0" xfId="0" applyAlignment="1" applyBorder="1" applyFont="1">
      <alignment horizontal="left" vertical="center"/>
    </xf>
    <xf borderId="24" fillId="9" fontId="14" numFmtId="165" xfId="0" applyAlignment="1" applyBorder="1" applyFont="1" applyNumberFormat="1">
      <alignment horizontal="right" vertical="center"/>
    </xf>
    <xf borderId="22" fillId="12" fontId="12" numFmtId="0" xfId="0" applyBorder="1" applyFont="1"/>
    <xf borderId="11" fillId="9" fontId="14" numFmtId="0" xfId="0" applyAlignment="1" applyBorder="1" applyFont="1">
      <alignment horizontal="right"/>
    </xf>
    <xf borderId="14" fillId="12" fontId="12" numFmtId="0" xfId="0" applyBorder="1" applyFont="1"/>
    <xf borderId="11" fillId="11" fontId="14" numFmtId="10" xfId="0" applyAlignment="1" applyBorder="1" applyFont="1" applyNumberFormat="1">
      <alignment horizontal="right" vertical="center"/>
    </xf>
    <xf borderId="12" fillId="12" fontId="13" numFmtId="165" xfId="0" applyAlignment="1" applyBorder="1" applyFont="1" applyNumberFormat="1">
      <alignment horizontal="right"/>
    </xf>
    <xf borderId="3" fillId="11" fontId="14" numFmtId="172" xfId="0" applyAlignment="1" applyBorder="1" applyFont="1" applyNumberFormat="1">
      <alignment horizontal="right" vertical="center"/>
    </xf>
    <xf borderId="3" fillId="12" fontId="13" numFmtId="165" xfId="0" applyAlignment="1" applyBorder="1" applyFont="1" applyNumberFormat="1">
      <alignment horizontal="right"/>
    </xf>
    <xf borderId="12" fillId="9" fontId="14" numFmtId="165" xfId="0" applyAlignment="1" applyBorder="1" applyFont="1" applyNumberFormat="1">
      <alignment horizontal="right" vertical="center"/>
    </xf>
    <xf borderId="14" fillId="4" fontId="5" numFmtId="0" xfId="0" applyAlignment="1" applyBorder="1" applyFont="1">
      <alignment horizontal="right" vertical="center"/>
    </xf>
    <xf borderId="27" fillId="11" fontId="14" numFmtId="168" xfId="0" applyAlignment="1" applyBorder="1" applyFont="1" applyNumberFormat="1">
      <alignment horizontal="right" vertical="center"/>
    </xf>
    <xf borderId="12" fillId="9" fontId="14" numFmtId="0" xfId="0" applyAlignment="1" applyBorder="1" applyFont="1">
      <alignment horizontal="right"/>
    </xf>
    <xf borderId="21" fillId="11" fontId="14" numFmtId="168" xfId="0" applyAlignment="1" applyBorder="1" applyFont="1" applyNumberFormat="1">
      <alignment horizontal="right" vertical="center"/>
    </xf>
    <xf borderId="1" fillId="5" fontId="8" numFmtId="0" xfId="0" applyAlignment="1" applyBorder="1" applyFont="1">
      <alignment horizontal="left" vertical="center"/>
    </xf>
    <xf borderId="11" fillId="10" fontId="7" numFmtId="168" xfId="0" applyAlignment="1" applyBorder="1" applyFont="1" applyNumberFormat="1">
      <alignment horizontal="right" vertical="center"/>
    </xf>
    <xf borderId="11" fillId="9" fontId="14" numFmtId="173" xfId="0" applyAlignment="1" applyBorder="1" applyFont="1" applyNumberFormat="1">
      <alignment horizontal="right" vertical="center"/>
    </xf>
    <xf borderId="11" fillId="9" fontId="14" numFmtId="3" xfId="0" applyAlignment="1" applyBorder="1" applyFont="1" applyNumberFormat="1">
      <alignment horizontal="right" vertical="center"/>
    </xf>
    <xf borderId="11" fillId="10" fontId="7" numFmtId="3" xfId="0" applyAlignment="1" applyBorder="1" applyFont="1" applyNumberFormat="1">
      <alignment horizontal="right" readingOrder="0" vertical="center"/>
    </xf>
    <xf borderId="12" fillId="9" fontId="14" numFmtId="3" xfId="0" applyAlignment="1" applyBorder="1" applyFont="1" applyNumberFormat="1">
      <alignment horizontal="right" vertical="center"/>
    </xf>
    <xf borderId="11" fillId="9" fontId="14" numFmtId="9" xfId="0" applyAlignment="1" applyBorder="1" applyFont="1" applyNumberFormat="1">
      <alignment horizontal="right" readingOrder="0" vertical="center"/>
    </xf>
    <xf borderId="11" fillId="9" fontId="14" numFmtId="3" xfId="0" applyAlignment="1" applyBorder="1" applyFont="1" applyNumberFormat="1">
      <alignment horizontal="right" readingOrder="0" vertical="center"/>
    </xf>
    <xf borderId="14" fillId="10" fontId="13" numFmtId="0" xfId="0" applyAlignment="1" applyBorder="1" applyFont="1">
      <alignment horizontal="left"/>
    </xf>
    <xf borderId="12" fillId="9" fontId="14" numFmtId="165" xfId="0" applyAlignment="1" applyBorder="1" applyFont="1" applyNumberFormat="1">
      <alignment horizontal="right"/>
    </xf>
    <xf borderId="12" fillId="10" fontId="7" numFmtId="171" xfId="0" applyAlignment="1" applyBorder="1" applyFont="1" applyNumberFormat="1">
      <alignment horizontal="right"/>
    </xf>
    <xf borderId="11" fillId="10" fontId="13" numFmtId="171" xfId="0" applyAlignment="1" applyBorder="1" applyFont="1" applyNumberFormat="1">
      <alignment horizontal="right"/>
    </xf>
    <xf borderId="22" fillId="10" fontId="13" numFmtId="174" xfId="0" applyAlignment="1" applyBorder="1" applyFont="1" applyNumberFormat="1">
      <alignment horizontal="right" vertical="center"/>
    </xf>
    <xf borderId="14" fillId="5" fontId="8" numFmtId="0" xfId="0" applyAlignment="1" applyBorder="1" applyFont="1">
      <alignment horizontal="left" vertical="center"/>
    </xf>
    <xf borderId="14" fillId="5" fontId="12" numFmtId="0" xfId="0" applyBorder="1" applyFont="1"/>
    <xf borderId="16" fillId="10" fontId="15" numFmtId="0" xfId="0" applyAlignment="1" applyBorder="1" applyFont="1">
      <alignment horizontal="left" vertical="center"/>
    </xf>
    <xf borderId="20" fillId="10" fontId="15" numFmtId="0" xfId="0" applyAlignment="1" applyBorder="1" applyFont="1">
      <alignment horizontal="right"/>
    </xf>
    <xf borderId="12" fillId="10" fontId="15" numFmtId="0" xfId="0" applyAlignment="1" applyBorder="1" applyFont="1">
      <alignment horizontal="right"/>
    </xf>
    <xf borderId="20" fillId="10" fontId="13" numFmtId="169" xfId="0" applyAlignment="1" applyBorder="1" applyFont="1" applyNumberFormat="1">
      <alignment horizontal="right"/>
    </xf>
    <xf borderId="20" fillId="9" fontId="14" numFmtId="169" xfId="0" applyAlignment="1" applyBorder="1" applyFont="1" applyNumberFormat="1">
      <alignment horizontal="right" readingOrder="0"/>
    </xf>
    <xf borderId="12" fillId="10" fontId="13" numFmtId="169" xfId="0" applyAlignment="1" applyBorder="1" applyFont="1" applyNumberFormat="1">
      <alignment horizontal="right"/>
    </xf>
    <xf borderId="20" fillId="9" fontId="14" numFmtId="169" xfId="0" applyAlignment="1" applyBorder="1" applyFont="1" applyNumberFormat="1">
      <alignment horizontal="right"/>
    </xf>
    <xf borderId="14" fillId="4" fontId="5" numFmtId="0" xfId="0" applyAlignment="1" applyBorder="1" applyFont="1">
      <alignment horizontal="left"/>
    </xf>
    <xf borderId="21" fillId="4" fontId="5" numFmtId="169" xfId="0" applyAlignment="1" applyBorder="1" applyFont="1" applyNumberFormat="1">
      <alignment horizontal="right"/>
    </xf>
    <xf borderId="11" fillId="4" fontId="5" numFmtId="169" xfId="0" applyAlignment="1" applyBorder="1" applyFont="1" applyNumberFormat="1">
      <alignment horizontal="right"/>
    </xf>
    <xf borderId="5" fillId="0" fontId="12" numFmtId="168" xfId="0" applyAlignment="1" applyBorder="1" applyFont="1" applyNumberFormat="1">
      <alignment horizontal="right" vertical="center"/>
    </xf>
    <xf borderId="11" fillId="9" fontId="14" numFmtId="165" xfId="0" applyAlignment="1" applyBorder="1" applyFont="1" applyNumberFormat="1">
      <alignment horizontal="right"/>
    </xf>
    <xf borderId="11" fillId="9" fontId="14" numFmtId="168" xfId="0" applyAlignment="1" applyBorder="1" applyFont="1" applyNumberFormat="1">
      <alignment horizontal="right" vertical="center"/>
    </xf>
    <xf borderId="12" fillId="10" fontId="7" numFmtId="169" xfId="0" applyAlignment="1" applyBorder="1" applyFont="1" applyNumberFormat="1">
      <alignment horizontal="right" vertical="center"/>
    </xf>
    <xf borderId="12" fillId="9" fontId="14" numFmtId="168" xfId="0" applyAlignment="1" applyBorder="1" applyFont="1" applyNumberFormat="1">
      <alignment horizontal="right" vertical="center"/>
    </xf>
    <xf borderId="11" fillId="10" fontId="13" numFmtId="165" xfId="0" applyAlignment="1" applyBorder="1" applyFont="1" applyNumberFormat="1">
      <alignment horizontal="right" vertical="center"/>
    </xf>
    <xf borderId="1" fillId="4" fontId="5" numFmtId="0" xfId="0" applyAlignment="1" applyBorder="1" applyFont="1">
      <alignment horizontal="left"/>
    </xf>
    <xf borderId="14" fillId="10" fontId="12" numFmtId="0" xfId="0" applyBorder="1" applyFont="1"/>
    <xf borderId="14" fillId="5" fontId="8" numFmtId="0" xfId="0" applyAlignment="1" applyBorder="1" applyFont="1">
      <alignment horizontal="left"/>
    </xf>
    <xf borderId="14" fillId="10" fontId="17" numFmtId="0" xfId="0" applyAlignment="1" applyBorder="1" applyFont="1">
      <alignment horizontal="left"/>
    </xf>
    <xf borderId="11" fillId="10" fontId="17" numFmtId="171" xfId="0" applyAlignment="1" applyBorder="1" applyFont="1" applyNumberFormat="1">
      <alignment horizontal="right"/>
    </xf>
    <xf borderId="14" fillId="4" fontId="5" numFmtId="0" xfId="0" applyBorder="1" applyFont="1"/>
    <xf borderId="23" fillId="4" fontId="5" numFmtId="0" xfId="0" applyBorder="1" applyFont="1"/>
    <xf borderId="14" fillId="5" fontId="8" numFmtId="0" xfId="0" applyAlignment="1" applyBorder="1" applyFont="1">
      <alignment horizontal="center"/>
    </xf>
    <xf borderId="16" fillId="10" fontId="13" numFmtId="0" xfId="0" applyAlignment="1" applyBorder="1" applyFont="1">
      <alignment horizontal="left"/>
    </xf>
    <xf borderId="12" fillId="10" fontId="13" numFmtId="165" xfId="0" applyAlignment="1" applyBorder="1" applyFont="1" applyNumberFormat="1">
      <alignment horizontal="right"/>
    </xf>
    <xf borderId="20" fillId="10" fontId="7" numFmtId="165" xfId="0" applyAlignment="1" applyBorder="1" applyFont="1" applyNumberFormat="1">
      <alignment horizontal="right"/>
    </xf>
    <xf borderId="12" fillId="10" fontId="7" numFmtId="165" xfId="0" applyAlignment="1" applyBorder="1" applyFont="1" applyNumberFormat="1">
      <alignment horizontal="right"/>
    </xf>
    <xf borderId="17" fillId="0" fontId="4" numFmtId="0" xfId="0" applyBorder="1" applyFont="1"/>
    <xf borderId="23" fillId="5" fontId="8" numFmtId="0" xfId="0" applyBorder="1" applyFont="1"/>
    <xf borderId="12" fillId="9" fontId="14" numFmtId="0" xfId="0" applyAlignment="1" applyBorder="1" applyFont="1">
      <alignment horizontal="left"/>
    </xf>
    <xf borderId="12" fillId="10" fontId="7" numFmtId="0" xfId="0" applyAlignment="1" applyBorder="1" applyFont="1">
      <alignment horizontal="left"/>
    </xf>
    <xf borderId="11" fillId="10" fontId="13" numFmtId="0" xfId="0" applyAlignment="1" applyBorder="1" applyFont="1">
      <alignment horizontal="left"/>
    </xf>
    <xf borderId="20" fillId="11" fontId="14" numFmtId="171" xfId="0" applyAlignment="1" applyBorder="1" applyFont="1" applyNumberFormat="1">
      <alignment horizontal="right" vertical="center"/>
    </xf>
    <xf borderId="21" fillId="9" fontId="14" numFmtId="165" xfId="0" applyAlignment="1" applyBorder="1" applyFont="1" applyNumberFormat="1">
      <alignment horizontal="right"/>
    </xf>
    <xf borderId="0" fillId="0" fontId="12" numFmtId="171" xfId="0" applyFont="1" applyNumberFormat="1"/>
    <xf borderId="27" fillId="11" fontId="14" numFmtId="171" xfId="0" applyAlignment="1" applyBorder="1" applyFont="1" applyNumberFormat="1">
      <alignment horizontal="right" vertical="center"/>
    </xf>
    <xf borderId="11" fillId="11" fontId="14" numFmtId="172" xfId="0" applyAlignment="1" applyBorder="1" applyFont="1" applyNumberFormat="1">
      <alignment horizontal="right" vertical="center"/>
    </xf>
    <xf borderId="12" fillId="12" fontId="13" numFmtId="172" xfId="0" applyAlignment="1" applyBorder="1" applyFont="1" applyNumberFormat="1">
      <alignment horizontal="right"/>
    </xf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10" numFmtId="0" xfId="0" applyFont="1"/>
    <xf borderId="16" fillId="2" fontId="5" numFmtId="0" xfId="0" applyAlignment="1" applyBorder="1" applyFont="1">
      <alignment horizontal="center"/>
    </xf>
    <xf borderId="12" fillId="3" fontId="5" numFmtId="0" xfId="0" applyAlignment="1" applyBorder="1" applyFont="1">
      <alignment horizontal="center"/>
    </xf>
    <xf borderId="28" fillId="2" fontId="5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1" fillId="2" fontId="5" numFmtId="17" xfId="0" applyAlignment="1" applyBorder="1" applyFont="1" applyNumberFormat="1">
      <alignment horizontal="center" vertical="center"/>
    </xf>
    <xf borderId="3" fillId="0" fontId="13" numFmtId="168" xfId="0" applyAlignment="1" applyBorder="1" applyFont="1" applyNumberFormat="1">
      <alignment horizontal="right" vertical="center"/>
    </xf>
    <xf borderId="11" fillId="0" fontId="13" numFmtId="168" xfId="0" applyAlignment="1" applyBorder="1" applyFont="1" applyNumberFormat="1">
      <alignment horizontal="right" vertical="center"/>
    </xf>
    <xf borderId="3" fillId="0" fontId="21" numFmtId="168" xfId="0" applyAlignment="1" applyBorder="1" applyFont="1" applyNumberFormat="1">
      <alignment horizontal="right" vertical="center"/>
    </xf>
    <xf borderId="10" fillId="0" fontId="13" numFmtId="0" xfId="0" applyAlignment="1" applyBorder="1" applyFont="1">
      <alignment horizontal="left" vertical="center"/>
    </xf>
    <xf borderId="6" fillId="0" fontId="21" numFmtId="168" xfId="0" applyAlignment="1" applyBorder="1" applyFont="1" applyNumberFormat="1">
      <alignment horizontal="right" vertical="center"/>
    </xf>
    <xf borderId="11" fillId="0" fontId="21" numFmtId="168" xfId="0" applyAlignment="1" applyBorder="1" applyFont="1" applyNumberFormat="1">
      <alignment horizontal="right" vertical="center"/>
    </xf>
    <xf borderId="22" fillId="5" fontId="8" numFmtId="168" xfId="0" applyAlignment="1" applyBorder="1" applyFont="1" applyNumberFormat="1">
      <alignment horizontal="right" vertical="center"/>
    </xf>
    <xf borderId="14" fillId="4" fontId="5" numFmtId="0" xfId="0" applyAlignment="1" applyBorder="1" applyFont="1">
      <alignment horizontal="left" vertical="center"/>
    </xf>
    <xf borderId="22" fillId="4" fontId="5" numFmtId="168" xfId="0" applyAlignment="1" applyBorder="1" applyFont="1" applyNumberFormat="1">
      <alignment horizontal="right" vertical="center"/>
    </xf>
    <xf borderId="11" fillId="4" fontId="5" numFmtId="168" xfId="0" applyAlignment="1" applyBorder="1" applyFont="1" applyNumberFormat="1">
      <alignment horizontal="right" vertical="center"/>
    </xf>
    <xf borderId="0" fillId="0" fontId="12" numFmtId="168" xfId="0" applyFont="1" applyNumberFormat="1"/>
    <xf borderId="14" fillId="6" fontId="5" numFmtId="0" xfId="0" applyAlignment="1" applyBorder="1" applyFont="1">
      <alignment horizontal="left" vertical="center"/>
    </xf>
    <xf borderId="11" fillId="6" fontId="5" numFmtId="168" xfId="0" applyAlignment="1" applyBorder="1" applyFont="1" applyNumberFormat="1">
      <alignment horizontal="right" vertical="center"/>
    </xf>
    <xf borderId="12" fillId="10" fontId="13" numFmtId="169" xfId="0" applyAlignment="1" applyBorder="1" applyFont="1" applyNumberFormat="1">
      <alignment horizontal="right" vertical="center"/>
    </xf>
    <xf borderId="11" fillId="10" fontId="13" numFmtId="169" xfId="0" applyAlignment="1" applyBorder="1" applyFont="1" applyNumberFormat="1">
      <alignment horizontal="right" vertical="center"/>
    </xf>
    <xf borderId="24" fillId="4" fontId="5" numFmtId="168" xfId="0" applyAlignment="1" applyBorder="1" applyFont="1" applyNumberFormat="1">
      <alignment horizontal="right" vertical="center"/>
    </xf>
    <xf borderId="16" fillId="10" fontId="12" numFmtId="0" xfId="0" applyBorder="1" applyFont="1"/>
    <xf borderId="20" fillId="4" fontId="5" numFmtId="0" xfId="0" applyAlignment="1" applyBorder="1" applyFont="1">
      <alignment horizontal="right"/>
    </xf>
    <xf borderId="12" fillId="10" fontId="13" numFmtId="175" xfId="0" applyAlignment="1" applyBorder="1" applyFont="1" applyNumberFormat="1">
      <alignment horizontal="right"/>
    </xf>
    <xf borderId="11" fillId="4" fontId="5" numFmtId="175" xfId="0" applyAlignment="1" applyBorder="1" applyFont="1" applyNumberFormat="1">
      <alignment horizontal="right"/>
    </xf>
    <xf borderId="14" fillId="3" fontId="5" numFmtId="0" xfId="0" applyAlignment="1" applyBorder="1" applyFont="1">
      <alignment horizontal="left" vertical="center"/>
    </xf>
    <xf borderId="11" fillId="3" fontId="5" numFmtId="168" xfId="0" applyAlignment="1" applyBorder="1" applyFont="1" applyNumberFormat="1">
      <alignment horizontal="right" vertical="center"/>
    </xf>
    <xf borderId="11" fillId="5" fontId="8" numFmtId="168" xfId="0" applyAlignment="1" applyBorder="1" applyFont="1" applyNumberFormat="1">
      <alignment horizontal="right" vertical="center"/>
    </xf>
    <xf borderId="11" fillId="10" fontId="13" numFmtId="168" xfId="0" applyAlignment="1" applyBorder="1" applyFont="1" applyNumberFormat="1">
      <alignment horizontal="right" vertical="center"/>
    </xf>
    <xf borderId="12" fillId="6" fontId="5" numFmtId="168" xfId="0" applyAlignment="1" applyBorder="1" applyFont="1" applyNumberFormat="1">
      <alignment horizontal="right" vertical="center"/>
    </xf>
    <xf borderId="21" fillId="5" fontId="8" numFmtId="175" xfId="0" applyAlignment="1" applyBorder="1" applyFont="1" applyNumberFormat="1">
      <alignment horizontal="right" vertical="center"/>
    </xf>
    <xf borderId="11" fillId="5" fontId="8" numFmtId="175" xfId="0" applyAlignment="1" applyBorder="1" applyFont="1" applyNumberFormat="1">
      <alignment horizontal="right" vertical="center"/>
    </xf>
    <xf borderId="0" fillId="0" fontId="12" numFmtId="175" xfId="0" applyFont="1" applyNumberFormat="1"/>
    <xf borderId="11" fillId="0" fontId="12" numFmtId="176" xfId="0" applyAlignment="1" applyBorder="1" applyFont="1" applyNumberFormat="1">
      <alignment horizontal="right" vertical="center"/>
    </xf>
    <xf borderId="14" fillId="2" fontId="5" numFmtId="0" xfId="0" applyAlignment="1" applyBorder="1" applyFont="1">
      <alignment horizontal="left" vertical="center"/>
    </xf>
    <xf borderId="11" fillId="2" fontId="5" numFmtId="177" xfId="0" applyAlignment="1" applyBorder="1" applyFont="1" applyNumberFormat="1">
      <alignment horizontal="center" vertical="center"/>
    </xf>
    <xf borderId="25" fillId="4" fontId="5" numFmtId="0" xfId="0" applyBorder="1" applyFont="1"/>
    <xf borderId="14" fillId="4" fontId="5" numFmtId="169" xfId="0" applyBorder="1" applyFont="1" applyNumberFormat="1"/>
    <xf borderId="14" fillId="10" fontId="13" numFmtId="0" xfId="0" applyBorder="1" applyFont="1"/>
    <xf borderId="12" fillId="10" fontId="13" numFmtId="169" xfId="0" applyBorder="1" applyFont="1" applyNumberFormat="1"/>
    <xf borderId="14" fillId="5" fontId="8" numFmtId="0" xfId="0" applyBorder="1" applyFont="1"/>
    <xf borderId="24" fillId="5" fontId="8" numFmtId="169" xfId="0" applyBorder="1" applyFont="1" applyNumberFormat="1"/>
    <xf borderId="22" fillId="4" fontId="5" numFmtId="169" xfId="0" applyBorder="1" applyFont="1" applyNumberFormat="1"/>
    <xf borderId="11" fillId="4" fontId="5" numFmtId="169" xfId="0" applyBorder="1" applyFont="1" applyNumberFormat="1"/>
    <xf borderId="14" fillId="6" fontId="5" numFmtId="0" xfId="0" applyBorder="1" applyFont="1"/>
    <xf borderId="11" fillId="6" fontId="5" numFmtId="169" xfId="0" applyBorder="1" applyFont="1" applyNumberFormat="1"/>
    <xf borderId="11" fillId="10" fontId="13" numFmtId="169" xfId="0" applyBorder="1" applyFont="1" applyNumberFormat="1"/>
    <xf borderId="12" fillId="3" fontId="5" numFmtId="169" xfId="0" applyBorder="1" applyFont="1" applyNumberFormat="1"/>
    <xf borderId="29" fillId="0" fontId="12" numFmtId="0" xfId="0" applyBorder="1" applyFont="1"/>
    <xf borderId="26" fillId="4" fontId="5" numFmtId="0" xfId="0" applyBorder="1" applyFont="1"/>
    <xf borderId="12" fillId="10" fontId="13" numFmtId="164" xfId="0" applyAlignment="1" applyBorder="1" applyFont="1" applyNumberFormat="1">
      <alignment horizontal="right"/>
    </xf>
    <xf borderId="11" fillId="5" fontId="8" numFmtId="164" xfId="0" applyAlignment="1" applyBorder="1" applyFont="1" applyNumberFormat="1">
      <alignment horizontal="right"/>
    </xf>
    <xf borderId="24" fillId="10" fontId="13" numFmtId="164" xfId="0" applyAlignment="1" applyBorder="1" applyFont="1" applyNumberFormat="1">
      <alignment horizontal="right"/>
    </xf>
    <xf borderId="22" fillId="10" fontId="13" numFmtId="164" xfId="0" applyAlignment="1" applyBorder="1" applyFont="1" applyNumberFormat="1">
      <alignment horizontal="right"/>
    </xf>
    <xf borderId="24" fillId="10" fontId="13" numFmtId="169" xfId="0" applyAlignment="1" applyBorder="1" applyFont="1" applyNumberFormat="1">
      <alignment horizontal="right"/>
    </xf>
    <xf borderId="0" fillId="0" fontId="12" numFmtId="0" xfId="0" applyAlignment="1" applyFont="1">
      <alignment horizontal="right"/>
    </xf>
    <xf borderId="11" fillId="4" fontId="5" numFmtId="164" xfId="0" applyAlignment="1" applyBorder="1" applyFont="1" applyNumberFormat="1">
      <alignment horizontal="right"/>
    </xf>
    <xf borderId="20" fillId="4" fontId="5" numFmtId="164" xfId="0" applyAlignment="1" applyBorder="1" applyFont="1" applyNumberFormat="1">
      <alignment horizontal="right"/>
    </xf>
    <xf borderId="12" fillId="6" fontId="5" numFmtId="169" xfId="0" applyBorder="1" applyFont="1" applyNumberFormat="1"/>
    <xf borderId="11" fillId="5" fontId="8" numFmtId="169" xfId="0" applyBorder="1" applyFont="1" applyNumberFormat="1"/>
    <xf borderId="0" fillId="0" fontId="12" numFmtId="169" xfId="0" applyFont="1" applyNumberFormat="1"/>
    <xf borderId="12" fillId="5" fontId="8" numFmtId="169" xfId="0" applyBorder="1" applyFont="1" applyNumberFormat="1"/>
    <xf borderId="11" fillId="10" fontId="13" numFmtId="178" xfId="0" applyBorder="1" applyFont="1" applyNumberFormat="1"/>
    <xf borderId="11" fillId="2" fontId="5" numFmtId="179" xfId="0" applyAlignment="1" applyBorder="1" applyFont="1" applyNumberFormat="1">
      <alignment horizontal="center" vertical="center"/>
    </xf>
    <xf borderId="20" fillId="4" fontId="5" numFmtId="0" xfId="0" applyAlignment="1" applyBorder="1" applyFont="1">
      <alignment horizontal="left"/>
    </xf>
    <xf borderId="12" fillId="3" fontId="5" numFmtId="168" xfId="0" applyAlignment="1" applyBorder="1" applyFont="1" applyNumberFormat="1">
      <alignment horizontal="right" vertical="center"/>
    </xf>
    <xf borderId="24" fillId="4" fontId="5" numFmtId="0" xfId="0" applyBorder="1" applyFont="1"/>
    <xf borderId="12" fillId="10" fontId="13" numFmtId="164" xfId="0" applyAlignment="1" applyBorder="1" applyFont="1" applyNumberFormat="1">
      <alignment horizontal="right" vertical="center"/>
    </xf>
    <xf borderId="11" fillId="5" fontId="8" numFmtId="164" xfId="0" applyAlignment="1" applyBorder="1" applyFont="1" applyNumberFormat="1">
      <alignment horizontal="right" vertical="center"/>
    </xf>
    <xf borderId="22" fillId="10" fontId="13" numFmtId="164" xfId="0" applyAlignment="1" applyBorder="1" applyFont="1" applyNumberFormat="1">
      <alignment horizontal="right" vertical="center"/>
    </xf>
    <xf borderId="7" fillId="0" fontId="13" numFmtId="168" xfId="0" applyAlignment="1" applyBorder="1" applyFont="1" applyNumberFormat="1">
      <alignment horizontal="right" vertical="center"/>
    </xf>
    <xf borderId="11" fillId="4" fontId="5" numFmtId="164" xfId="0" applyAlignment="1" applyBorder="1" applyFont="1" applyNumberFormat="1">
      <alignment horizontal="right" vertical="center"/>
    </xf>
    <xf borderId="25" fillId="5" fontId="8" numFmtId="0" xfId="0" applyAlignment="1" applyBorder="1" applyFont="1">
      <alignment horizontal="left" vertical="center"/>
    </xf>
    <xf borderId="14" fillId="5" fontId="8" numFmtId="169" xfId="0" applyAlignment="1" applyBorder="1" applyFont="1" applyNumberFormat="1">
      <alignment horizontal="right" vertical="center"/>
    </xf>
    <xf borderId="25" fillId="10" fontId="13" numFmtId="0" xfId="0" applyAlignment="1" applyBorder="1" applyFont="1">
      <alignment horizontal="left" vertical="center"/>
    </xf>
    <xf borderId="6" fillId="0" fontId="13" numFmtId="169" xfId="0" applyAlignment="1" applyBorder="1" applyFont="1" applyNumberFormat="1">
      <alignment horizontal="right" vertical="center"/>
    </xf>
    <xf borderId="11" fillId="0" fontId="13" numFmtId="176" xfId="0" applyAlignment="1" applyBorder="1" applyFont="1" applyNumberFormat="1">
      <alignment horizontal="right" vertical="center"/>
    </xf>
    <xf borderId="0" fillId="0" fontId="22" numFmtId="0" xfId="0" applyFont="1"/>
    <xf borderId="0" fillId="0" fontId="23" numFmtId="0" xfId="0" applyFont="1"/>
    <xf borderId="14" fillId="3" fontId="5" numFmtId="0" xfId="0" applyAlignment="1" applyBorder="1" applyFont="1">
      <alignment horizontal="center"/>
    </xf>
    <xf borderId="30" fillId="4" fontId="5" numFmtId="0" xfId="0" applyBorder="1" applyFont="1"/>
    <xf borderId="22" fillId="4" fontId="5" numFmtId="0" xfId="0" applyBorder="1" applyFont="1"/>
    <xf borderId="27" fillId="4" fontId="5" numFmtId="0" xfId="0" applyBorder="1" applyFont="1"/>
    <xf borderId="10" fillId="0" fontId="13" numFmtId="0" xfId="0" applyBorder="1" applyFont="1"/>
    <xf borderId="10" fillId="0" fontId="13" numFmtId="180" xfId="0" applyAlignment="1" applyBorder="1" applyFont="1" applyNumberFormat="1">
      <alignment horizontal="right"/>
    </xf>
    <xf borderId="7" fillId="0" fontId="13" numFmtId="180" xfId="0" applyAlignment="1" applyBorder="1" applyFont="1" applyNumberFormat="1">
      <alignment horizontal="right"/>
    </xf>
    <xf borderId="4" fillId="0" fontId="13" numFmtId="180" xfId="0" applyAlignment="1" applyBorder="1" applyFont="1" applyNumberFormat="1">
      <alignment horizontal="right"/>
    </xf>
    <xf borderId="3" fillId="0" fontId="13" numFmtId="180" xfId="0" applyAlignment="1" applyBorder="1" applyFont="1" applyNumberFormat="1">
      <alignment horizontal="right"/>
    </xf>
    <xf borderId="25" fillId="6" fontId="5" numFmtId="0" xfId="0" applyBorder="1" applyFont="1"/>
    <xf borderId="13" fillId="6" fontId="5" numFmtId="180" xfId="0" applyAlignment="1" applyBorder="1" applyFont="1" applyNumberFormat="1">
      <alignment horizontal="right"/>
    </xf>
    <xf borderId="12" fillId="6" fontId="5" numFmtId="180" xfId="0" applyAlignment="1" applyBorder="1" applyFont="1" applyNumberFormat="1">
      <alignment horizontal="right"/>
    </xf>
    <xf borderId="4" fillId="0" fontId="13" numFmtId="9" xfId="0" applyAlignment="1" applyBorder="1" applyFont="1" applyNumberFormat="1">
      <alignment horizontal="right"/>
    </xf>
    <xf borderId="3" fillId="0" fontId="13" numFmtId="0" xfId="0" applyAlignment="1" applyBorder="1" applyFont="1">
      <alignment horizontal="right"/>
    </xf>
    <xf borderId="3" fillId="0" fontId="13" numFmtId="165" xfId="0" applyAlignment="1" applyBorder="1" applyFont="1" applyNumberFormat="1">
      <alignment horizontal="right"/>
    </xf>
    <xf borderId="25" fillId="5" fontId="8" numFmtId="0" xfId="0" applyBorder="1" applyFont="1"/>
    <xf borderId="25" fillId="5" fontId="8" numFmtId="180" xfId="0" applyAlignment="1" applyBorder="1" applyFont="1" applyNumberFormat="1">
      <alignment horizontal="right"/>
    </xf>
    <xf borderId="24" fillId="5" fontId="8" numFmtId="180" xfId="0" applyAlignment="1" applyBorder="1" applyFont="1" applyNumberFormat="1">
      <alignment horizontal="right"/>
    </xf>
    <xf borderId="30" fillId="5" fontId="8" numFmtId="0" xfId="0" applyBorder="1" applyFont="1"/>
    <xf borderId="22" fillId="5" fontId="8" numFmtId="0" xfId="0" applyBorder="1" applyFont="1"/>
    <xf borderId="27" fillId="5" fontId="8" numFmtId="0" xfId="0" applyBorder="1" applyFont="1"/>
    <xf borderId="0" fillId="0" fontId="13" numFmtId="0" xfId="0" applyFont="1"/>
    <xf borderId="29" fillId="0" fontId="13" numFmtId="180" xfId="0" applyAlignment="1" applyBorder="1" applyFont="1" applyNumberFormat="1">
      <alignment horizontal="right"/>
    </xf>
    <xf borderId="30" fillId="5" fontId="8" numFmtId="180" xfId="0" applyAlignment="1" applyBorder="1" applyFont="1" applyNumberFormat="1">
      <alignment horizontal="right"/>
    </xf>
    <xf borderId="22" fillId="5" fontId="8" numFmtId="180" xfId="0" applyAlignment="1" applyBorder="1" applyFont="1" applyNumberFormat="1">
      <alignment horizontal="right"/>
    </xf>
    <xf borderId="27" fillId="5" fontId="8" numFmtId="180" xfId="0" applyAlignment="1" applyBorder="1" applyFont="1" applyNumberFormat="1">
      <alignment horizontal="right"/>
    </xf>
    <xf borderId="17" fillId="0" fontId="13" numFmtId="180" xfId="0" applyAlignment="1" applyBorder="1" applyFont="1" applyNumberFormat="1">
      <alignment horizontal="right"/>
    </xf>
    <xf borderId="25" fillId="13" fontId="5" numFmtId="0" xfId="0" applyBorder="1" applyFill="1" applyFont="1"/>
    <xf borderId="25" fillId="13" fontId="5" numFmtId="180" xfId="0" applyAlignment="1" applyBorder="1" applyFont="1" applyNumberFormat="1">
      <alignment horizontal="right"/>
    </xf>
    <xf borderId="24" fillId="13" fontId="5" numFmtId="180" xfId="0" applyAlignment="1" applyBorder="1" applyFont="1" applyNumberFormat="1">
      <alignment horizontal="right"/>
    </xf>
    <xf borderId="25" fillId="14" fontId="5" numFmtId="0" xfId="0" applyBorder="1" applyFill="1" applyFont="1"/>
    <xf borderId="13" fillId="14" fontId="5" numFmtId="180" xfId="0" applyAlignment="1" applyBorder="1" applyFont="1" applyNumberFormat="1">
      <alignment horizontal="right"/>
    </xf>
    <xf borderId="12" fillId="14" fontId="5" numFmtId="180" xfId="0" applyAlignment="1" applyBorder="1" applyFont="1" applyNumberFormat="1">
      <alignment horizontal="right"/>
    </xf>
    <xf borderId="25" fillId="3" fontId="5" numFmtId="0" xfId="0" applyBorder="1" applyFont="1"/>
    <xf borderId="13" fillId="3" fontId="5" numFmtId="180" xfId="0" applyAlignment="1" applyBorder="1" applyFont="1" applyNumberFormat="1">
      <alignment horizontal="right"/>
    </xf>
    <xf borderId="12" fillId="3" fontId="5" numFmtId="180" xfId="0" applyAlignment="1" applyBorder="1" applyFont="1" applyNumberFormat="1">
      <alignment horizontal="right"/>
    </xf>
    <xf borderId="25" fillId="15" fontId="23" numFmtId="0" xfId="0" applyBorder="1" applyFill="1" applyFont="1"/>
    <xf borderId="13" fillId="15" fontId="23" numFmtId="171" xfId="0" applyAlignment="1" applyBorder="1" applyFont="1" applyNumberFormat="1">
      <alignment horizontal="right"/>
    </xf>
    <xf borderId="12" fillId="15" fontId="23" numFmtId="171" xfId="0" applyAlignment="1" applyBorder="1" applyFont="1" applyNumberFormat="1">
      <alignment horizontal="right"/>
    </xf>
    <xf borderId="10" fillId="0" fontId="13" numFmtId="165" xfId="0" applyAlignment="1" applyBorder="1" applyFont="1" applyNumberFormat="1">
      <alignment horizontal="right"/>
    </xf>
    <xf borderId="7" fillId="0" fontId="13" numFmtId="165" xfId="0" applyAlignment="1" applyBorder="1" applyFont="1" applyNumberFormat="1">
      <alignment horizontal="right"/>
    </xf>
    <xf borderId="24" fillId="3" fontId="5" numFmtId="165" xfId="0" applyAlignment="1" applyBorder="1" applyFont="1" applyNumberFormat="1">
      <alignment horizontal="right"/>
    </xf>
    <xf borderId="4" fillId="0" fontId="13" numFmtId="2" xfId="0" applyAlignment="1" applyBorder="1" applyFont="1" applyNumberFormat="1">
      <alignment horizontal="right"/>
    </xf>
    <xf borderId="3" fillId="0" fontId="13" numFmtId="2" xfId="0" applyAlignment="1" applyBorder="1" applyFont="1" applyNumberFormat="1">
      <alignment horizontal="right"/>
    </xf>
    <xf borderId="12" fillId="3" fontId="5" numFmtId="166" xfId="0" applyAlignment="1" applyBorder="1" applyFont="1" applyNumberFormat="1">
      <alignment horizontal="right"/>
    </xf>
    <xf borderId="3" fillId="0" fontId="17" numFmtId="180" xfId="0" applyAlignment="1" applyBorder="1" applyFont="1" applyNumberFormat="1">
      <alignment horizontal="right"/>
    </xf>
    <xf borderId="6" fillId="0" fontId="13" numFmtId="2" xfId="0" applyAlignment="1" applyBorder="1" applyFont="1" applyNumberFormat="1">
      <alignment horizontal="right"/>
    </xf>
    <xf borderId="11" fillId="0" fontId="13" numFmtId="2" xfId="0" applyAlignment="1" applyBorder="1" applyFont="1" applyNumberFormat="1">
      <alignment horizontal="right"/>
    </xf>
    <xf borderId="11" fillId="3" fontId="5" numFmtId="166" xfId="0" applyAlignment="1" applyBorder="1" applyFont="1" applyNumberFormat="1">
      <alignment horizontal="right"/>
    </xf>
  </cellXfs>
  <cellStyles count="1">
    <cellStyle xfId="0" name="Normal" builtinId="0"/>
  </cellStyles>
  <dxfs count="2">
    <dxf>
      <font>
        <color rgb="FF1E8449"/>
      </font>
      <fill>
        <patternFill patternType="none"/>
      </fill>
      <border/>
    </dxf>
    <dxf>
      <font>
        <color rgb="FFC0392B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14"/>
    <col customWidth="1" min="2" max="2" width="25.0"/>
    <col customWidth="1" min="3" max="3" width="15.57"/>
    <col customWidth="1" min="4" max="4" width="17.57"/>
    <col customWidth="1" min="5" max="5" width="25.29"/>
    <col customWidth="1" min="6" max="6" width="18.57"/>
    <col customWidth="1" min="7" max="7" width="14.43"/>
    <col customWidth="1" min="8" max="12" width="1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tr">
        <f>Inputs!C5&amp;"  |  "&amp;Inputs!C6&amp;"  |  "&amp;Inputs!C7&amp;", "&amp;Inputs!C8</f>
        <v>  |    |  , 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5" t="s">
        <v>1</v>
      </c>
      <c r="B4" s="2"/>
      <c r="C4" s="2"/>
      <c r="D4" s="4"/>
      <c r="E4" s="5" t="s">
        <v>2</v>
      </c>
      <c r="F4" s="2"/>
      <c r="G4" s="4"/>
      <c r="H4" s="4"/>
      <c r="I4" s="4"/>
      <c r="J4" s="4"/>
      <c r="K4" s="4"/>
      <c r="L4" s="4"/>
    </row>
    <row r="5">
      <c r="A5" s="4"/>
      <c r="B5" s="6" t="s">
        <v>3</v>
      </c>
      <c r="C5" s="7" t="str">
        <f>Inputs!C10</f>
        <v/>
      </c>
      <c r="D5" s="4"/>
      <c r="E5" s="8" t="s">
        <v>4</v>
      </c>
      <c r="F5" s="9"/>
      <c r="G5" s="4"/>
      <c r="H5" s="4"/>
      <c r="I5" s="4"/>
      <c r="J5" s="4"/>
      <c r="K5" s="4"/>
      <c r="L5" s="4"/>
    </row>
    <row r="6">
      <c r="A6" s="4"/>
      <c r="B6" s="6" t="s">
        <v>5</v>
      </c>
      <c r="C6" s="10" t="str">
        <f>Inputs!C9</f>
        <v/>
      </c>
      <c r="D6" s="4"/>
      <c r="E6" s="11" t="s">
        <v>6</v>
      </c>
      <c r="F6" s="12" t="str">
        <f>'Equity Waterfall'!N62</f>
        <v>-</v>
      </c>
      <c r="G6" s="4"/>
      <c r="H6" s="4"/>
      <c r="I6" s="4"/>
      <c r="J6" s="4"/>
      <c r="K6" s="4"/>
      <c r="L6" s="4"/>
    </row>
    <row r="7">
      <c r="A7" s="4"/>
      <c r="B7" s="6" t="s">
        <v>7</v>
      </c>
      <c r="C7" s="7">
        <f>Inputs!C87</f>
        <v>-345000</v>
      </c>
      <c r="D7" s="4"/>
      <c r="E7" s="6" t="s">
        <v>8</v>
      </c>
      <c r="F7" s="13">
        <f>'Equity Waterfall'!N63</f>
        <v>0</v>
      </c>
      <c r="G7" s="4"/>
      <c r="H7" s="4"/>
      <c r="I7" s="4"/>
      <c r="J7" s="4"/>
      <c r="K7" s="4"/>
      <c r="L7" s="4"/>
    </row>
    <row r="8">
      <c r="A8" s="4"/>
      <c r="B8" s="6" t="s">
        <v>9</v>
      </c>
      <c r="C8" s="7">
        <f>Inputs!C43+Inputs!C52</f>
        <v>350000</v>
      </c>
      <c r="D8" s="4"/>
      <c r="E8" s="6" t="s">
        <v>10</v>
      </c>
      <c r="F8" s="14">
        <f>'Equity Waterfall'!N64</f>
        <v>0</v>
      </c>
      <c r="G8" s="4"/>
      <c r="H8" s="4"/>
      <c r="I8" s="4"/>
      <c r="J8" s="4"/>
      <c r="K8" s="4"/>
      <c r="L8" s="4"/>
    </row>
    <row r="9">
      <c r="A9" s="4"/>
      <c r="B9" s="6" t="s">
        <v>11</v>
      </c>
      <c r="C9" s="15" t="str">
        <f>(Inputs!C43+Inputs!C52)/Inputs!C10</f>
        <v>#DIV/0!</v>
      </c>
      <c r="D9" s="4"/>
      <c r="E9" s="6" t="s">
        <v>12</v>
      </c>
      <c r="F9" s="7">
        <f>Inputs!C88</f>
        <v>85000</v>
      </c>
      <c r="G9" s="4"/>
      <c r="H9" s="4"/>
      <c r="I9" s="4"/>
      <c r="J9" s="4"/>
      <c r="K9" s="4"/>
      <c r="L9" s="4"/>
    </row>
    <row r="10">
      <c r="A10" s="4"/>
      <c r="B10" s="6" t="s">
        <v>13</v>
      </c>
      <c r="C10" s="7" t="str">
        <f>Inputs!C10/Inputs!C9</f>
        <v>#DIV/0!</v>
      </c>
      <c r="D10" s="4"/>
      <c r="E10" s="8" t="s">
        <v>14</v>
      </c>
      <c r="F10" s="9"/>
      <c r="G10" s="4"/>
      <c r="H10" s="4"/>
      <c r="I10" s="4"/>
      <c r="J10" s="4"/>
      <c r="K10" s="4"/>
      <c r="L10" s="4"/>
    </row>
    <row r="11">
      <c r="A11" s="4"/>
      <c r="B11" s="6" t="s">
        <v>15</v>
      </c>
      <c r="C11" s="15" t="str">
        <f>'Annual CF'!C17/Inputs!C10</f>
        <v>#DIV/0!</v>
      </c>
      <c r="D11" s="4"/>
      <c r="E11" s="11" t="s">
        <v>6</v>
      </c>
      <c r="F11" s="12" t="str">
        <f>'Equity Waterfall'!N67</f>
        <v>-</v>
      </c>
      <c r="G11" s="4"/>
      <c r="H11" s="4"/>
      <c r="I11" s="4"/>
      <c r="J11" s="4"/>
      <c r="K11" s="4"/>
      <c r="L11" s="4"/>
    </row>
    <row r="12">
      <c r="A12" s="4"/>
      <c r="B12" s="6" t="s">
        <v>16</v>
      </c>
      <c r="C12" s="16" t="str">
        <f>Inputs!C15</f>
        <v/>
      </c>
      <c r="D12" s="4"/>
      <c r="E12" s="6" t="s">
        <v>8</v>
      </c>
      <c r="F12" s="13">
        <f>'Equity Waterfall'!N68</f>
        <v>0</v>
      </c>
      <c r="G12" s="4"/>
      <c r="H12" s="4"/>
      <c r="I12" s="4"/>
      <c r="J12" s="4"/>
      <c r="K12" s="4"/>
      <c r="L12" s="4"/>
    </row>
    <row r="13">
      <c r="A13" s="4"/>
      <c r="B13" s="6" t="s">
        <v>17</v>
      </c>
      <c r="C13" s="17" t="str">
        <f>Inputs!C16</f>
        <v/>
      </c>
      <c r="D13" s="4"/>
      <c r="E13" s="6" t="s">
        <v>10</v>
      </c>
      <c r="F13" s="14">
        <f>'Equity Waterfall'!N69</f>
        <v>0</v>
      </c>
      <c r="G13" s="4"/>
      <c r="H13" s="4"/>
      <c r="I13" s="4"/>
      <c r="J13" s="4"/>
      <c r="K13" s="4"/>
      <c r="L13" s="4"/>
    </row>
    <row r="14">
      <c r="A14" s="4"/>
      <c r="B14" s="18" t="s">
        <v>18</v>
      </c>
      <c r="C14" s="19">
        <f>Inputs!C96</f>
        <v>0.09</v>
      </c>
      <c r="D14" s="4"/>
      <c r="E14" s="18" t="s">
        <v>12</v>
      </c>
      <c r="F14" s="20">
        <f>Inputs!C89</f>
        <v>-430000</v>
      </c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5" t="s">
        <v>19</v>
      </c>
      <c r="B16" s="2"/>
      <c r="C16" s="2"/>
      <c r="D16" s="4"/>
      <c r="E16" s="5" t="s">
        <v>20</v>
      </c>
      <c r="F16" s="2"/>
      <c r="G16" s="4"/>
      <c r="H16" s="4"/>
      <c r="I16" s="4"/>
      <c r="J16" s="4"/>
      <c r="K16" s="4"/>
      <c r="L16" s="4"/>
    </row>
    <row r="17">
      <c r="A17" s="4"/>
      <c r="B17" s="6" t="s">
        <v>3</v>
      </c>
      <c r="C17" s="7" t="str">
        <f>Inputs!C10</f>
        <v/>
      </c>
      <c r="D17" s="4"/>
      <c r="E17" s="6" t="s">
        <v>21</v>
      </c>
      <c r="F17" s="7">
        <f>'Annual CF'!C17</f>
        <v>0</v>
      </c>
      <c r="G17" s="4"/>
      <c r="H17" s="4"/>
      <c r="I17" s="4"/>
      <c r="J17" s="4"/>
      <c r="K17" s="4"/>
      <c r="L17" s="4"/>
    </row>
    <row r="18">
      <c r="A18" s="4"/>
      <c r="B18" s="6" t="s">
        <v>22</v>
      </c>
      <c r="C18" s="7">
        <f>Inputs!C85</f>
        <v>0</v>
      </c>
      <c r="D18" s="4"/>
      <c r="E18" s="6" t="s">
        <v>23</v>
      </c>
      <c r="F18" s="21" t="str">
        <f>'Annual CF'!C72</f>
        <v>-</v>
      </c>
      <c r="G18" s="4"/>
      <c r="H18" s="4"/>
      <c r="I18" s="4"/>
      <c r="J18" s="4"/>
      <c r="K18" s="4"/>
      <c r="L18" s="4"/>
    </row>
    <row r="19">
      <c r="A19" s="4"/>
      <c r="B19" s="6" t="s">
        <v>24</v>
      </c>
      <c r="C19" s="7">
        <f>Inputs!C10*Inputs!C12</f>
        <v>0</v>
      </c>
      <c r="D19" s="4"/>
      <c r="E19" s="6" t="s">
        <v>25</v>
      </c>
      <c r="F19" s="15">
        <f>IF(Inputs!C87=0,0,'Annual CF'!C62/Inputs!C87)</f>
        <v>1.014492754</v>
      </c>
      <c r="G19" s="4"/>
      <c r="H19" s="4"/>
      <c r="I19" s="4"/>
      <c r="J19" s="4"/>
      <c r="K19" s="4"/>
      <c r="L19" s="4"/>
    </row>
    <row r="20">
      <c r="A20" s="4"/>
      <c r="B20" s="6" t="s">
        <v>26</v>
      </c>
      <c r="C20" s="7">
        <f>Inputs!C10*Inputs!C13</f>
        <v>0</v>
      </c>
      <c r="D20" s="4"/>
      <c r="E20" s="6" t="s">
        <v>15</v>
      </c>
      <c r="F20" s="15" t="str">
        <f>'Annual CF'!C17/Inputs!C10</f>
        <v>#DIV/0!</v>
      </c>
      <c r="G20" s="4"/>
      <c r="H20" s="4"/>
      <c r="I20" s="4"/>
      <c r="J20" s="4"/>
      <c r="K20" s="4"/>
      <c r="L20" s="4"/>
    </row>
    <row r="21" ht="15.75" customHeight="1">
      <c r="A21" s="4"/>
      <c r="B21" s="6" t="s">
        <v>27</v>
      </c>
      <c r="C21" s="7">
        <f>Inputs!C86</f>
        <v>5000</v>
      </c>
      <c r="D21" s="4"/>
      <c r="E21" s="6" t="s">
        <v>28</v>
      </c>
      <c r="F21" s="7">
        <f>SUM('Annual CF'!C17:L17)</f>
        <v>0</v>
      </c>
      <c r="G21" s="4"/>
      <c r="H21" s="4"/>
      <c r="I21" s="4"/>
      <c r="J21" s="4"/>
      <c r="K21" s="4"/>
      <c r="L21" s="4"/>
    </row>
    <row r="22" ht="15.75" customHeight="1">
      <c r="A22" s="4"/>
      <c r="B22" s="22" t="s">
        <v>29</v>
      </c>
      <c r="C22" s="23">
        <f>Inputs!C81</f>
        <v>5000</v>
      </c>
      <c r="D22" s="4"/>
      <c r="E22" s="6" t="s">
        <v>30</v>
      </c>
      <c r="F22" s="7">
        <f>SUM('Annual CF'!C62:L62)</f>
        <v>-350000</v>
      </c>
      <c r="G22" s="4"/>
      <c r="H22" s="4"/>
      <c r="I22" s="4"/>
      <c r="J22" s="4"/>
      <c r="K22" s="4"/>
      <c r="L22" s="4"/>
    </row>
    <row r="23" ht="15.75" customHeight="1">
      <c r="A23" s="4"/>
      <c r="B23" s="24" t="s">
        <v>31</v>
      </c>
      <c r="C23" s="9"/>
      <c r="D23" s="4"/>
      <c r="E23" s="6" t="s">
        <v>32</v>
      </c>
      <c r="F23" s="7">
        <f>Inputs!C101</f>
        <v>0</v>
      </c>
      <c r="G23" s="4"/>
      <c r="H23" s="4"/>
      <c r="I23" s="4"/>
      <c r="J23" s="4"/>
      <c r="K23" s="4"/>
      <c r="L23" s="4"/>
    </row>
    <row r="24" ht="15.75" customHeight="1">
      <c r="A24" s="4"/>
      <c r="B24" s="11" t="s">
        <v>33</v>
      </c>
      <c r="C24" s="14">
        <f>Inputs!C43</f>
        <v>0</v>
      </c>
      <c r="D24" s="4"/>
      <c r="E24" s="6" t="s">
        <v>34</v>
      </c>
      <c r="F24" s="7">
        <f>Inputs!C103</f>
        <v>0</v>
      </c>
      <c r="G24" s="4"/>
      <c r="H24" s="4"/>
      <c r="I24" s="4"/>
      <c r="J24" s="4"/>
      <c r="K24" s="4"/>
      <c r="L24" s="4"/>
    </row>
    <row r="25" ht="15.75" customHeight="1">
      <c r="A25" s="4"/>
      <c r="B25" s="6" t="s">
        <v>35</v>
      </c>
      <c r="C25" s="7">
        <f>Inputs!C52</f>
        <v>350000</v>
      </c>
      <c r="D25" s="4"/>
      <c r="E25" s="24" t="s">
        <v>36</v>
      </c>
      <c r="F25" s="9"/>
      <c r="G25" s="4"/>
      <c r="H25" s="4"/>
      <c r="I25" s="4"/>
      <c r="J25" s="4"/>
      <c r="K25" s="4"/>
      <c r="L25" s="4"/>
    </row>
    <row r="26" ht="15.75" customHeight="1">
      <c r="A26" s="4"/>
      <c r="B26" s="18" t="s">
        <v>37</v>
      </c>
      <c r="C26" s="20">
        <f>Inputs!C87</f>
        <v>-345000</v>
      </c>
      <c r="D26" s="4"/>
      <c r="E26" s="11" t="s">
        <v>38</v>
      </c>
      <c r="F26" s="25" t="str">
        <f>IF('Annual CF'!C72&gt;=1.25,"✓ PASS","✗ FAIL")</f>
        <v>✓ PASS</v>
      </c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18" t="s">
        <v>39</v>
      </c>
      <c r="F27" s="26" t="str">
        <f>IF('Annual CF'!C62&gt;0,"✓ PASS","✗ FAIL")</f>
        <v>✗ FAIL</v>
      </c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5" t="s">
        <v>40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4"/>
      <c r="B30" s="27" t="s">
        <v>41</v>
      </c>
      <c r="C30" s="28" t="s">
        <v>42</v>
      </c>
      <c r="D30" s="28" t="s">
        <v>43</v>
      </c>
      <c r="E30" s="28" t="s">
        <v>44</v>
      </c>
      <c r="F30" s="28" t="s">
        <v>45</v>
      </c>
      <c r="G30" s="28" t="s">
        <v>46</v>
      </c>
      <c r="H30" s="28" t="s">
        <v>47</v>
      </c>
      <c r="I30" s="28" t="s">
        <v>48</v>
      </c>
      <c r="J30" s="28" t="s">
        <v>49</v>
      </c>
      <c r="K30" s="28" t="s">
        <v>50</v>
      </c>
      <c r="L30" s="28" t="s">
        <v>51</v>
      </c>
    </row>
    <row r="31" ht="15.75" customHeight="1">
      <c r="A31" s="4"/>
      <c r="B31" s="29" t="s">
        <v>52</v>
      </c>
      <c r="C31" s="30">
        <f>'Annual CF'!C17</f>
        <v>0</v>
      </c>
      <c r="D31" s="30">
        <f>'Annual CF'!D17</f>
        <v>0</v>
      </c>
      <c r="E31" s="30">
        <f>'Annual CF'!E17</f>
        <v>0</v>
      </c>
      <c r="F31" s="30">
        <f>'Annual CF'!F17</f>
        <v>0</v>
      </c>
      <c r="G31" s="30">
        <f>'Annual CF'!G17</f>
        <v>0</v>
      </c>
      <c r="H31" s="30">
        <f>'Annual CF'!H17</f>
        <v>0</v>
      </c>
      <c r="I31" s="30">
        <f>'Annual CF'!I17</f>
        <v>0</v>
      </c>
      <c r="J31" s="30">
        <f>'Annual CF'!J17</f>
        <v>0</v>
      </c>
      <c r="K31" s="30">
        <f>'Annual CF'!K17</f>
        <v>0</v>
      </c>
      <c r="L31" s="30">
        <f>'Annual CF'!L17</f>
        <v>0</v>
      </c>
    </row>
    <row r="32" ht="15.75" customHeight="1">
      <c r="A32" s="4"/>
      <c r="B32" s="31" t="s">
        <v>53</v>
      </c>
      <c r="C32" s="32">
        <f>'Annual CF'!C28</f>
        <v>-5000</v>
      </c>
      <c r="D32" s="32">
        <f>'Annual CF'!D28</f>
        <v>0</v>
      </c>
      <c r="E32" s="32">
        <f>'Annual CF'!E28</f>
        <v>0</v>
      </c>
      <c r="F32" s="32">
        <f>'Annual CF'!F28</f>
        <v>0</v>
      </c>
      <c r="G32" s="32">
        <f>'Annual CF'!G28</f>
        <v>0</v>
      </c>
      <c r="H32" s="32">
        <f>'Annual CF'!H28</f>
        <v>0</v>
      </c>
      <c r="I32" s="32">
        <f>'Annual CF'!I28</f>
        <v>0</v>
      </c>
      <c r="J32" s="32">
        <f>'Annual CF'!J28</f>
        <v>0</v>
      </c>
      <c r="K32" s="32">
        <f>'Annual CF'!K28</f>
        <v>0</v>
      </c>
      <c r="L32" s="32">
        <f>'Annual CF'!L28</f>
        <v>0</v>
      </c>
    </row>
    <row r="33" ht="15.75" customHeight="1">
      <c r="A33" s="4"/>
      <c r="B33" s="29" t="s">
        <v>54</v>
      </c>
      <c r="C33" s="33">
        <f>'Annual CF'!C62</f>
        <v>-350000</v>
      </c>
      <c r="D33" s="33">
        <f>'Annual CF'!D62</f>
        <v>0</v>
      </c>
      <c r="E33" s="33">
        <f>'Annual CF'!E62</f>
        <v>0</v>
      </c>
      <c r="F33" s="33">
        <f>'Annual CF'!F62</f>
        <v>0</v>
      </c>
      <c r="G33" s="33">
        <f>'Annual CF'!G62</f>
        <v>0</v>
      </c>
      <c r="H33" s="33">
        <f>'Annual CF'!H62</f>
        <v>0</v>
      </c>
      <c r="I33" s="33">
        <f>'Annual CF'!I62</f>
        <v>0</v>
      </c>
      <c r="J33" s="33">
        <f>'Annual CF'!J62</f>
        <v>0</v>
      </c>
      <c r="K33" s="33">
        <f>'Annual CF'!K62</f>
        <v>0</v>
      </c>
      <c r="L33" s="33">
        <f>'Annual CF'!L62</f>
        <v>0</v>
      </c>
    </row>
    <row r="34" ht="15.75" customHeight="1">
      <c r="A34" s="4"/>
      <c r="B34" s="31" t="s">
        <v>55</v>
      </c>
      <c r="C34" s="34" t="str">
        <f>'Annual CF'!C72</f>
        <v>-</v>
      </c>
      <c r="D34" s="34" t="str">
        <f>'Annual CF'!D72</f>
        <v>-</v>
      </c>
      <c r="E34" s="34" t="str">
        <f>'Annual CF'!E72</f>
        <v>-</v>
      </c>
      <c r="F34" s="34" t="str">
        <f>'Annual CF'!F72</f>
        <v>-</v>
      </c>
      <c r="G34" s="34" t="str">
        <f>'Annual CF'!G72</f>
        <v>-</v>
      </c>
      <c r="H34" s="34" t="str">
        <f>'Annual CF'!H72</f>
        <v>-</v>
      </c>
      <c r="I34" s="34" t="str">
        <f>'Annual CF'!I72</f>
        <v>-</v>
      </c>
      <c r="J34" s="34" t="str">
        <f>'Annual CF'!J72</f>
        <v>-</v>
      </c>
      <c r="K34" s="34" t="str">
        <f>'Annual CF'!K72</f>
        <v>-</v>
      </c>
      <c r="L34" s="34" t="str">
        <f>'Annual CF'!L72</f>
        <v>-</v>
      </c>
    </row>
    <row r="35" ht="15.75" customHeight="1">
      <c r="A35" s="4"/>
      <c r="B35" s="29" t="s">
        <v>56</v>
      </c>
      <c r="C35" s="33">
        <f>'Annual CF'!C67</f>
        <v>0</v>
      </c>
      <c r="D35" s="33">
        <f>'Annual CF'!D67</f>
        <v>0</v>
      </c>
      <c r="E35" s="33">
        <f>'Annual CF'!E67</f>
        <v>0</v>
      </c>
      <c r="F35" s="33">
        <f>'Annual CF'!F67</f>
        <v>0</v>
      </c>
      <c r="G35" s="33">
        <f>'Annual CF'!G67</f>
        <v>0</v>
      </c>
      <c r="H35" s="33">
        <f>'Annual CF'!H67</f>
        <v>0</v>
      </c>
      <c r="I35" s="33">
        <f>'Annual CF'!I67</f>
        <v>0</v>
      </c>
      <c r="J35" s="33">
        <f>'Annual CF'!J67</f>
        <v>0</v>
      </c>
      <c r="K35" s="33">
        <f>'Annual CF'!K67</f>
        <v>0</v>
      </c>
      <c r="L35" s="33">
        <f>'Annual CF'!L67</f>
        <v>0</v>
      </c>
    </row>
    <row r="36" ht="15.75" customHeight="1">
      <c r="A36" s="4"/>
      <c r="B36" s="31" t="s">
        <v>57</v>
      </c>
      <c r="C36" s="32">
        <f>'Annual CF'!C69</f>
        <v>0</v>
      </c>
      <c r="D36" s="32">
        <f>'Annual CF'!D69</f>
        <v>0</v>
      </c>
      <c r="E36" s="32">
        <f>'Annual CF'!E69</f>
        <v>0</v>
      </c>
      <c r="F36" s="32">
        <f>'Annual CF'!F69</f>
        <v>0</v>
      </c>
      <c r="G36" s="32">
        <f>'Annual CF'!G69</f>
        <v>0</v>
      </c>
      <c r="H36" s="32">
        <f>'Annual CF'!H69</f>
        <v>0</v>
      </c>
      <c r="I36" s="32">
        <f>'Annual CF'!I69</f>
        <v>0</v>
      </c>
      <c r="J36" s="32">
        <f>'Annual CF'!J69</f>
        <v>0</v>
      </c>
      <c r="K36" s="32">
        <f>'Annual CF'!K69</f>
        <v>0</v>
      </c>
      <c r="L36" s="32">
        <f>'Annual CF'!L69</f>
        <v>0</v>
      </c>
    </row>
    <row r="37" ht="15.75" customHeight="1">
      <c r="A37" s="4"/>
      <c r="B37" s="35" t="s">
        <v>58</v>
      </c>
      <c r="C37" s="36">
        <f>'Annual CF'!C63</f>
        <v>-350000</v>
      </c>
      <c r="D37" s="36">
        <f>'Annual CF'!D63</f>
        <v>-350000</v>
      </c>
      <c r="E37" s="36">
        <f>'Annual CF'!E63</f>
        <v>-350000</v>
      </c>
      <c r="F37" s="36">
        <f>'Annual CF'!F63</f>
        <v>-350000</v>
      </c>
      <c r="G37" s="36">
        <f>'Annual CF'!G63</f>
        <v>-350000</v>
      </c>
      <c r="H37" s="36">
        <f>'Annual CF'!H63</f>
        <v>-350000</v>
      </c>
      <c r="I37" s="36">
        <f>'Annual CF'!I63</f>
        <v>-350000</v>
      </c>
      <c r="J37" s="36">
        <f>'Annual CF'!J63</f>
        <v>-350000</v>
      </c>
      <c r="K37" s="36">
        <f>'Annual CF'!K63</f>
        <v>-350000</v>
      </c>
      <c r="L37" s="36">
        <f>'Annual CF'!L63</f>
        <v>-350000</v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5" t="s">
        <v>59</v>
      </c>
      <c r="B39" s="2"/>
      <c r="C39" s="2"/>
      <c r="D39" s="4"/>
      <c r="E39" s="5" t="s">
        <v>60</v>
      </c>
      <c r="F39" s="2"/>
      <c r="G39" s="4"/>
      <c r="H39" s="4"/>
      <c r="I39" s="4"/>
      <c r="J39" s="4"/>
      <c r="K39" s="4"/>
      <c r="L39" s="4"/>
    </row>
    <row r="40" ht="15.75" customHeight="1">
      <c r="A40" s="4"/>
      <c r="B40" s="6" t="s">
        <v>61</v>
      </c>
      <c r="C40" s="37" t="str">
        <f>'Equity Waterfall'!N72</f>
        <v>-</v>
      </c>
      <c r="D40" s="4"/>
      <c r="E40" s="6" t="s">
        <v>33</v>
      </c>
      <c r="F40" s="7">
        <f>Inputs!C43</f>
        <v>0</v>
      </c>
      <c r="G40" s="4"/>
      <c r="H40" s="4"/>
      <c r="I40" s="4"/>
      <c r="J40" s="4"/>
      <c r="K40" s="4"/>
      <c r="L40" s="4"/>
    </row>
    <row r="41" ht="15.75" customHeight="1">
      <c r="A41" s="4"/>
      <c r="B41" s="6" t="s">
        <v>62</v>
      </c>
      <c r="C41" s="13">
        <f>'Equity Waterfall'!N73</f>
        <v>0</v>
      </c>
      <c r="D41" s="4"/>
      <c r="E41" s="6" t="s">
        <v>63</v>
      </c>
      <c r="F41" s="38" t="str">
        <f>TEXT(Inputs!C44,"0.0%")&amp;" / "&amp;Inputs!C45&amp;"yr / Yr "&amp;Inputs!C46</f>
        <v>5.0% / 25yr / Yr 5</v>
      </c>
      <c r="G41" s="4"/>
      <c r="H41" s="4"/>
      <c r="I41" s="4"/>
      <c r="J41" s="4"/>
      <c r="K41" s="4"/>
      <c r="L41" s="4"/>
    </row>
    <row r="42" ht="15.75" customHeight="1">
      <c r="A42" s="4"/>
      <c r="B42" s="6" t="s">
        <v>64</v>
      </c>
      <c r="C42" s="14">
        <f>'Equity Waterfall'!N53</f>
        <v>0</v>
      </c>
      <c r="D42" s="4"/>
      <c r="E42" s="6" t="s">
        <v>35</v>
      </c>
      <c r="F42" s="7">
        <f>Inputs!C52</f>
        <v>350000</v>
      </c>
      <c r="G42" s="4"/>
      <c r="H42" s="4"/>
      <c r="I42" s="4"/>
      <c r="J42" s="4"/>
      <c r="K42" s="4"/>
      <c r="L42" s="4"/>
    </row>
    <row r="43" ht="15.75" customHeight="1">
      <c r="A43" s="4"/>
      <c r="B43" s="6" t="s">
        <v>65</v>
      </c>
      <c r="C43" s="7">
        <f>'Equity Waterfall'!N51</f>
        <v>0</v>
      </c>
      <c r="D43" s="4"/>
      <c r="E43" s="6" t="s">
        <v>63</v>
      </c>
      <c r="F43" s="38" t="str">
        <f>TEXT(Inputs!C53,"0.0%")&amp;" / "&amp;Inputs!C54&amp;"yr / Yr "&amp;Inputs!C55</f>
        <v>5.0% / 25yr / Yr 5</v>
      </c>
      <c r="G43" s="4"/>
      <c r="H43" s="4"/>
      <c r="I43" s="4"/>
      <c r="J43" s="4"/>
      <c r="K43" s="4"/>
      <c r="L43" s="4"/>
    </row>
    <row r="44" ht="15.75" customHeight="1">
      <c r="A44" s="4"/>
      <c r="B44" s="18" t="s">
        <v>66</v>
      </c>
      <c r="C44" s="20">
        <f>'Equity Waterfall'!N52</f>
        <v>0</v>
      </c>
      <c r="D44" s="4"/>
      <c r="E44" s="6" t="s">
        <v>67</v>
      </c>
      <c r="F44" s="7">
        <f>Inputs!C67</f>
        <v>0</v>
      </c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18" t="s">
        <v>68</v>
      </c>
      <c r="F45" s="39" t="str">
        <f>TEXT(Inputs!C68,"0.0%")&amp;" / "&amp;Inputs!C69&amp;"yr / "&amp;Inputs!C70&amp;"yr"</f>
        <v>7.0% / 25yr / 7yr</v>
      </c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0" t="s">
        <v>69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41" t="s">
        <v>70</v>
      </c>
    </row>
    <row r="49" ht="15.75" customHeight="1">
      <c r="A49" s="41" t="s">
        <v>71</v>
      </c>
    </row>
    <row r="50" ht="15.75" customHeight="1">
      <c r="A50" s="41" t="s">
        <v>72</v>
      </c>
    </row>
    <row r="51" ht="15.75" customHeight="1">
      <c r="A51" s="41" t="str">
        <f>"• Equity waterfall: Preferred Return → GP Catch-Up → "&amp;TEXT(Inputs!C115,"0%")&amp;"/"&amp;TEXT(Inputs!D115,"0%")&amp;" Residual → "&amp;TEXT(Inputs!C116,"0%")&amp;"/"&amp;TEXT(Inputs!D116,"0%")&amp;" above "&amp;TEXT(Inputs!C109,"0%")&amp;" IRR hurdle"</f>
        <v>• Equity waterfall: Preferred Return → GP Catch-Up → 70%/30% Residual → 50%/50% above 15% IRR hurdle</v>
      </c>
    </row>
    <row r="52" ht="15.75" customHeight="1">
      <c r="A52" s="41" t="s">
        <v>73</v>
      </c>
    </row>
    <row r="53" ht="15.75" customHeight="1">
      <c r="A53" s="41" t="s">
        <v>74</v>
      </c>
    </row>
    <row r="54" ht="15.75" customHeight="1">
      <c r="A54" s="41" t="s">
        <v>75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21">
    <mergeCell ref="A1:L1"/>
    <mergeCell ref="A2:L2"/>
    <mergeCell ref="A4:C4"/>
    <mergeCell ref="E4:F4"/>
    <mergeCell ref="E5:F5"/>
    <mergeCell ref="E10:F10"/>
    <mergeCell ref="E16:F16"/>
    <mergeCell ref="A48:L48"/>
    <mergeCell ref="A49:L49"/>
    <mergeCell ref="A50:L50"/>
    <mergeCell ref="A51:L51"/>
    <mergeCell ref="A52:L52"/>
    <mergeCell ref="A53:L53"/>
    <mergeCell ref="A54:L54"/>
    <mergeCell ref="A16:C16"/>
    <mergeCell ref="B23:C23"/>
    <mergeCell ref="E25:F25"/>
    <mergeCell ref="A29:L29"/>
    <mergeCell ref="A39:C39"/>
    <mergeCell ref="E39:F39"/>
    <mergeCell ref="A47:L47"/>
  </mergeCells>
  <conditionalFormatting sqref="F26:F27">
    <cfRule type="containsText" dxfId="0" priority="1" operator="containsText" text="PASS">
      <formula>NOT(ISERROR(SEARCH(("PASS"),(F26))))</formula>
    </cfRule>
  </conditionalFormatting>
  <conditionalFormatting sqref="F26:F27">
    <cfRule type="containsText" dxfId="1" priority="2" operator="containsText" text="FAIL">
      <formula>NOT(ISERROR(SEARCH(("FAIL"),(F26))))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40.57"/>
    <col customWidth="1" min="3" max="3" width="27.29"/>
    <col customWidth="1" min="4" max="4" width="21.43"/>
    <col customWidth="1" min="5" max="5" width="21.0"/>
    <col customWidth="1" min="6" max="6" width="18.71"/>
  </cols>
  <sheetData>
    <row r="1" ht="30.0" customHeight="1">
      <c r="A1" s="42" t="s">
        <v>76</v>
      </c>
      <c r="B1" s="2"/>
      <c r="C1" s="2"/>
      <c r="D1" s="2"/>
      <c r="E1" s="2"/>
      <c r="F1" s="2"/>
    </row>
    <row r="2" ht="15.75" customHeight="1">
      <c r="A2" s="43" t="s">
        <v>77</v>
      </c>
      <c r="B2" s="2"/>
      <c r="C2" s="2"/>
      <c r="D2" s="2"/>
      <c r="E2" s="2"/>
      <c r="F2" s="2"/>
    </row>
    <row r="3">
      <c r="A3" s="44"/>
      <c r="B3" s="44"/>
      <c r="C3" s="44"/>
      <c r="D3" s="44"/>
      <c r="E3" s="44"/>
      <c r="F3" s="44"/>
    </row>
    <row r="4" ht="18.0" customHeight="1">
      <c r="A4" s="45" t="s">
        <v>78</v>
      </c>
      <c r="B4" s="2"/>
      <c r="C4" s="2"/>
      <c r="D4" s="2"/>
      <c r="E4" s="2"/>
      <c r="F4" s="2"/>
    </row>
    <row r="5" ht="15.75" customHeight="1">
      <c r="A5" s="44"/>
      <c r="B5" s="46" t="s">
        <v>79</v>
      </c>
      <c r="C5" s="47"/>
      <c r="D5" s="44"/>
      <c r="E5" s="44"/>
      <c r="F5" s="44"/>
    </row>
    <row r="6" ht="15.75" customHeight="1">
      <c r="A6" s="44"/>
      <c r="B6" s="46" t="s">
        <v>80</v>
      </c>
      <c r="C6" s="47"/>
      <c r="D6" s="44"/>
      <c r="E6" s="44"/>
      <c r="F6" s="44"/>
    </row>
    <row r="7" ht="15.75" customHeight="1">
      <c r="A7" s="44"/>
      <c r="B7" s="46" t="s">
        <v>81</v>
      </c>
      <c r="C7" s="47"/>
      <c r="D7" s="44"/>
      <c r="E7" s="44"/>
      <c r="F7" s="44"/>
    </row>
    <row r="8" ht="15.75" customHeight="1">
      <c r="A8" s="44"/>
      <c r="B8" s="46" t="s">
        <v>82</v>
      </c>
      <c r="C8" s="47"/>
      <c r="D8" s="44"/>
      <c r="E8" s="44"/>
      <c r="F8" s="44"/>
    </row>
    <row r="9" ht="15.75" customHeight="1">
      <c r="A9" s="44"/>
      <c r="B9" s="46" t="s">
        <v>83</v>
      </c>
      <c r="C9" s="48"/>
      <c r="D9" s="44"/>
      <c r="E9" s="44"/>
      <c r="F9" s="44"/>
    </row>
    <row r="10" ht="15.75" customHeight="1">
      <c r="A10" s="44"/>
      <c r="B10" s="46" t="s">
        <v>84</v>
      </c>
      <c r="C10" s="49"/>
      <c r="D10" s="50" t="s">
        <v>85</v>
      </c>
      <c r="E10" s="44"/>
      <c r="F10" s="44"/>
    </row>
    <row r="11" ht="15.75" customHeight="1">
      <c r="A11" s="44"/>
      <c r="B11" s="51" t="s">
        <v>86</v>
      </c>
      <c r="C11" s="52"/>
      <c r="D11" s="53">
        <f>C10*C11</f>
        <v>0</v>
      </c>
      <c r="E11" s="44"/>
      <c r="F11" s="44"/>
    </row>
    <row r="12" ht="15.75" customHeight="1">
      <c r="A12" s="44"/>
      <c r="B12" s="51" t="s">
        <v>87</v>
      </c>
      <c r="C12" s="54">
        <f>IF(C10=0,0,D12/C10)</f>
        <v>0</v>
      </c>
      <c r="D12" s="55"/>
      <c r="E12" s="44"/>
      <c r="F12" s="44"/>
    </row>
    <row r="13" ht="15.75" customHeight="1">
      <c r="A13" s="44"/>
      <c r="B13" s="51" t="s">
        <v>88</v>
      </c>
      <c r="C13" s="56"/>
      <c r="D13" s="57">
        <f>C10*C13</f>
        <v>0</v>
      </c>
      <c r="E13" s="44"/>
      <c r="F13" s="44"/>
    </row>
    <row r="14" ht="15.75" customHeight="1">
      <c r="A14" s="44"/>
      <c r="B14" s="46" t="s">
        <v>89</v>
      </c>
      <c r="C14" s="58"/>
      <c r="D14" s="44"/>
      <c r="E14" s="44"/>
      <c r="F14" s="44"/>
    </row>
    <row r="15" ht="15.75" customHeight="1">
      <c r="A15" s="44"/>
      <c r="B15" s="46" t="s">
        <v>90</v>
      </c>
      <c r="C15" s="59"/>
      <c r="D15" s="44"/>
      <c r="E15" s="44"/>
      <c r="F15" s="44"/>
    </row>
    <row r="16" ht="15.75" customHeight="1">
      <c r="A16" s="44"/>
      <c r="B16" s="46" t="s">
        <v>91</v>
      </c>
      <c r="C16" s="60"/>
      <c r="D16" s="44"/>
      <c r="E16" s="44"/>
      <c r="F16" s="44"/>
    </row>
    <row r="17">
      <c r="A17" s="44"/>
      <c r="B17" s="44"/>
      <c r="C17" s="44"/>
      <c r="D17" s="44"/>
      <c r="E17" s="44"/>
      <c r="F17" s="44"/>
    </row>
    <row r="18" ht="18.0" customHeight="1">
      <c r="A18" s="61" t="s">
        <v>92</v>
      </c>
      <c r="B18" s="61"/>
      <c r="C18" s="62" t="s">
        <v>93</v>
      </c>
      <c r="D18" s="62" t="s">
        <v>94</v>
      </c>
      <c r="E18" s="62" t="s">
        <v>95</v>
      </c>
      <c r="F18" s="61"/>
    </row>
    <row r="19" ht="15.0" customHeight="1">
      <c r="A19" s="44"/>
      <c r="B19" s="63" t="s">
        <v>96</v>
      </c>
    </row>
    <row r="20" ht="15.75" customHeight="1">
      <c r="A20" s="44"/>
      <c r="B20" s="46" t="s">
        <v>97</v>
      </c>
      <c r="C20" s="64"/>
      <c r="D20" s="65">
        <v>0.1</v>
      </c>
      <c r="E20" s="66">
        <f>C20*(1+D20)</f>
        <v>0</v>
      </c>
      <c r="F20" s="44"/>
    </row>
    <row r="21" ht="15.75" customHeight="1">
      <c r="A21" s="44"/>
      <c r="B21" s="46" t="s">
        <v>98</v>
      </c>
      <c r="C21" s="67"/>
      <c r="D21" s="68"/>
      <c r="E21" s="69" t="str">
        <f t="shared" ref="E21:E22" si="1">C21</f>
        <v/>
      </c>
      <c r="F21" s="44"/>
    </row>
    <row r="22" ht="15.75" customHeight="1">
      <c r="A22" s="44"/>
      <c r="B22" s="46" t="s">
        <v>99</v>
      </c>
      <c r="C22" s="67"/>
      <c r="D22" s="70"/>
      <c r="E22" s="69" t="str">
        <f t="shared" si="1"/>
        <v/>
      </c>
      <c r="F22" s="44"/>
    </row>
    <row r="23" ht="15.75" customHeight="1">
      <c r="A23" s="44"/>
      <c r="B23" s="46" t="s">
        <v>100</v>
      </c>
      <c r="C23" s="71">
        <f>IncomeExpenses!C47</f>
        <v>0</v>
      </c>
      <c r="D23" s="72">
        <v>0.05</v>
      </c>
      <c r="E23" s="73">
        <f>C23*(1+D23)</f>
        <v>0</v>
      </c>
      <c r="F23" s="44"/>
    </row>
    <row r="24" ht="15.75" customHeight="1">
      <c r="A24" s="44"/>
      <c r="B24" s="74" t="s">
        <v>101</v>
      </c>
      <c r="C24" s="75">
        <v>0.05</v>
      </c>
      <c r="D24" s="44"/>
      <c r="E24" s="76"/>
      <c r="F24" s="44"/>
    </row>
    <row r="25" ht="15.75" customHeight="1">
      <c r="A25" s="44"/>
      <c r="B25" s="74" t="s">
        <v>102</v>
      </c>
      <c r="C25" s="77">
        <v>1.0</v>
      </c>
      <c r="D25" s="44"/>
      <c r="E25" s="78"/>
      <c r="F25" s="44"/>
    </row>
    <row r="26" ht="15.75" customHeight="1">
      <c r="A26" s="44"/>
      <c r="B26" s="44"/>
      <c r="C26" s="44"/>
      <c r="D26" s="44"/>
      <c r="E26" s="44"/>
      <c r="F26" s="44"/>
    </row>
    <row r="27" ht="18.0" customHeight="1">
      <c r="A27" s="61" t="s">
        <v>103</v>
      </c>
      <c r="B27" s="61"/>
      <c r="C27" s="62" t="s">
        <v>93</v>
      </c>
      <c r="D27" s="62" t="s">
        <v>94</v>
      </c>
      <c r="E27" s="62" t="s">
        <v>95</v>
      </c>
      <c r="F27" s="61"/>
    </row>
    <row r="28" ht="15.75" customHeight="1">
      <c r="A28" s="44"/>
      <c r="B28" s="46" t="s">
        <v>104</v>
      </c>
      <c r="C28" s="79"/>
      <c r="D28" s="44"/>
      <c r="E28" s="80" t="str">
        <f>C28</f>
        <v/>
      </c>
      <c r="F28" s="44"/>
    </row>
    <row r="29" ht="15.75" customHeight="1">
      <c r="A29" s="44"/>
      <c r="B29" s="46" t="s">
        <v>105</v>
      </c>
      <c r="C29" s="81">
        <f>IncomeExpenses!C90</f>
        <v>0</v>
      </c>
      <c r="D29" s="44"/>
      <c r="E29" s="82"/>
      <c r="F29" s="44"/>
    </row>
    <row r="30" ht="15.75" customHeight="1">
      <c r="A30" s="44"/>
      <c r="B30" s="74" t="s">
        <v>106</v>
      </c>
      <c r="C30" s="83">
        <v>0.03</v>
      </c>
      <c r="D30" s="44"/>
      <c r="E30" s="70"/>
      <c r="F30" s="44"/>
    </row>
    <row r="31" ht="15.75" customHeight="1">
      <c r="A31" s="44"/>
      <c r="B31" s="74" t="s">
        <v>107</v>
      </c>
      <c r="C31" s="77">
        <v>1.0</v>
      </c>
      <c r="D31" s="44"/>
      <c r="E31" s="78"/>
      <c r="F31" s="44"/>
    </row>
    <row r="32" ht="15.75" customHeight="1">
      <c r="A32" s="44"/>
      <c r="B32" s="44"/>
      <c r="C32" s="44"/>
      <c r="D32" s="44"/>
      <c r="E32" s="44"/>
      <c r="F32" s="44"/>
    </row>
    <row r="33" ht="18.0" customHeight="1">
      <c r="A33" s="61" t="s">
        <v>108</v>
      </c>
      <c r="B33" s="61"/>
      <c r="C33" s="84" t="s">
        <v>109</v>
      </c>
      <c r="D33" s="84" t="s">
        <v>110</v>
      </c>
      <c r="E33" s="61"/>
      <c r="F33" s="61"/>
    </row>
    <row r="34" ht="15.75" customHeight="1">
      <c r="A34" s="44"/>
      <c r="B34" s="46" t="s">
        <v>111</v>
      </c>
      <c r="C34" s="85"/>
      <c r="D34" s="86">
        <v>1.0</v>
      </c>
      <c r="E34" s="44"/>
      <c r="F34" s="44"/>
    </row>
    <row r="35" ht="15.75" customHeight="1">
      <c r="A35" s="44"/>
      <c r="B35" s="46" t="s">
        <v>112</v>
      </c>
      <c r="C35" s="87"/>
      <c r="D35" s="86">
        <v>4.0</v>
      </c>
      <c r="E35" s="44"/>
      <c r="F35" s="44"/>
    </row>
    <row r="36" ht="15.75" customHeight="1">
      <c r="A36" s="44"/>
      <c r="B36" s="46" t="s">
        <v>113</v>
      </c>
      <c r="C36" s="87"/>
      <c r="D36" s="86">
        <v>7.0</v>
      </c>
      <c r="E36" s="44"/>
      <c r="F36" s="44"/>
    </row>
    <row r="37" ht="15.75" customHeight="1">
      <c r="A37" s="44"/>
      <c r="B37" s="46" t="s">
        <v>114</v>
      </c>
      <c r="C37" s="87"/>
      <c r="D37" s="86">
        <v>9.0</v>
      </c>
      <c r="E37" s="44"/>
      <c r="F37" s="44"/>
    </row>
    <row r="38" ht="15.75" customHeight="1">
      <c r="A38" s="44"/>
      <c r="B38" s="46" t="s">
        <v>115</v>
      </c>
      <c r="C38" s="87"/>
      <c r="D38" s="86">
        <v>11.0</v>
      </c>
      <c r="E38" s="44"/>
      <c r="F38" s="44"/>
    </row>
    <row r="39" ht="15.75" customHeight="1">
      <c r="A39" s="44"/>
      <c r="B39" s="46" t="s">
        <v>116</v>
      </c>
      <c r="C39" s="87"/>
      <c r="D39" s="77">
        <v>13.0</v>
      </c>
      <c r="E39" s="44"/>
      <c r="F39" s="44"/>
    </row>
    <row r="40" ht="15.75" customHeight="1">
      <c r="A40" s="44"/>
      <c r="B40" s="44"/>
      <c r="C40" s="44"/>
      <c r="D40" s="44"/>
      <c r="E40" s="44"/>
      <c r="F40" s="44"/>
    </row>
    <row r="41" ht="18.0" customHeight="1">
      <c r="A41" s="45" t="s">
        <v>117</v>
      </c>
      <c r="B41" s="2"/>
      <c r="C41" s="2"/>
      <c r="D41" s="2"/>
      <c r="E41" s="2"/>
      <c r="F41" s="2"/>
    </row>
    <row r="42" ht="15.0" customHeight="1">
      <c r="A42" s="44"/>
      <c r="B42" s="88" t="s">
        <v>118</v>
      </c>
      <c r="C42" s="2"/>
      <c r="D42" s="2"/>
      <c r="E42" s="2"/>
      <c r="F42" s="44"/>
    </row>
    <row r="43" ht="15.75" customHeight="1">
      <c r="A43" s="44"/>
      <c r="B43" s="46" t="s">
        <v>119</v>
      </c>
      <c r="C43" s="89">
        <f>D81</f>
        <v>0</v>
      </c>
      <c r="D43" s="44"/>
      <c r="E43" s="44"/>
      <c r="F43" s="44"/>
    </row>
    <row r="44" ht="15.75" customHeight="1">
      <c r="A44" s="44"/>
      <c r="B44" s="46" t="s">
        <v>120</v>
      </c>
      <c r="C44" s="90">
        <v>0.05</v>
      </c>
      <c r="D44" s="44"/>
      <c r="E44" s="44"/>
      <c r="F44" s="44"/>
    </row>
    <row r="45" ht="15.75" customHeight="1">
      <c r="A45" s="44"/>
      <c r="B45" s="46" t="s">
        <v>121</v>
      </c>
      <c r="C45" s="91">
        <v>25.0</v>
      </c>
      <c r="D45" s="44"/>
      <c r="E45" s="44"/>
      <c r="F45" s="44"/>
    </row>
    <row r="46" ht="15.75" customHeight="1">
      <c r="A46" s="44"/>
      <c r="B46" s="46" t="s">
        <v>122</v>
      </c>
      <c r="C46" s="92">
        <v>5.0</v>
      </c>
      <c r="D46" s="44"/>
      <c r="E46" s="44"/>
      <c r="F46" s="44"/>
    </row>
    <row r="47" ht="15.75" customHeight="1">
      <c r="A47" s="44"/>
      <c r="B47" s="46" t="s">
        <v>123</v>
      </c>
      <c r="C47" s="91">
        <v>0.0</v>
      </c>
      <c r="D47" s="44"/>
      <c r="E47" s="44"/>
      <c r="F47" s="44"/>
    </row>
    <row r="48" ht="15.75" customHeight="1">
      <c r="A48" s="44"/>
      <c r="B48" s="46" t="s">
        <v>124</v>
      </c>
      <c r="C48" s="93">
        <v>1.0</v>
      </c>
      <c r="D48" s="44"/>
      <c r="E48" s="44"/>
      <c r="F48" s="44"/>
    </row>
    <row r="49" ht="15.75" customHeight="1">
      <c r="A49" s="44"/>
      <c r="B49" s="51" t="s">
        <v>125</v>
      </c>
      <c r="C49" s="91">
        <v>9.0</v>
      </c>
      <c r="D49" s="44"/>
      <c r="E49" s="44"/>
      <c r="F49" s="44"/>
    </row>
    <row r="50" ht="15.75" customHeight="1">
      <c r="A50" s="44"/>
      <c r="B50" s="44"/>
      <c r="C50" s="44"/>
      <c r="D50" s="44"/>
      <c r="E50" s="44"/>
      <c r="F50" s="44"/>
    </row>
    <row r="51" ht="15.0" customHeight="1">
      <c r="A51" s="44"/>
      <c r="B51" s="88">
        <v>0.0</v>
      </c>
      <c r="C51" s="2"/>
      <c r="D51" s="2"/>
      <c r="E51" s="2"/>
      <c r="F51" s="44"/>
    </row>
    <row r="52" ht="15.75" customHeight="1">
      <c r="A52" s="44"/>
      <c r="B52" s="46" t="s">
        <v>126</v>
      </c>
      <c r="C52" s="89">
        <f>E81</f>
        <v>350000</v>
      </c>
      <c r="D52" s="44"/>
      <c r="E52" s="44"/>
      <c r="F52" s="44"/>
    </row>
    <row r="53" ht="15.75" customHeight="1">
      <c r="A53" s="44"/>
      <c r="B53" s="46" t="s">
        <v>127</v>
      </c>
      <c r="C53" s="94">
        <v>0.05</v>
      </c>
      <c r="D53" s="44"/>
      <c r="E53" s="44"/>
      <c r="F53" s="44"/>
    </row>
    <row r="54" ht="15.75" customHeight="1">
      <c r="A54" s="44"/>
      <c r="B54" s="46" t="s">
        <v>128</v>
      </c>
      <c r="C54" s="95">
        <v>25.0</v>
      </c>
      <c r="D54" s="44"/>
      <c r="E54" s="44"/>
      <c r="F54" s="44"/>
    </row>
    <row r="55" ht="15.75" customHeight="1">
      <c r="A55" s="44"/>
      <c r="B55" s="46" t="s">
        <v>129</v>
      </c>
      <c r="C55" s="92">
        <v>5.0</v>
      </c>
      <c r="D55" s="44"/>
      <c r="E55" s="44"/>
      <c r="F55" s="44"/>
    </row>
    <row r="56" ht="15.75" customHeight="1">
      <c r="A56" s="44"/>
      <c r="B56" s="46" t="s">
        <v>130</v>
      </c>
      <c r="C56" s="91"/>
      <c r="D56" s="44"/>
      <c r="E56" s="44"/>
      <c r="F56" s="44"/>
    </row>
    <row r="57" ht="15.75" customHeight="1">
      <c r="A57" s="44"/>
      <c r="B57" s="46" t="s">
        <v>131</v>
      </c>
      <c r="C57" s="93">
        <v>1.0</v>
      </c>
      <c r="D57" s="44"/>
      <c r="E57" s="44"/>
      <c r="F57" s="44"/>
    </row>
    <row r="58" ht="15.75" customHeight="1">
      <c r="A58" s="44"/>
      <c r="B58" s="51" t="s">
        <v>132</v>
      </c>
      <c r="C58" s="91">
        <v>1.0</v>
      </c>
      <c r="D58" s="44"/>
      <c r="E58" s="44"/>
      <c r="F58" s="44"/>
    </row>
    <row r="59" ht="15.75" customHeight="1">
      <c r="A59" s="44"/>
      <c r="B59" s="44"/>
      <c r="C59" s="44"/>
      <c r="D59" s="44"/>
      <c r="E59" s="44"/>
      <c r="F59" s="44"/>
    </row>
    <row r="60" ht="15.0" customHeight="1">
      <c r="A60" s="44"/>
      <c r="B60" s="88" t="s">
        <v>133</v>
      </c>
      <c r="C60" s="2"/>
      <c r="D60" s="2"/>
      <c r="E60" s="2"/>
      <c r="F60" s="44"/>
    </row>
    <row r="61" ht="15.0" customHeight="1">
      <c r="A61" s="44"/>
      <c r="B61" s="51" t="s">
        <v>134</v>
      </c>
      <c r="C61" s="83">
        <v>0.09</v>
      </c>
      <c r="D61" s="44"/>
      <c r="E61" s="44"/>
      <c r="F61" s="44"/>
    </row>
    <row r="62" ht="15.0" customHeight="1">
      <c r="A62" s="44"/>
      <c r="B62" s="96" t="s">
        <v>135</v>
      </c>
      <c r="C62" s="97">
        <v>0.75</v>
      </c>
      <c r="D62" s="44"/>
      <c r="E62" s="44"/>
      <c r="F62" s="44"/>
    </row>
    <row r="63" ht="15.0" customHeight="1">
      <c r="A63" s="44"/>
      <c r="B63" s="96" t="s">
        <v>136</v>
      </c>
      <c r="C63" s="97">
        <v>0.02</v>
      </c>
      <c r="D63" s="44"/>
      <c r="E63" s="44"/>
      <c r="F63" s="44"/>
    </row>
    <row r="64" ht="15.0" customHeight="1">
      <c r="A64" s="44"/>
      <c r="B64" s="96" t="str">
        <f>"  Refi Year NOI (Year "&amp;C16&amp;")"</f>
        <v>  Refi Year NOI (Year )</v>
      </c>
      <c r="C64" s="98">
        <f t="array" ref="C64">SUMPRODUCT(('Monthly CF'!$C$5:$DR$5=C16)*'Monthly CF'!$C$20:$DR$20)</f>
        <v>0</v>
      </c>
      <c r="D64" s="44"/>
      <c r="E64" s="44"/>
      <c r="F64" s="44"/>
    </row>
    <row r="65" ht="15.0" customHeight="1">
      <c r="A65" s="44"/>
      <c r="B65" s="96" t="s">
        <v>137</v>
      </c>
      <c r="C65" s="73">
        <f>C64/C61</f>
        <v>0</v>
      </c>
      <c r="D65" s="44"/>
      <c r="E65" s="44"/>
      <c r="F65" s="44"/>
    </row>
    <row r="66" ht="15.0" customHeight="1">
      <c r="A66" s="44"/>
      <c r="B66" s="96" t="s">
        <v>138</v>
      </c>
      <c r="C66" s="99">
        <f>C65*C63</f>
        <v>0</v>
      </c>
      <c r="D66" s="44"/>
      <c r="E66" s="44"/>
      <c r="F66" s="44"/>
    </row>
    <row r="67" ht="15.75" customHeight="1">
      <c r="A67" s="44"/>
      <c r="B67" s="46" t="s">
        <v>139</v>
      </c>
      <c r="C67" s="100">
        <f>C65*C62</f>
        <v>0</v>
      </c>
      <c r="D67" s="44"/>
      <c r="E67" s="44"/>
      <c r="F67" s="44"/>
    </row>
    <row r="68" ht="15.75" customHeight="1">
      <c r="A68" s="44"/>
      <c r="B68" s="46" t="s">
        <v>140</v>
      </c>
      <c r="C68" s="90">
        <v>0.07</v>
      </c>
      <c r="D68" s="44"/>
      <c r="E68" s="44"/>
      <c r="F68" s="44"/>
    </row>
    <row r="69" ht="15.75" customHeight="1">
      <c r="A69" s="44"/>
      <c r="B69" s="46" t="s">
        <v>141</v>
      </c>
      <c r="C69" s="91">
        <v>25.0</v>
      </c>
      <c r="D69" s="44"/>
      <c r="E69" s="44"/>
      <c r="F69" s="44"/>
    </row>
    <row r="70" ht="15.75" customHeight="1">
      <c r="A70" s="44"/>
      <c r="B70" s="46" t="s">
        <v>142</v>
      </c>
      <c r="C70" s="91">
        <v>7.0</v>
      </c>
      <c r="D70" s="44"/>
      <c r="E70" s="44"/>
      <c r="F70" s="44"/>
    </row>
    <row r="71" ht="15.75" customHeight="1">
      <c r="A71" s="44"/>
      <c r="B71" s="46" t="s">
        <v>143</v>
      </c>
      <c r="C71" s="91">
        <v>0.0</v>
      </c>
      <c r="D71" s="44"/>
      <c r="E71" s="44"/>
      <c r="F71" s="44"/>
    </row>
    <row r="72" ht="15.75" customHeight="1">
      <c r="A72" s="44"/>
      <c r="B72" s="44"/>
      <c r="C72" s="44"/>
      <c r="D72" s="44"/>
      <c r="E72" s="44"/>
      <c r="F72" s="44"/>
    </row>
    <row r="73" ht="15.75" customHeight="1">
      <c r="A73" s="44"/>
      <c r="B73" s="101" t="s">
        <v>144</v>
      </c>
      <c r="C73" s="102"/>
      <c r="D73" s="102"/>
      <c r="E73" s="102"/>
      <c r="F73" s="102"/>
    </row>
    <row r="74" ht="15.75" customHeight="1">
      <c r="A74" s="44"/>
      <c r="B74" s="103" t="s">
        <v>145</v>
      </c>
      <c r="C74" s="104" t="s">
        <v>146</v>
      </c>
      <c r="D74" s="104" t="s">
        <v>147</v>
      </c>
      <c r="E74" s="104" t="s">
        <v>148</v>
      </c>
      <c r="F74" s="105" t="s">
        <v>149</v>
      </c>
    </row>
    <row r="75" ht="15.75" customHeight="1">
      <c r="A75" s="44"/>
      <c r="B75" s="96" t="s">
        <v>3</v>
      </c>
      <c r="C75" s="106" t="str">
        <f>C10</f>
        <v/>
      </c>
      <c r="D75" s="98">
        <f>$D$11</f>
        <v>0</v>
      </c>
      <c r="E75" s="107">
        <v>350000.0</v>
      </c>
      <c r="F75" s="108">
        <f t="shared" ref="F75:F81" si="2">C75-D75-E75</f>
        <v>-350000</v>
      </c>
    </row>
    <row r="76" ht="15.75" customHeight="1">
      <c r="A76" s="44"/>
      <c r="B76" s="96" t="s">
        <v>22</v>
      </c>
      <c r="C76" s="106">
        <f>C85</f>
        <v>0</v>
      </c>
      <c r="D76" s="109">
        <v>0.0</v>
      </c>
      <c r="E76" s="109">
        <v>0.0</v>
      </c>
      <c r="F76" s="108">
        <f t="shared" si="2"/>
        <v>0</v>
      </c>
    </row>
    <row r="77" ht="15.75" customHeight="1">
      <c r="A77" s="44"/>
      <c r="B77" s="96" t="s">
        <v>150</v>
      </c>
      <c r="C77" s="106">
        <f>C10*C93</f>
        <v>0</v>
      </c>
      <c r="D77" s="109">
        <v>0.0</v>
      </c>
      <c r="E77" s="109">
        <v>0.0</v>
      </c>
      <c r="F77" s="108">
        <f t="shared" si="2"/>
        <v>0</v>
      </c>
    </row>
    <row r="78" ht="15.75" customHeight="1">
      <c r="A78" s="44"/>
      <c r="B78" s="96" t="s">
        <v>151</v>
      </c>
      <c r="C78" s="106" t="str">
        <f t="shared" ref="C78:C79" si="3">D12</f>
        <v/>
      </c>
      <c r="D78" s="109">
        <v>0.0</v>
      </c>
      <c r="E78" s="109">
        <v>0.0</v>
      </c>
      <c r="F78" s="108">
        <f t="shared" si="2"/>
        <v>0</v>
      </c>
    </row>
    <row r="79" ht="15.75" customHeight="1">
      <c r="A79" s="44"/>
      <c r="B79" s="96" t="s">
        <v>152</v>
      </c>
      <c r="C79" s="106">
        <f t="shared" si="3"/>
        <v>0</v>
      </c>
      <c r="D79" s="109">
        <v>0.0</v>
      </c>
      <c r="E79" s="109">
        <v>0.0</v>
      </c>
      <c r="F79" s="108">
        <f t="shared" si="2"/>
        <v>0</v>
      </c>
    </row>
    <row r="80" ht="15.75" customHeight="1">
      <c r="A80" s="44"/>
      <c r="B80" s="96" t="s">
        <v>153</v>
      </c>
      <c r="C80" s="106">
        <f>C86</f>
        <v>5000</v>
      </c>
      <c r="D80" s="109">
        <v>0.0</v>
      </c>
      <c r="E80" s="109">
        <v>0.0</v>
      </c>
      <c r="F80" s="108">
        <f t="shared" si="2"/>
        <v>5000</v>
      </c>
    </row>
    <row r="81" ht="15.75" customHeight="1">
      <c r="A81" s="44"/>
      <c r="B81" s="110" t="s">
        <v>154</v>
      </c>
      <c r="C81" s="111">
        <f t="shared" ref="C81:E81" si="4">SUM(C75:C80)</f>
        <v>5000</v>
      </c>
      <c r="D81" s="111">
        <f t="shared" si="4"/>
        <v>0</v>
      </c>
      <c r="E81" s="111">
        <f t="shared" si="4"/>
        <v>350000</v>
      </c>
      <c r="F81" s="112">
        <f t="shared" si="2"/>
        <v>-345000</v>
      </c>
    </row>
    <row r="82" ht="15.75" customHeight="1">
      <c r="A82" s="44"/>
      <c r="B82" s="44"/>
      <c r="C82" s="44"/>
      <c r="D82" s="44"/>
      <c r="E82" s="44"/>
      <c r="F82" s="44"/>
    </row>
    <row r="83" ht="15.75" customHeight="1">
      <c r="A83" s="44"/>
      <c r="B83" s="44"/>
      <c r="C83" s="44"/>
      <c r="D83" s="44"/>
      <c r="E83" s="44"/>
      <c r="F83" s="44"/>
    </row>
    <row r="84" ht="18.0" customHeight="1">
      <c r="A84" s="45" t="s">
        <v>155</v>
      </c>
      <c r="B84" s="2"/>
      <c r="C84" s="2"/>
      <c r="D84" s="2"/>
      <c r="E84" s="2"/>
      <c r="F84" s="2"/>
    </row>
    <row r="85" ht="15.75" customHeight="1">
      <c r="A85" s="44"/>
      <c r="B85" s="46" t="s">
        <v>22</v>
      </c>
      <c r="C85" s="113">
        <f>C10*D85</f>
        <v>0</v>
      </c>
      <c r="D85" s="114">
        <v>0.02</v>
      </c>
      <c r="E85" s="44"/>
      <c r="F85" s="44"/>
    </row>
    <row r="86" ht="15.75" customHeight="1">
      <c r="A86" s="44"/>
      <c r="B86" s="46" t="s">
        <v>153</v>
      </c>
      <c r="C86" s="115">
        <v>5000.0</v>
      </c>
      <c r="D86" s="44"/>
      <c r="E86" s="44"/>
      <c r="F86" s="44"/>
    </row>
    <row r="87" ht="15.75" customHeight="1">
      <c r="A87" s="44"/>
      <c r="B87" s="46" t="s">
        <v>156</v>
      </c>
      <c r="C87" s="116">
        <f>F81</f>
        <v>-345000</v>
      </c>
      <c r="D87" s="44"/>
      <c r="E87" s="44"/>
      <c r="F87" s="44"/>
    </row>
    <row r="88" ht="15.75" customHeight="1">
      <c r="A88" s="44"/>
      <c r="B88" s="51" t="s">
        <v>157</v>
      </c>
      <c r="C88" s="117">
        <v>85000.0</v>
      </c>
      <c r="D88" s="44"/>
      <c r="E88" s="44"/>
      <c r="F88" s="44"/>
    </row>
    <row r="89" ht="15.75" customHeight="1">
      <c r="A89" s="44"/>
      <c r="B89" s="51" t="s">
        <v>158</v>
      </c>
      <c r="C89" s="73">
        <f>C87-C88</f>
        <v>-430000</v>
      </c>
      <c r="D89" s="44"/>
      <c r="E89" s="44"/>
      <c r="F89" s="44"/>
    </row>
    <row r="90" ht="15.75" customHeight="1">
      <c r="A90" s="44"/>
      <c r="B90" s="46" t="s">
        <v>159</v>
      </c>
      <c r="C90" s="118">
        <f>IF(C87=0,0,C88/C87)</f>
        <v>-0.2463768116</v>
      </c>
      <c r="D90" s="44"/>
      <c r="E90" s="44"/>
      <c r="F90" s="44"/>
    </row>
    <row r="91" ht="15.75" customHeight="1">
      <c r="A91" s="44"/>
      <c r="B91" s="46" t="s">
        <v>160</v>
      </c>
      <c r="C91" s="118">
        <f>IF(C87=0,0,C89/C87)</f>
        <v>1.246376812</v>
      </c>
      <c r="D91" s="44"/>
      <c r="E91" s="44"/>
      <c r="F91" s="44"/>
    </row>
    <row r="92" ht="15.75" customHeight="1">
      <c r="A92" s="44"/>
      <c r="B92" s="46" t="s">
        <v>161</v>
      </c>
      <c r="C92" s="90">
        <v>0.02</v>
      </c>
      <c r="D92" s="44"/>
      <c r="E92" s="44"/>
      <c r="F92" s="44"/>
    </row>
    <row r="93" ht="15.75" customHeight="1">
      <c r="A93" s="44"/>
      <c r="B93" s="46" t="s">
        <v>162</v>
      </c>
      <c r="C93" s="90">
        <v>0.01</v>
      </c>
      <c r="D93" s="44"/>
      <c r="E93" s="44"/>
      <c r="F93" s="44"/>
    </row>
    <row r="94" ht="15.75" customHeight="1">
      <c r="A94" s="44"/>
      <c r="B94" s="44"/>
      <c r="C94" s="44"/>
      <c r="D94" s="44"/>
      <c r="E94" s="44"/>
      <c r="F94" s="44"/>
    </row>
    <row r="95" ht="15.75" customHeight="1">
      <c r="A95" s="119" t="s">
        <v>163</v>
      </c>
      <c r="B95" s="2"/>
      <c r="C95" s="2"/>
      <c r="D95" s="2"/>
      <c r="E95" s="2"/>
      <c r="F95" s="2"/>
    </row>
    <row r="96" ht="15.75" customHeight="1">
      <c r="A96" s="120"/>
      <c r="B96" s="51" t="s">
        <v>164</v>
      </c>
      <c r="C96" s="83">
        <v>0.09</v>
      </c>
      <c r="D96" s="44"/>
      <c r="E96" s="44"/>
      <c r="F96" s="44"/>
    </row>
    <row r="97" ht="15.75" customHeight="1">
      <c r="A97" s="120"/>
      <c r="B97" s="96" t="s">
        <v>165</v>
      </c>
      <c r="C97" s="114">
        <v>0.03</v>
      </c>
      <c r="D97" s="44"/>
      <c r="E97" s="44"/>
      <c r="F97" s="44"/>
    </row>
    <row r="98" ht="15.75" customHeight="1">
      <c r="A98" s="120"/>
      <c r="B98" s="44"/>
      <c r="C98" s="44"/>
      <c r="D98" s="44"/>
      <c r="E98" s="44"/>
      <c r="F98" s="44"/>
    </row>
    <row r="99" ht="15.75" customHeight="1">
      <c r="A99" s="120"/>
      <c r="B99" s="121" t="s">
        <v>166</v>
      </c>
      <c r="C99" s="121"/>
      <c r="D99" s="44"/>
      <c r="E99" s="44"/>
      <c r="F99" s="44"/>
    </row>
    <row r="100" ht="15.75" customHeight="1">
      <c r="A100" s="120"/>
      <c r="B100" s="96" t="str">
        <f>"  Sale Year NOI (Year "&amp;C15&amp;")"</f>
        <v>  Sale Year NOI (Year )</v>
      </c>
      <c r="C100" s="98">
        <f t="array" ref="C100">SUMPRODUCT(('Monthly CF'!$C$5:$DR$5=C15)*'Monthly CF'!$C$20:$DR$20)</f>
        <v>0</v>
      </c>
      <c r="D100" s="44"/>
      <c r="E100" s="44"/>
      <c r="F100" s="44"/>
    </row>
    <row r="101" ht="15.75" customHeight="1">
      <c r="A101" s="120"/>
      <c r="B101" s="96" t="s">
        <v>167</v>
      </c>
      <c r="C101" s="73">
        <f>C100/C96</f>
        <v>0</v>
      </c>
      <c r="D101" s="44"/>
      <c r="E101" s="44"/>
      <c r="F101" s="44"/>
    </row>
    <row r="102" ht="15.75" customHeight="1">
      <c r="A102" s="120"/>
      <c r="B102" s="96" t="s">
        <v>168</v>
      </c>
      <c r="C102" s="73">
        <f>C101*C97</f>
        <v>0</v>
      </c>
      <c r="D102" s="44"/>
      <c r="E102" s="44"/>
      <c r="F102" s="44"/>
    </row>
    <row r="103" ht="15.75" customHeight="1">
      <c r="A103" s="120"/>
      <c r="B103" s="122" t="s">
        <v>34</v>
      </c>
      <c r="C103" s="123">
        <f>C101-C102</f>
        <v>0</v>
      </c>
      <c r="D103" s="44"/>
      <c r="E103" s="44"/>
      <c r="F103" s="44"/>
    </row>
    <row r="104" ht="15.75" customHeight="1">
      <c r="A104" s="44"/>
      <c r="B104" s="44"/>
      <c r="C104" s="44"/>
      <c r="D104" s="44"/>
      <c r="E104" s="44"/>
      <c r="F104" s="44"/>
    </row>
    <row r="105" ht="15.75" customHeight="1">
      <c r="A105" s="110" t="s">
        <v>169</v>
      </c>
      <c r="B105" s="110" t="s">
        <v>169</v>
      </c>
      <c r="C105" s="124"/>
      <c r="D105" s="125"/>
      <c r="E105" s="4"/>
      <c r="F105" s="44"/>
    </row>
    <row r="106" ht="15.75" customHeight="1">
      <c r="A106" s="44"/>
      <c r="B106" s="96" t="s">
        <v>170</v>
      </c>
      <c r="C106" s="97">
        <v>0.08</v>
      </c>
      <c r="D106" s="4"/>
      <c r="E106" s="4"/>
      <c r="F106" s="44"/>
    </row>
    <row r="107" ht="15.75" customHeight="1">
      <c r="A107" s="44"/>
      <c r="B107" s="96" t="s">
        <v>171</v>
      </c>
      <c r="C107" s="97">
        <v>0.5</v>
      </c>
      <c r="D107" s="4"/>
      <c r="E107" s="4"/>
      <c r="F107" s="44"/>
    </row>
    <row r="108" ht="15.75" customHeight="1">
      <c r="A108" s="44"/>
      <c r="B108" s="96" t="s">
        <v>172</v>
      </c>
      <c r="C108" s="97">
        <v>0.2</v>
      </c>
      <c r="D108" s="4"/>
      <c r="E108" s="4"/>
      <c r="F108" s="44"/>
    </row>
    <row r="109" ht="15.75" customHeight="1">
      <c r="A109" s="44"/>
      <c r="B109" s="96" t="s">
        <v>173</v>
      </c>
      <c r="C109" s="114">
        <v>0.15</v>
      </c>
      <c r="D109" s="4"/>
      <c r="E109" s="4"/>
      <c r="F109" s="44"/>
    </row>
    <row r="110" ht="15.75" customHeight="1">
      <c r="A110" s="44"/>
      <c r="B110" s="4"/>
      <c r="C110" s="4"/>
      <c r="D110" s="4"/>
      <c r="E110" s="4"/>
      <c r="F110" s="44"/>
    </row>
    <row r="111" ht="15.75" customHeight="1">
      <c r="A111" s="44"/>
      <c r="B111" s="121" t="s">
        <v>174</v>
      </c>
      <c r="C111" s="126" t="s">
        <v>175</v>
      </c>
      <c r="D111" s="126" t="s">
        <v>176</v>
      </c>
      <c r="E111" s="4"/>
      <c r="F111" s="44"/>
    </row>
    <row r="112" ht="15.75" customHeight="1">
      <c r="A112" s="44"/>
      <c r="B112" s="127" t="s">
        <v>177</v>
      </c>
      <c r="C112" s="65">
        <v>1.0</v>
      </c>
      <c r="D112" s="128">
        <f t="shared" ref="D112:D113" si="5">1-C112</f>
        <v>0</v>
      </c>
      <c r="E112" s="4"/>
      <c r="F112" s="44"/>
    </row>
    <row r="113" ht="15.75" customHeight="1">
      <c r="A113" s="44"/>
      <c r="B113" s="96" t="s">
        <v>178</v>
      </c>
      <c r="C113" s="65">
        <v>1.0</v>
      </c>
      <c r="D113" s="128">
        <f t="shared" si="5"/>
        <v>0</v>
      </c>
      <c r="E113" s="4"/>
      <c r="F113" s="44"/>
    </row>
    <row r="114" ht="15.75" customHeight="1">
      <c r="A114" s="44"/>
      <c r="B114" s="96" t="s">
        <v>179</v>
      </c>
      <c r="C114" s="129">
        <f>1-C107</f>
        <v>0.5</v>
      </c>
      <c r="D114" s="130">
        <f>C107</f>
        <v>0.5</v>
      </c>
      <c r="E114" s="4"/>
      <c r="F114" s="44"/>
    </row>
    <row r="115" ht="15.75" customHeight="1">
      <c r="A115" s="44"/>
      <c r="B115" s="96" t="s">
        <v>180</v>
      </c>
      <c r="C115" s="65">
        <v>0.7</v>
      </c>
      <c r="D115" s="128">
        <f t="shared" ref="D115:D116" si="6">1-C115</f>
        <v>0.3</v>
      </c>
      <c r="E115" s="4"/>
      <c r="F115" s="44"/>
    </row>
    <row r="116" ht="15.75" customHeight="1">
      <c r="A116" s="44"/>
      <c r="B116" s="96" t="s">
        <v>181</v>
      </c>
      <c r="C116" s="65">
        <v>0.5</v>
      </c>
      <c r="D116" s="128">
        <f t="shared" si="6"/>
        <v>0.5</v>
      </c>
      <c r="E116" s="4"/>
      <c r="F116" s="44"/>
    </row>
    <row r="117" ht="15.75" customHeight="1">
      <c r="A117" s="44"/>
      <c r="B117" s="4"/>
      <c r="C117" s="131"/>
      <c r="D117" s="131"/>
      <c r="E117" s="4"/>
      <c r="F117" s="44"/>
    </row>
    <row r="118" ht="15.75" customHeight="1">
      <c r="A118" s="44"/>
      <c r="B118" s="121" t="s">
        <v>182</v>
      </c>
      <c r="C118" s="132"/>
      <c r="D118" s="132"/>
      <c r="E118" s="4"/>
      <c r="F118" s="44"/>
    </row>
    <row r="119" ht="15.75" customHeight="1">
      <c r="A119" s="44"/>
      <c r="B119" s="133" t="s">
        <v>183</v>
      </c>
      <c r="C119" s="4"/>
      <c r="D119" s="4"/>
      <c r="E119" s="4"/>
      <c r="F119" s="44"/>
    </row>
    <row r="120" ht="15.0" customHeight="1">
      <c r="A120" s="44"/>
      <c r="B120" s="134" t="s">
        <v>184</v>
      </c>
      <c r="C120" s="4"/>
      <c r="D120" s="4"/>
      <c r="E120" s="4"/>
      <c r="F120" s="44"/>
    </row>
    <row r="121" ht="15.0" customHeight="1">
      <c r="A121" s="44"/>
      <c r="B121" s="135" t="s">
        <v>185</v>
      </c>
      <c r="C121" s="4"/>
      <c r="D121" s="4"/>
      <c r="E121" s="4"/>
      <c r="F121" s="44"/>
    </row>
    <row r="122" ht="15.0" customHeight="1">
      <c r="A122" s="44"/>
      <c r="B122" s="4"/>
      <c r="C122" s="4"/>
      <c r="D122" s="4"/>
      <c r="E122" s="4"/>
      <c r="F122" s="44"/>
    </row>
    <row r="123" ht="15.0" customHeight="1">
      <c r="A123" s="44"/>
      <c r="B123" s="4"/>
      <c r="C123" s="4"/>
      <c r="D123" s="4"/>
      <c r="E123" s="4"/>
      <c r="F123" s="4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0">
    <mergeCell ref="B60:E60"/>
    <mergeCell ref="A84:F84"/>
    <mergeCell ref="A95:F95"/>
    <mergeCell ref="A1:F1"/>
    <mergeCell ref="A2:F2"/>
    <mergeCell ref="A4:F4"/>
    <mergeCell ref="B19:F19"/>
    <mergeCell ref="A41:F41"/>
    <mergeCell ref="B42:E42"/>
    <mergeCell ref="B51:E5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40.57"/>
    <col customWidth="1" min="3" max="3" width="27.29"/>
    <col customWidth="1" min="4" max="4" width="21.43"/>
    <col customWidth="1" min="5" max="5" width="21.0"/>
    <col customWidth="1" min="6" max="6" width="18.71"/>
  </cols>
  <sheetData>
    <row r="1" ht="30.0" customHeight="1">
      <c r="A1" s="42" t="s">
        <v>76</v>
      </c>
      <c r="B1" s="2"/>
      <c r="C1" s="2"/>
      <c r="D1" s="2"/>
      <c r="E1" s="2"/>
      <c r="F1" s="2"/>
    </row>
    <row r="2" ht="15.75" customHeight="1">
      <c r="A2" s="43" t="s">
        <v>77</v>
      </c>
      <c r="B2" s="2"/>
      <c r="C2" s="2"/>
      <c r="D2" s="2"/>
      <c r="E2" s="2"/>
      <c r="F2" s="2"/>
    </row>
    <row r="3">
      <c r="A3" s="44"/>
      <c r="B3" s="44"/>
      <c r="C3" s="44"/>
      <c r="D3" s="44"/>
      <c r="E3" s="44"/>
      <c r="F3" s="44"/>
    </row>
    <row r="4">
      <c r="A4" s="44"/>
      <c r="B4" s="44"/>
      <c r="C4" s="44"/>
      <c r="D4" s="44"/>
      <c r="E4" s="44"/>
      <c r="F4" s="44"/>
    </row>
    <row r="5" ht="18.0" customHeight="1">
      <c r="A5" s="61" t="s">
        <v>186</v>
      </c>
      <c r="B5" s="61"/>
      <c r="C5" s="62" t="s">
        <v>93</v>
      </c>
      <c r="D5" s="62" t="s">
        <v>94</v>
      </c>
      <c r="E5" s="62" t="s">
        <v>95</v>
      </c>
      <c r="F5" s="61"/>
    </row>
    <row r="6" ht="15.0" customHeight="1">
      <c r="A6" s="44"/>
      <c r="B6" s="63" t="s">
        <v>96</v>
      </c>
    </row>
    <row r="7" ht="15.75" customHeight="1">
      <c r="A7" s="44"/>
      <c r="B7" s="46" t="s">
        <v>187</v>
      </c>
      <c r="C7" s="71"/>
      <c r="D7" s="72">
        <v>0.05</v>
      </c>
      <c r="E7" s="73">
        <f t="shared" ref="E7:E46" si="1">C7*(1+D7)</f>
        <v>0</v>
      </c>
      <c r="F7" s="44"/>
    </row>
    <row r="8" ht="15.75" customHeight="1">
      <c r="A8" s="44"/>
      <c r="B8" s="46" t="s">
        <v>188</v>
      </c>
      <c r="C8" s="71"/>
      <c r="D8" s="65">
        <v>0.05</v>
      </c>
      <c r="E8" s="73">
        <f t="shared" si="1"/>
        <v>0</v>
      </c>
      <c r="F8" s="44"/>
    </row>
    <row r="9" ht="15.75" customHeight="1">
      <c r="A9" s="44"/>
      <c r="B9" s="46" t="s">
        <v>189</v>
      </c>
      <c r="C9" s="136"/>
      <c r="D9" s="65">
        <v>0.05</v>
      </c>
      <c r="E9" s="73">
        <f t="shared" si="1"/>
        <v>0</v>
      </c>
      <c r="F9" s="44"/>
    </row>
    <row r="10" ht="15.75" customHeight="1">
      <c r="A10" s="44"/>
      <c r="B10" s="46" t="s">
        <v>190</v>
      </c>
      <c r="C10" s="136"/>
      <c r="D10" s="65">
        <v>0.05</v>
      </c>
      <c r="E10" s="73">
        <f t="shared" si="1"/>
        <v>0</v>
      </c>
      <c r="F10" s="44"/>
    </row>
    <row r="11" ht="15.75" customHeight="1">
      <c r="A11" s="44"/>
      <c r="B11" s="46" t="s">
        <v>191</v>
      </c>
      <c r="C11" s="71"/>
      <c r="D11" s="137">
        <v>0.05</v>
      </c>
      <c r="E11" s="99">
        <f t="shared" si="1"/>
        <v>0</v>
      </c>
      <c r="F11" s="44"/>
    </row>
    <row r="12" ht="15.75" customHeight="1">
      <c r="A12" s="44"/>
      <c r="B12" s="46" t="s">
        <v>192</v>
      </c>
      <c r="C12" s="71"/>
      <c r="D12" s="137">
        <v>0.05</v>
      </c>
      <c r="E12" s="99">
        <f t="shared" si="1"/>
        <v>0</v>
      </c>
      <c r="F12" s="44"/>
    </row>
    <row r="13" ht="15.75" customHeight="1">
      <c r="A13" s="44"/>
      <c r="B13" s="46"/>
      <c r="C13" s="71"/>
      <c r="D13" s="137">
        <v>0.05</v>
      </c>
      <c r="E13" s="99">
        <f t="shared" si="1"/>
        <v>0</v>
      </c>
      <c r="F13" s="44"/>
    </row>
    <row r="14" ht="15.75" customHeight="1">
      <c r="A14" s="44"/>
      <c r="B14" s="46"/>
      <c r="C14" s="71"/>
      <c r="D14" s="137">
        <v>0.05</v>
      </c>
      <c r="E14" s="99">
        <f t="shared" si="1"/>
        <v>0</v>
      </c>
      <c r="F14" s="44"/>
    </row>
    <row r="15" ht="15.75" customHeight="1">
      <c r="A15" s="44"/>
      <c r="B15" s="46"/>
      <c r="C15" s="71"/>
      <c r="D15" s="137">
        <v>0.05</v>
      </c>
      <c r="E15" s="99">
        <f t="shared" si="1"/>
        <v>0</v>
      </c>
      <c r="F15" s="44"/>
    </row>
    <row r="16" ht="15.75" customHeight="1">
      <c r="A16" s="44"/>
      <c r="B16" s="46"/>
      <c r="C16" s="71"/>
      <c r="D16" s="137">
        <v>0.05</v>
      </c>
      <c r="E16" s="99">
        <f t="shared" si="1"/>
        <v>0</v>
      </c>
      <c r="F16" s="44"/>
    </row>
    <row r="17" ht="15.75" customHeight="1">
      <c r="A17" s="44"/>
      <c r="B17" s="46"/>
      <c r="C17" s="71"/>
      <c r="D17" s="137">
        <v>0.05</v>
      </c>
      <c r="E17" s="99">
        <f t="shared" si="1"/>
        <v>0</v>
      </c>
      <c r="F17" s="44"/>
    </row>
    <row r="18" ht="15.75" customHeight="1">
      <c r="A18" s="44"/>
      <c r="B18" s="46"/>
      <c r="C18" s="71"/>
      <c r="D18" s="137">
        <v>0.05</v>
      </c>
      <c r="E18" s="99">
        <f t="shared" si="1"/>
        <v>0</v>
      </c>
      <c r="F18" s="44"/>
    </row>
    <row r="19" ht="15.75" customHeight="1">
      <c r="A19" s="44"/>
      <c r="B19" s="46"/>
      <c r="C19" s="71"/>
      <c r="D19" s="137">
        <v>0.05</v>
      </c>
      <c r="E19" s="99">
        <f t="shared" si="1"/>
        <v>0</v>
      </c>
      <c r="F19" s="44"/>
    </row>
    <row r="20" ht="15.75" customHeight="1">
      <c r="A20" s="44"/>
      <c r="B20" s="46"/>
      <c r="C20" s="71"/>
      <c r="D20" s="137">
        <v>0.05</v>
      </c>
      <c r="E20" s="99">
        <f t="shared" si="1"/>
        <v>0</v>
      </c>
      <c r="F20" s="44"/>
    </row>
    <row r="21" ht="15.75" customHeight="1">
      <c r="A21" s="44"/>
      <c r="B21" s="46"/>
      <c r="C21" s="71"/>
      <c r="D21" s="137">
        <v>0.05</v>
      </c>
      <c r="E21" s="99">
        <f t="shared" si="1"/>
        <v>0</v>
      </c>
      <c r="F21" s="44"/>
    </row>
    <row r="22" ht="15.75" customHeight="1">
      <c r="A22" s="44"/>
      <c r="B22" s="46"/>
      <c r="C22" s="71"/>
      <c r="D22" s="137">
        <v>0.05</v>
      </c>
      <c r="E22" s="99">
        <f t="shared" si="1"/>
        <v>0</v>
      </c>
      <c r="F22" s="44"/>
    </row>
    <row r="23" ht="15.75" customHeight="1">
      <c r="A23" s="44"/>
      <c r="B23" s="46"/>
      <c r="C23" s="71"/>
      <c r="D23" s="137">
        <v>0.05</v>
      </c>
      <c r="E23" s="99">
        <f t="shared" si="1"/>
        <v>0</v>
      </c>
      <c r="F23" s="44"/>
    </row>
    <row r="24" ht="15.75" customHeight="1">
      <c r="A24" s="44"/>
      <c r="B24" s="46"/>
      <c r="C24" s="71"/>
      <c r="D24" s="137">
        <v>0.05</v>
      </c>
      <c r="E24" s="99">
        <f t="shared" si="1"/>
        <v>0</v>
      </c>
      <c r="F24" s="44"/>
    </row>
    <row r="25" ht="15.75" customHeight="1">
      <c r="A25" s="44"/>
      <c r="B25" s="46"/>
      <c r="C25" s="71"/>
      <c r="D25" s="137">
        <v>0.05</v>
      </c>
      <c r="E25" s="99">
        <f t="shared" si="1"/>
        <v>0</v>
      </c>
      <c r="F25" s="44"/>
    </row>
    <row r="26" ht="15.75" customHeight="1">
      <c r="A26" s="44"/>
      <c r="B26" s="46"/>
      <c r="C26" s="71"/>
      <c r="D26" s="137">
        <v>0.05</v>
      </c>
      <c r="E26" s="99">
        <f t="shared" si="1"/>
        <v>0</v>
      </c>
      <c r="F26" s="44"/>
    </row>
    <row r="27" ht="15.75" customHeight="1">
      <c r="A27" s="44"/>
      <c r="B27" s="46"/>
      <c r="C27" s="71"/>
      <c r="D27" s="137">
        <v>0.05</v>
      </c>
      <c r="E27" s="99">
        <f t="shared" si="1"/>
        <v>0</v>
      </c>
      <c r="F27" s="44"/>
    </row>
    <row r="28" ht="15.75" customHeight="1">
      <c r="A28" s="44"/>
      <c r="B28" s="46"/>
      <c r="C28" s="71"/>
      <c r="D28" s="137">
        <v>0.05</v>
      </c>
      <c r="E28" s="99">
        <f t="shared" si="1"/>
        <v>0</v>
      </c>
      <c r="F28" s="44"/>
    </row>
    <row r="29" ht="15.75" customHeight="1">
      <c r="A29" s="44"/>
      <c r="B29" s="46"/>
      <c r="C29" s="71"/>
      <c r="D29" s="137">
        <v>0.05</v>
      </c>
      <c r="E29" s="99">
        <f t="shared" si="1"/>
        <v>0</v>
      </c>
      <c r="F29" s="44"/>
    </row>
    <row r="30" ht="15.75" customHeight="1">
      <c r="A30" s="44"/>
      <c r="B30" s="46"/>
      <c r="C30" s="71"/>
      <c r="D30" s="137">
        <v>0.05</v>
      </c>
      <c r="E30" s="99">
        <f t="shared" si="1"/>
        <v>0</v>
      </c>
      <c r="F30" s="44"/>
    </row>
    <row r="31" ht="15.75" customHeight="1">
      <c r="A31" s="44"/>
      <c r="B31" s="46"/>
      <c r="C31" s="71"/>
      <c r="D31" s="137">
        <v>0.05</v>
      </c>
      <c r="E31" s="99">
        <f t="shared" si="1"/>
        <v>0</v>
      </c>
      <c r="F31" s="44"/>
    </row>
    <row r="32" ht="15.75" customHeight="1">
      <c r="A32" s="44"/>
      <c r="B32" s="46"/>
      <c r="C32" s="71"/>
      <c r="D32" s="137">
        <v>0.05</v>
      </c>
      <c r="E32" s="99">
        <f t="shared" si="1"/>
        <v>0</v>
      </c>
      <c r="F32" s="44"/>
    </row>
    <row r="33" ht="15.75" customHeight="1">
      <c r="A33" s="44"/>
      <c r="B33" s="46"/>
      <c r="C33" s="71"/>
      <c r="D33" s="137">
        <v>0.05</v>
      </c>
      <c r="E33" s="99">
        <f t="shared" si="1"/>
        <v>0</v>
      </c>
      <c r="F33" s="44"/>
    </row>
    <row r="34" ht="15.75" customHeight="1">
      <c r="A34" s="44"/>
      <c r="B34" s="46"/>
      <c r="C34" s="71"/>
      <c r="D34" s="137">
        <v>0.05</v>
      </c>
      <c r="E34" s="99">
        <f t="shared" si="1"/>
        <v>0</v>
      </c>
      <c r="F34" s="44"/>
    </row>
    <row r="35" ht="15.75" customHeight="1">
      <c r="A35" s="44"/>
      <c r="B35" s="46"/>
      <c r="C35" s="71"/>
      <c r="D35" s="137">
        <v>0.05</v>
      </c>
      <c r="E35" s="99">
        <f t="shared" si="1"/>
        <v>0</v>
      </c>
      <c r="F35" s="44"/>
    </row>
    <row r="36" ht="15.75" customHeight="1">
      <c r="A36" s="44"/>
      <c r="B36" s="46"/>
      <c r="C36" s="71"/>
      <c r="D36" s="137">
        <v>0.05</v>
      </c>
      <c r="E36" s="99">
        <f t="shared" si="1"/>
        <v>0</v>
      </c>
      <c r="F36" s="44"/>
    </row>
    <row r="37" ht="15.75" customHeight="1">
      <c r="A37" s="44"/>
      <c r="B37" s="46"/>
      <c r="C37" s="71"/>
      <c r="D37" s="137">
        <v>0.05</v>
      </c>
      <c r="E37" s="99">
        <f t="shared" si="1"/>
        <v>0</v>
      </c>
      <c r="F37" s="44"/>
    </row>
    <row r="38" ht="15.75" customHeight="1">
      <c r="A38" s="44"/>
      <c r="B38" s="46"/>
      <c r="C38" s="71"/>
      <c r="D38" s="137">
        <v>0.05</v>
      </c>
      <c r="E38" s="99">
        <f t="shared" si="1"/>
        <v>0</v>
      </c>
      <c r="F38" s="44"/>
    </row>
    <row r="39" ht="15.75" customHeight="1">
      <c r="A39" s="44"/>
      <c r="B39" s="46"/>
      <c r="C39" s="71"/>
      <c r="D39" s="137">
        <v>0.05</v>
      </c>
      <c r="E39" s="99">
        <f t="shared" si="1"/>
        <v>0</v>
      </c>
      <c r="F39" s="44"/>
    </row>
    <row r="40" ht="15.75" customHeight="1">
      <c r="A40" s="44"/>
      <c r="B40" s="46"/>
      <c r="C40" s="71"/>
      <c r="D40" s="137">
        <v>0.05</v>
      </c>
      <c r="E40" s="99">
        <f t="shared" si="1"/>
        <v>0</v>
      </c>
      <c r="F40" s="44"/>
    </row>
    <row r="41" ht="15.75" customHeight="1">
      <c r="A41" s="44"/>
      <c r="B41" s="46"/>
      <c r="C41" s="71"/>
      <c r="D41" s="137">
        <v>0.05</v>
      </c>
      <c r="E41" s="99">
        <f t="shared" si="1"/>
        <v>0</v>
      </c>
      <c r="F41" s="44"/>
    </row>
    <row r="42" ht="15.75" customHeight="1">
      <c r="A42" s="44"/>
      <c r="B42" s="46"/>
      <c r="C42" s="71"/>
      <c r="D42" s="137">
        <v>0.05</v>
      </c>
      <c r="E42" s="99">
        <f t="shared" si="1"/>
        <v>0</v>
      </c>
      <c r="F42" s="44"/>
    </row>
    <row r="43" ht="15.75" customHeight="1">
      <c r="A43" s="44"/>
      <c r="B43" s="46"/>
      <c r="C43" s="71"/>
      <c r="D43" s="137">
        <v>0.05</v>
      </c>
      <c r="E43" s="99">
        <f t="shared" si="1"/>
        <v>0</v>
      </c>
      <c r="F43" s="44"/>
    </row>
    <row r="44" ht="15.75" customHeight="1">
      <c r="A44" s="44"/>
      <c r="B44" s="46"/>
      <c r="C44" s="71"/>
      <c r="D44" s="137">
        <v>0.05</v>
      </c>
      <c r="E44" s="99">
        <f t="shared" si="1"/>
        <v>0</v>
      </c>
      <c r="F44" s="44"/>
    </row>
    <row r="45" ht="15.75" customHeight="1">
      <c r="A45" s="44"/>
      <c r="B45" s="46"/>
      <c r="C45" s="71"/>
      <c r="D45" s="137">
        <v>0.05</v>
      </c>
      <c r="E45" s="99">
        <f t="shared" si="1"/>
        <v>0</v>
      </c>
      <c r="F45" s="44"/>
    </row>
    <row r="46" ht="15.75" customHeight="1">
      <c r="A46" s="44"/>
      <c r="B46" s="46"/>
      <c r="C46" s="71"/>
      <c r="D46" s="137">
        <v>0.05</v>
      </c>
      <c r="E46" s="99">
        <f t="shared" si="1"/>
        <v>0</v>
      </c>
      <c r="F46" s="44"/>
    </row>
    <row r="47" ht="15.75" customHeight="1">
      <c r="A47" s="44"/>
      <c r="B47" s="44"/>
      <c r="C47" s="138">
        <f>SUM(C7:C46)</f>
        <v>0</v>
      </c>
      <c r="D47" s="44"/>
      <c r="E47" s="138">
        <f>SUM(E7:E46)</f>
        <v>0</v>
      </c>
      <c r="F47" s="44"/>
    </row>
    <row r="48" ht="15.75" customHeight="1">
      <c r="A48" s="44"/>
      <c r="B48" s="44"/>
      <c r="C48" s="44"/>
      <c r="D48" s="44"/>
      <c r="E48" s="44"/>
      <c r="F48" s="44"/>
    </row>
    <row r="49" ht="18.0" customHeight="1">
      <c r="A49" s="61" t="s">
        <v>193</v>
      </c>
      <c r="B49" s="61"/>
      <c r="C49" s="62" t="s">
        <v>93</v>
      </c>
      <c r="D49" s="62" t="s">
        <v>94</v>
      </c>
      <c r="E49" s="62" t="s">
        <v>95</v>
      </c>
      <c r="F49" s="61"/>
    </row>
    <row r="50" ht="15.75" customHeight="1">
      <c r="A50" s="44"/>
      <c r="B50" s="46" t="s">
        <v>194</v>
      </c>
      <c r="C50" s="139"/>
      <c r="D50" s="72">
        <v>0.04</v>
      </c>
      <c r="E50" s="66">
        <f t="shared" ref="E50:E89" si="2">C50*(1+D50)</f>
        <v>0</v>
      </c>
      <c r="F50" s="44"/>
    </row>
    <row r="51" ht="15.75" customHeight="1">
      <c r="A51" s="44"/>
      <c r="B51" s="46" t="s">
        <v>195</v>
      </c>
      <c r="C51" s="71"/>
      <c r="D51" s="137">
        <v>0.04</v>
      </c>
      <c r="E51" s="73">
        <f t="shared" si="2"/>
        <v>0</v>
      </c>
      <c r="F51" s="44"/>
    </row>
    <row r="52" ht="15.75" customHeight="1">
      <c r="A52" s="44"/>
      <c r="B52" s="46" t="s">
        <v>196</v>
      </c>
      <c r="C52" s="140"/>
      <c r="D52" s="137">
        <v>0.04</v>
      </c>
      <c r="E52" s="141">
        <f t="shared" si="2"/>
        <v>0</v>
      </c>
      <c r="F52" s="44"/>
    </row>
    <row r="53" ht="15.75" customHeight="1">
      <c r="A53" s="44"/>
      <c r="B53" s="46" t="s">
        <v>197</v>
      </c>
      <c r="C53" s="71"/>
      <c r="D53" s="137">
        <v>0.04</v>
      </c>
      <c r="E53" s="73">
        <f t="shared" si="2"/>
        <v>0</v>
      </c>
      <c r="F53" s="44"/>
    </row>
    <row r="54" ht="15.75" customHeight="1">
      <c r="A54" s="44"/>
      <c r="B54" s="46" t="s">
        <v>198</v>
      </c>
      <c r="C54" s="71"/>
      <c r="D54" s="137">
        <v>0.04</v>
      </c>
      <c r="E54" s="73">
        <f t="shared" si="2"/>
        <v>0</v>
      </c>
      <c r="F54" s="44"/>
    </row>
    <row r="55" ht="15.75" customHeight="1">
      <c r="A55" s="44"/>
      <c r="B55" s="46" t="s">
        <v>199</v>
      </c>
      <c r="C55" s="71"/>
      <c r="D55" s="137">
        <v>0.04</v>
      </c>
      <c r="E55" s="73">
        <f t="shared" si="2"/>
        <v>0</v>
      </c>
      <c r="F55" s="44"/>
    </row>
    <row r="56" ht="15.75" customHeight="1">
      <c r="A56" s="44"/>
      <c r="B56" s="46" t="s">
        <v>200</v>
      </c>
      <c r="C56" s="71"/>
      <c r="D56" s="137">
        <v>0.04</v>
      </c>
      <c r="E56" s="73">
        <f t="shared" si="2"/>
        <v>0</v>
      </c>
      <c r="F56" s="44"/>
    </row>
    <row r="57" ht="15.75" customHeight="1">
      <c r="A57" s="44"/>
      <c r="B57" s="46" t="s">
        <v>201</v>
      </c>
      <c r="C57" s="71"/>
      <c r="D57" s="137">
        <v>0.04</v>
      </c>
      <c r="E57" s="73">
        <f t="shared" si="2"/>
        <v>0</v>
      </c>
      <c r="F57" s="44"/>
    </row>
    <row r="58" ht="15.75" customHeight="1">
      <c r="A58" s="44"/>
      <c r="B58" s="46" t="s">
        <v>202</v>
      </c>
      <c r="C58" s="71"/>
      <c r="D58" s="137">
        <v>0.04</v>
      </c>
      <c r="E58" s="73">
        <f t="shared" si="2"/>
        <v>0</v>
      </c>
      <c r="F58" s="44"/>
    </row>
    <row r="59" ht="15.75" customHeight="1">
      <c r="A59" s="44"/>
      <c r="B59" s="46" t="s">
        <v>203</v>
      </c>
      <c r="C59" s="71"/>
      <c r="D59" s="137">
        <v>0.04</v>
      </c>
      <c r="E59" s="73">
        <f t="shared" si="2"/>
        <v>0</v>
      </c>
      <c r="F59" s="44"/>
    </row>
    <row r="60" ht="15.75" customHeight="1">
      <c r="A60" s="44"/>
      <c r="B60" s="46" t="s">
        <v>204</v>
      </c>
      <c r="C60" s="71"/>
      <c r="D60" s="137">
        <v>0.04</v>
      </c>
      <c r="E60" s="73">
        <f t="shared" si="2"/>
        <v>0</v>
      </c>
      <c r="F60" s="44"/>
    </row>
    <row r="61" ht="15.75" customHeight="1">
      <c r="A61" s="44"/>
      <c r="B61" s="46" t="s">
        <v>205</v>
      </c>
      <c r="C61" s="71"/>
      <c r="D61" s="137">
        <v>0.04</v>
      </c>
      <c r="E61" s="73">
        <f t="shared" si="2"/>
        <v>0</v>
      </c>
      <c r="F61" s="44"/>
    </row>
    <row r="62" ht="15.75" customHeight="1">
      <c r="A62" s="44"/>
      <c r="B62" s="46" t="s">
        <v>206</v>
      </c>
      <c r="C62" s="136"/>
      <c r="D62" s="65">
        <v>0.02</v>
      </c>
      <c r="E62" s="73">
        <f t="shared" si="2"/>
        <v>0</v>
      </c>
      <c r="F62" s="44"/>
    </row>
    <row r="63" ht="15.75" customHeight="1">
      <c r="A63" s="44"/>
      <c r="B63" s="46" t="s">
        <v>207</v>
      </c>
      <c r="C63" s="136"/>
      <c r="D63" s="65">
        <v>0.02</v>
      </c>
      <c r="E63" s="73">
        <f t="shared" si="2"/>
        <v>0</v>
      </c>
      <c r="F63" s="44"/>
    </row>
    <row r="64" ht="15.75" customHeight="1">
      <c r="A64" s="44"/>
      <c r="B64" s="46" t="s">
        <v>208</v>
      </c>
      <c r="C64" s="136"/>
      <c r="D64" s="137">
        <v>0.02</v>
      </c>
      <c r="E64" s="73">
        <f t="shared" si="2"/>
        <v>0</v>
      </c>
      <c r="F64" s="44"/>
    </row>
    <row r="65" ht="15.75" customHeight="1">
      <c r="A65" s="44"/>
      <c r="B65" s="46" t="s">
        <v>209</v>
      </c>
      <c r="C65" s="136"/>
      <c r="D65" s="137">
        <v>0.02</v>
      </c>
      <c r="E65" s="73">
        <f t="shared" si="2"/>
        <v>0</v>
      </c>
      <c r="F65" s="44"/>
    </row>
    <row r="66" ht="15.0" customHeight="1">
      <c r="A66" s="44"/>
      <c r="B66" s="46" t="s">
        <v>210</v>
      </c>
      <c r="C66" s="136"/>
      <c r="D66" s="137">
        <v>0.02</v>
      </c>
      <c r="E66" s="73">
        <f t="shared" si="2"/>
        <v>0</v>
      </c>
      <c r="F66" s="44"/>
    </row>
    <row r="67" ht="15.0" customHeight="1">
      <c r="A67" s="44"/>
      <c r="B67" s="46" t="s">
        <v>211</v>
      </c>
      <c r="C67" s="136"/>
      <c r="D67" s="137">
        <v>0.02</v>
      </c>
      <c r="E67" s="73">
        <f t="shared" si="2"/>
        <v>0</v>
      </c>
      <c r="F67" s="44"/>
    </row>
    <row r="68" ht="15.75" customHeight="1">
      <c r="A68" s="4"/>
      <c r="B68" s="46" t="s">
        <v>212</v>
      </c>
      <c r="C68" s="136"/>
      <c r="D68" s="137">
        <v>0.02</v>
      </c>
      <c r="E68" s="73">
        <f t="shared" si="2"/>
        <v>0</v>
      </c>
      <c r="F68" s="4"/>
    </row>
    <row r="69" ht="15.75" customHeight="1">
      <c r="A69" s="4"/>
      <c r="B69" s="46" t="s">
        <v>213</v>
      </c>
      <c r="C69" s="136"/>
      <c r="D69" s="137">
        <v>0.02</v>
      </c>
      <c r="E69" s="73">
        <f t="shared" si="2"/>
        <v>0</v>
      </c>
      <c r="F69" s="4"/>
    </row>
    <row r="70" ht="15.75" customHeight="1">
      <c r="A70" s="4"/>
      <c r="B70" s="46"/>
      <c r="C70" s="136"/>
      <c r="D70" s="137">
        <v>0.02</v>
      </c>
      <c r="E70" s="73">
        <f t="shared" si="2"/>
        <v>0</v>
      </c>
      <c r="F70" s="4"/>
    </row>
    <row r="71" ht="15.75" customHeight="1">
      <c r="A71" s="4"/>
      <c r="B71" s="46"/>
      <c r="C71" s="136"/>
      <c r="D71" s="137">
        <v>0.02</v>
      </c>
      <c r="E71" s="73">
        <f t="shared" si="2"/>
        <v>0</v>
      </c>
      <c r="F71" s="4"/>
    </row>
    <row r="72" ht="15.75" customHeight="1">
      <c r="A72" s="4"/>
      <c r="B72" s="46"/>
      <c r="C72" s="136"/>
      <c r="D72" s="137">
        <v>0.02</v>
      </c>
      <c r="E72" s="73">
        <f t="shared" si="2"/>
        <v>0</v>
      </c>
      <c r="F72" s="4"/>
    </row>
    <row r="73" ht="15.75" customHeight="1">
      <c r="A73" s="4"/>
      <c r="B73" s="46"/>
      <c r="C73" s="136"/>
      <c r="D73" s="137">
        <v>0.02</v>
      </c>
      <c r="E73" s="73">
        <f t="shared" si="2"/>
        <v>0</v>
      </c>
      <c r="F73" s="4"/>
    </row>
    <row r="74" ht="15.75" customHeight="1">
      <c r="A74" s="4"/>
      <c r="B74" s="46"/>
      <c r="C74" s="136"/>
      <c r="D74" s="137">
        <v>0.02</v>
      </c>
      <c r="E74" s="73">
        <f t="shared" si="2"/>
        <v>0</v>
      </c>
      <c r="F74" s="4"/>
    </row>
    <row r="75" ht="15.75" customHeight="1">
      <c r="A75" s="4"/>
      <c r="B75" s="46"/>
      <c r="C75" s="136"/>
      <c r="D75" s="137">
        <v>0.02</v>
      </c>
      <c r="E75" s="73">
        <f t="shared" si="2"/>
        <v>0</v>
      </c>
      <c r="F75" s="4"/>
    </row>
    <row r="76" ht="15.75" customHeight="1">
      <c r="A76" s="4"/>
      <c r="B76" s="46"/>
      <c r="C76" s="136"/>
      <c r="D76" s="137">
        <v>0.02</v>
      </c>
      <c r="E76" s="73">
        <f t="shared" si="2"/>
        <v>0</v>
      </c>
      <c r="F76" s="4"/>
    </row>
    <row r="77" ht="15.75" customHeight="1">
      <c r="A77" s="4"/>
      <c r="B77" s="46"/>
      <c r="C77" s="136"/>
      <c r="D77" s="137">
        <v>0.02</v>
      </c>
      <c r="E77" s="73">
        <f t="shared" si="2"/>
        <v>0</v>
      </c>
      <c r="F77" s="4"/>
    </row>
    <row r="78" ht="15.75" customHeight="1">
      <c r="A78" s="4"/>
      <c r="B78" s="46"/>
      <c r="C78" s="136"/>
      <c r="D78" s="137">
        <v>0.02</v>
      </c>
      <c r="E78" s="73">
        <f t="shared" si="2"/>
        <v>0</v>
      </c>
      <c r="F78" s="4"/>
    </row>
    <row r="79" ht="15.75" customHeight="1">
      <c r="A79" s="4"/>
      <c r="B79" s="46"/>
      <c r="C79" s="136"/>
      <c r="D79" s="137">
        <v>0.02</v>
      </c>
      <c r="E79" s="73">
        <f t="shared" si="2"/>
        <v>0</v>
      </c>
      <c r="F79" s="4"/>
    </row>
    <row r="80" ht="15.75" customHeight="1">
      <c r="A80" s="4"/>
      <c r="B80" s="46"/>
      <c r="C80" s="136"/>
      <c r="D80" s="137">
        <v>0.02</v>
      </c>
      <c r="E80" s="73">
        <f t="shared" si="2"/>
        <v>0</v>
      </c>
      <c r="F80" s="4"/>
    </row>
    <row r="81" ht="15.75" customHeight="1">
      <c r="A81" s="4"/>
      <c r="B81" s="46"/>
      <c r="C81" s="136"/>
      <c r="D81" s="137">
        <v>0.02</v>
      </c>
      <c r="E81" s="73">
        <f t="shared" si="2"/>
        <v>0</v>
      </c>
      <c r="F81" s="4"/>
    </row>
    <row r="82" ht="15.75" customHeight="1">
      <c r="A82" s="4"/>
      <c r="B82" s="46"/>
      <c r="C82" s="136"/>
      <c r="D82" s="137">
        <v>0.02</v>
      </c>
      <c r="E82" s="73">
        <f t="shared" si="2"/>
        <v>0</v>
      </c>
      <c r="F82" s="4"/>
    </row>
    <row r="83" ht="15.75" customHeight="1">
      <c r="A83" s="4"/>
      <c r="B83" s="46"/>
      <c r="C83" s="136"/>
      <c r="D83" s="137">
        <v>0.02</v>
      </c>
      <c r="E83" s="73">
        <f t="shared" si="2"/>
        <v>0</v>
      </c>
      <c r="F83" s="4"/>
    </row>
    <row r="84" ht="15.75" customHeight="1">
      <c r="A84" s="4"/>
      <c r="B84" s="46"/>
      <c r="C84" s="136"/>
      <c r="D84" s="137">
        <v>0.02</v>
      </c>
      <c r="E84" s="73">
        <f t="shared" si="2"/>
        <v>0</v>
      </c>
      <c r="F84" s="4"/>
    </row>
    <row r="85" ht="15.75" customHeight="1">
      <c r="A85" s="4"/>
      <c r="B85" s="46"/>
      <c r="C85" s="136"/>
      <c r="D85" s="137">
        <v>0.02</v>
      </c>
      <c r="E85" s="73">
        <f t="shared" si="2"/>
        <v>0</v>
      </c>
      <c r="F85" s="4"/>
    </row>
    <row r="86" ht="15.75" customHeight="1">
      <c r="A86" s="4"/>
      <c r="B86" s="46"/>
      <c r="C86" s="136"/>
      <c r="D86" s="137">
        <v>0.02</v>
      </c>
      <c r="E86" s="73">
        <f t="shared" si="2"/>
        <v>0</v>
      </c>
      <c r="F86" s="4"/>
    </row>
    <row r="87" ht="15.75" customHeight="1">
      <c r="A87" s="4"/>
      <c r="B87" s="46"/>
      <c r="C87" s="136"/>
      <c r="D87" s="137">
        <v>0.02</v>
      </c>
      <c r="E87" s="73">
        <f t="shared" si="2"/>
        <v>0</v>
      </c>
      <c r="F87" s="4"/>
    </row>
    <row r="88" ht="15.75" customHeight="1">
      <c r="A88" s="4"/>
      <c r="B88" s="46"/>
      <c r="C88" s="136"/>
      <c r="D88" s="137">
        <v>0.02</v>
      </c>
      <c r="E88" s="73">
        <f t="shared" si="2"/>
        <v>0</v>
      </c>
      <c r="F88" s="4"/>
    </row>
    <row r="89" ht="15.75" customHeight="1">
      <c r="A89" s="4"/>
      <c r="B89" s="46"/>
      <c r="C89" s="136"/>
      <c r="D89" s="137">
        <v>0.02</v>
      </c>
      <c r="E89" s="73">
        <f t="shared" si="2"/>
        <v>0</v>
      </c>
      <c r="F89" s="4"/>
    </row>
    <row r="90" ht="15.75" customHeight="1">
      <c r="A90" s="4"/>
      <c r="B90" s="4"/>
      <c r="C90" s="138">
        <f>SUM(C50:C89)</f>
        <v>0</v>
      </c>
      <c r="D90" s="4"/>
      <c r="E90" s="138">
        <f>SUM(E50:E89)</f>
        <v>0</v>
      </c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3">
    <mergeCell ref="A1:F1"/>
    <mergeCell ref="A2:F2"/>
    <mergeCell ref="B6:F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1.57"/>
    <col customWidth="1" min="2" max="6" width="8.71"/>
  </cols>
  <sheetData>
    <row r="1">
      <c r="A1" s="142" t="s">
        <v>214</v>
      </c>
      <c r="B1" s="4"/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44" t="s">
        <v>215</v>
      </c>
      <c r="B3" s="4"/>
      <c r="C3" s="4"/>
      <c r="D3" s="4"/>
      <c r="E3" s="4"/>
      <c r="F3" s="4"/>
    </row>
    <row r="4">
      <c r="A4" s="44" t="s">
        <v>216</v>
      </c>
      <c r="B4" s="4"/>
      <c r="C4" s="4"/>
      <c r="D4" s="4"/>
      <c r="E4" s="4"/>
      <c r="F4" s="4"/>
    </row>
    <row r="5">
      <c r="A5" s="44" t="s">
        <v>217</v>
      </c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4" t="s">
        <v>218</v>
      </c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143" t="s">
        <v>219</v>
      </c>
      <c r="B9" s="4"/>
      <c r="C9" s="4"/>
      <c r="D9" s="4"/>
      <c r="E9" s="4"/>
      <c r="F9" s="4"/>
    </row>
    <row r="10">
      <c r="A10" s="144" t="s">
        <v>220</v>
      </c>
      <c r="B10" s="4"/>
      <c r="C10" s="4"/>
      <c r="D10" s="4"/>
      <c r="E10" s="4"/>
      <c r="F10" s="4"/>
    </row>
    <row r="11">
      <c r="A11" s="143" t="s">
        <v>219</v>
      </c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4" t="s">
        <v>221</v>
      </c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4" t="s">
        <v>222</v>
      </c>
      <c r="B15" s="4"/>
      <c r="C15" s="4"/>
      <c r="D15" s="4"/>
      <c r="E15" s="4"/>
      <c r="F15" s="4"/>
    </row>
    <row r="16">
      <c r="A16" s="44" t="s">
        <v>223</v>
      </c>
      <c r="B16" s="4"/>
      <c r="C16" s="4"/>
      <c r="D16" s="4"/>
      <c r="E16" s="4"/>
      <c r="F16" s="4"/>
    </row>
    <row r="17">
      <c r="A17" s="44" t="s">
        <v>224</v>
      </c>
      <c r="B17" s="4"/>
      <c r="C17" s="4"/>
      <c r="D17" s="4"/>
      <c r="E17" s="4"/>
      <c r="F17" s="4"/>
    </row>
    <row r="18">
      <c r="A18" s="44" t="s">
        <v>225</v>
      </c>
      <c r="B18" s="4"/>
      <c r="C18" s="4"/>
      <c r="D18" s="4"/>
      <c r="E18" s="4"/>
      <c r="F18" s="4"/>
    </row>
    <row r="19">
      <c r="A19" s="44" t="s">
        <v>226</v>
      </c>
      <c r="B19" s="4"/>
      <c r="C19" s="4"/>
      <c r="D19" s="4"/>
      <c r="E19" s="4"/>
      <c r="F19" s="4"/>
    </row>
    <row r="20">
      <c r="A20" s="44" t="s">
        <v>227</v>
      </c>
      <c r="B20" s="4"/>
      <c r="C20" s="4"/>
      <c r="D20" s="4"/>
      <c r="E20" s="4"/>
      <c r="F20" s="4"/>
    </row>
    <row r="21" ht="15.75" customHeight="1">
      <c r="A21" s="44" t="s">
        <v>228</v>
      </c>
      <c r="B21" s="4"/>
      <c r="C21" s="4"/>
      <c r="D21" s="4"/>
      <c r="E21" s="4"/>
      <c r="F21" s="4"/>
    </row>
    <row r="22" ht="15.75" customHeight="1">
      <c r="A22" s="44" t="s">
        <v>229</v>
      </c>
      <c r="B22" s="4"/>
      <c r="C22" s="4"/>
      <c r="D22" s="4"/>
      <c r="E22" s="4"/>
      <c r="F22" s="4"/>
    </row>
    <row r="23" ht="15.75" customHeight="1">
      <c r="A23" s="44" t="s">
        <v>230</v>
      </c>
      <c r="B23" s="4"/>
      <c r="C23" s="4"/>
      <c r="D23" s="4"/>
      <c r="E23" s="4"/>
      <c r="F23" s="4"/>
    </row>
    <row r="24" ht="15.75" customHeight="1">
      <c r="A24" s="44" t="s">
        <v>231</v>
      </c>
      <c r="B24" s="4"/>
      <c r="C24" s="4"/>
      <c r="D24" s="4"/>
      <c r="E24" s="4"/>
      <c r="F24" s="4"/>
    </row>
    <row r="25" ht="15.75" customHeight="1">
      <c r="A25" s="44" t="s">
        <v>232</v>
      </c>
      <c r="B25" s="4"/>
      <c r="C25" s="4"/>
      <c r="D25" s="4"/>
      <c r="E25" s="4"/>
      <c r="F25" s="4"/>
    </row>
    <row r="26" ht="15.75" customHeight="1">
      <c r="A26" s="44" t="s">
        <v>233</v>
      </c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143" t="s">
        <v>219</v>
      </c>
      <c r="B29" s="4"/>
      <c r="C29" s="4"/>
      <c r="D29" s="4"/>
      <c r="E29" s="4"/>
      <c r="F29" s="4"/>
    </row>
    <row r="30" ht="15.75" customHeight="1">
      <c r="A30" s="144" t="s">
        <v>234</v>
      </c>
      <c r="B30" s="4"/>
      <c r="C30" s="4"/>
      <c r="D30" s="4"/>
      <c r="E30" s="4"/>
      <c r="F30" s="4"/>
    </row>
    <row r="31" ht="15.75" customHeight="1">
      <c r="A31" s="143" t="s">
        <v>219</v>
      </c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4" t="s">
        <v>235</v>
      </c>
      <c r="B33" s="4"/>
      <c r="C33" s="4"/>
      <c r="D33" s="4"/>
      <c r="E33" s="4"/>
      <c r="F33" s="4"/>
    </row>
    <row r="34" ht="15.75" customHeight="1">
      <c r="A34" s="44" t="s">
        <v>236</v>
      </c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4" t="s">
        <v>237</v>
      </c>
      <c r="B36" s="4"/>
      <c r="C36" s="4"/>
      <c r="D36" s="4"/>
      <c r="E36" s="4"/>
      <c r="F36" s="4"/>
    </row>
    <row r="37" ht="15.75" customHeight="1">
      <c r="A37" s="44" t="s">
        <v>238</v>
      </c>
      <c r="B37" s="4"/>
      <c r="C37" s="4"/>
      <c r="D37" s="4"/>
      <c r="E37" s="4"/>
      <c r="F37" s="4"/>
    </row>
    <row r="38" ht="15.75" customHeight="1">
      <c r="A38" s="44" t="s">
        <v>239</v>
      </c>
      <c r="B38" s="4"/>
      <c r="C38" s="4"/>
      <c r="D38" s="4"/>
      <c r="E38" s="4"/>
      <c r="F38" s="4"/>
    </row>
    <row r="39" ht="15.75" customHeight="1">
      <c r="A39" s="44" t="s">
        <v>240</v>
      </c>
      <c r="B39" s="4"/>
      <c r="C39" s="4"/>
      <c r="D39" s="4"/>
      <c r="E39" s="4"/>
      <c r="F39" s="4"/>
    </row>
    <row r="40" ht="15.75" customHeight="1">
      <c r="A40" s="44" t="s">
        <v>240</v>
      </c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143" t="s">
        <v>219</v>
      </c>
      <c r="B42" s="4"/>
      <c r="C42" s="4"/>
      <c r="D42" s="4"/>
      <c r="E42" s="4"/>
      <c r="F42" s="4"/>
    </row>
    <row r="43" ht="15.75" customHeight="1">
      <c r="A43" s="144" t="s">
        <v>241</v>
      </c>
      <c r="B43" s="4"/>
      <c r="C43" s="4"/>
      <c r="D43" s="4"/>
      <c r="E43" s="4"/>
      <c r="F43" s="4"/>
    </row>
    <row r="44" ht="15.75" customHeight="1">
      <c r="A44" s="143" t="s">
        <v>219</v>
      </c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4" t="s">
        <v>242</v>
      </c>
      <c r="B46" s="4"/>
      <c r="C46" s="4"/>
      <c r="D46" s="4"/>
      <c r="E46" s="4"/>
      <c r="F46" s="4"/>
    </row>
    <row r="47" ht="15.75" customHeight="1">
      <c r="A47" s="44" t="s">
        <v>243</v>
      </c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4" t="s">
        <v>244</v>
      </c>
      <c r="B49" s="4"/>
      <c r="C49" s="4"/>
      <c r="D49" s="4"/>
      <c r="E49" s="4"/>
      <c r="F49" s="4"/>
    </row>
    <row r="50" ht="15.75" customHeight="1">
      <c r="A50" s="44" t="s">
        <v>245</v>
      </c>
      <c r="B50" s="4"/>
      <c r="C50" s="4"/>
      <c r="D50" s="4"/>
      <c r="E50" s="4"/>
      <c r="F50" s="4"/>
    </row>
    <row r="51" ht="15.75" customHeight="1">
      <c r="A51" s="44" t="s">
        <v>246</v>
      </c>
      <c r="B51" s="4"/>
      <c r="C51" s="4"/>
      <c r="D51" s="4"/>
      <c r="E51" s="4"/>
      <c r="F51" s="4"/>
    </row>
    <row r="52" ht="15.75" customHeight="1">
      <c r="A52" s="44" t="s">
        <v>247</v>
      </c>
      <c r="B52" s="4"/>
      <c r="C52" s="4"/>
      <c r="D52" s="4"/>
      <c r="E52" s="4"/>
      <c r="F52" s="4"/>
    </row>
    <row r="53" ht="15.75" customHeight="1">
      <c r="A53" s="44" t="s">
        <v>248</v>
      </c>
      <c r="B53" s="4"/>
      <c r="C53" s="4"/>
      <c r="D53" s="4"/>
      <c r="E53" s="4"/>
      <c r="F53" s="4"/>
    </row>
    <row r="54" ht="15.75" customHeight="1">
      <c r="A54" s="44" t="s">
        <v>249</v>
      </c>
      <c r="B54" s="4"/>
      <c r="C54" s="4"/>
      <c r="D54" s="4"/>
      <c r="E54" s="4"/>
      <c r="F54" s="4"/>
    </row>
    <row r="55" ht="15.75" customHeight="1">
      <c r="A55" s="44" t="s">
        <v>250</v>
      </c>
      <c r="B55" s="4"/>
      <c r="C55" s="4"/>
      <c r="D55" s="4"/>
      <c r="E55" s="4"/>
      <c r="F55" s="4"/>
    </row>
    <row r="56" ht="15.75" customHeight="1">
      <c r="A56" s="44" t="s">
        <v>251</v>
      </c>
      <c r="B56" s="4"/>
      <c r="C56" s="4"/>
      <c r="D56" s="4"/>
      <c r="E56" s="4"/>
      <c r="F56" s="4"/>
    </row>
    <row r="57" ht="15.75" customHeight="1">
      <c r="A57" s="44" t="s">
        <v>252</v>
      </c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143" t="s">
        <v>219</v>
      </c>
      <c r="B59" s="4"/>
      <c r="C59" s="4"/>
      <c r="D59" s="4"/>
      <c r="E59" s="4"/>
      <c r="F59" s="4"/>
    </row>
    <row r="60" ht="15.75" customHeight="1">
      <c r="A60" s="144" t="s">
        <v>253</v>
      </c>
      <c r="B60" s="4"/>
      <c r="C60" s="4"/>
      <c r="D60" s="4"/>
      <c r="E60" s="4"/>
      <c r="F60" s="4"/>
    </row>
    <row r="61" ht="15.75" customHeight="1">
      <c r="A61" s="143" t="s">
        <v>219</v>
      </c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4" t="s">
        <v>254</v>
      </c>
      <c r="B63" s="4"/>
      <c r="C63" s="4"/>
      <c r="D63" s="4"/>
      <c r="E63" s="4"/>
      <c r="F63" s="4"/>
    </row>
    <row r="64" ht="15.75" customHeight="1">
      <c r="A64" s="44" t="s">
        <v>255</v>
      </c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4" t="s">
        <v>256</v>
      </c>
      <c r="B66" s="4"/>
      <c r="C66" s="4"/>
      <c r="D66" s="4"/>
      <c r="E66" s="4"/>
      <c r="F66" s="4"/>
    </row>
    <row r="67" ht="15.75" customHeight="1">
      <c r="A67" s="44" t="s">
        <v>257</v>
      </c>
      <c r="B67" s="4"/>
      <c r="C67" s="4"/>
      <c r="D67" s="4"/>
      <c r="E67" s="4"/>
      <c r="F67" s="4"/>
    </row>
    <row r="68" ht="15.75" customHeight="1">
      <c r="A68" s="44" t="s">
        <v>258</v>
      </c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143" t="s">
        <v>219</v>
      </c>
      <c r="B71" s="4"/>
      <c r="C71" s="4"/>
      <c r="D71" s="4"/>
      <c r="E71" s="4"/>
      <c r="F71" s="4"/>
    </row>
    <row r="72" ht="15.75" customHeight="1">
      <c r="A72" s="144" t="s">
        <v>259</v>
      </c>
      <c r="B72" s="4"/>
      <c r="C72" s="4"/>
      <c r="D72" s="4"/>
      <c r="E72" s="4"/>
      <c r="F72" s="4"/>
    </row>
    <row r="73" ht="15.75" customHeight="1">
      <c r="A73" s="143" t="s">
        <v>219</v>
      </c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4" t="s">
        <v>260</v>
      </c>
      <c r="B75" s="4"/>
      <c r="C75" s="4"/>
      <c r="D75" s="4"/>
      <c r="E75" s="4"/>
      <c r="F75" s="4"/>
    </row>
    <row r="76" ht="15.75" customHeight="1">
      <c r="A76" s="44" t="s">
        <v>261</v>
      </c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145" t="s">
        <v>262</v>
      </c>
      <c r="B78" s="4"/>
      <c r="C78" s="4"/>
      <c r="D78" s="4"/>
      <c r="E78" s="4"/>
      <c r="F78" s="4"/>
    </row>
    <row r="79" ht="15.75" customHeight="1">
      <c r="A79" s="44" t="s">
        <v>263</v>
      </c>
      <c r="B79" s="4"/>
      <c r="C79" s="4"/>
      <c r="D79" s="4"/>
      <c r="E79" s="4"/>
      <c r="F79" s="4"/>
    </row>
    <row r="80" ht="15.75" customHeight="1">
      <c r="A80" s="44" t="s">
        <v>264</v>
      </c>
      <c r="B80" s="4"/>
      <c r="C80" s="4"/>
      <c r="D80" s="4"/>
      <c r="E80" s="4"/>
      <c r="F80" s="4"/>
    </row>
    <row r="81" ht="15.75" customHeight="1">
      <c r="A81" s="44" t="s">
        <v>265</v>
      </c>
      <c r="B81" s="4"/>
      <c r="C81" s="4"/>
      <c r="D81" s="4"/>
      <c r="E81" s="4"/>
      <c r="F81" s="4"/>
    </row>
    <row r="82" ht="15.75" customHeight="1">
      <c r="A82" s="44" t="s">
        <v>266</v>
      </c>
      <c r="B82" s="4"/>
      <c r="C82" s="4"/>
      <c r="D82" s="4"/>
      <c r="E82" s="4"/>
      <c r="F82" s="4"/>
    </row>
    <row r="83" ht="15.75" customHeight="1">
      <c r="A83" s="44" t="s">
        <v>267</v>
      </c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145" t="s">
        <v>268</v>
      </c>
      <c r="B85" s="4"/>
      <c r="C85" s="4"/>
      <c r="D85" s="4"/>
      <c r="E85" s="4"/>
      <c r="F85" s="4"/>
    </row>
    <row r="86" ht="15.75" customHeight="1">
      <c r="A86" s="44" t="s">
        <v>269</v>
      </c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145" t="s">
        <v>270</v>
      </c>
      <c r="B88" s="4"/>
      <c r="C88" s="4"/>
      <c r="D88" s="4"/>
      <c r="E88" s="4"/>
      <c r="F88" s="4"/>
    </row>
    <row r="89" ht="15.75" customHeight="1">
      <c r="A89" s="44" t="s">
        <v>271</v>
      </c>
      <c r="B89" s="4"/>
      <c r="C89" s="4"/>
      <c r="D89" s="4"/>
      <c r="E89" s="4"/>
      <c r="F89" s="4"/>
    </row>
    <row r="90" ht="15.75" customHeight="1">
      <c r="A90" s="44" t="s">
        <v>272</v>
      </c>
      <c r="B90" s="4"/>
      <c r="C90" s="4"/>
      <c r="D90" s="4"/>
      <c r="E90" s="4"/>
      <c r="F90" s="4"/>
    </row>
    <row r="91" ht="15.75" customHeight="1">
      <c r="A91" s="44" t="s">
        <v>273</v>
      </c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143" t="s">
        <v>219</v>
      </c>
      <c r="B93" s="4"/>
      <c r="C93" s="4"/>
      <c r="D93" s="4"/>
      <c r="E93" s="4"/>
      <c r="F93" s="4"/>
    </row>
    <row r="94" ht="15.75" customHeight="1">
      <c r="A94" s="144" t="s">
        <v>274</v>
      </c>
      <c r="B94" s="4"/>
      <c r="C94" s="4"/>
      <c r="D94" s="4"/>
      <c r="E94" s="4"/>
      <c r="F94" s="4"/>
    </row>
    <row r="95" ht="15.75" customHeight="1">
      <c r="A95" s="143" t="s">
        <v>219</v>
      </c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4" t="s">
        <v>275</v>
      </c>
      <c r="B97" s="4"/>
      <c r="C97" s="4"/>
      <c r="D97" s="4"/>
      <c r="E97" s="4"/>
      <c r="F97" s="4"/>
    </row>
    <row r="98" ht="15.75" customHeight="1">
      <c r="A98" s="44" t="s">
        <v>276</v>
      </c>
      <c r="B98" s="4"/>
      <c r="C98" s="4"/>
      <c r="D98" s="4"/>
      <c r="E98" s="4"/>
      <c r="F98" s="4"/>
    </row>
    <row r="99" ht="15.75" customHeight="1">
      <c r="A99" s="44" t="s">
        <v>277</v>
      </c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4" t="s">
        <v>278</v>
      </c>
      <c r="B101" s="4"/>
      <c r="C101" s="4"/>
      <c r="D101" s="4"/>
      <c r="E101" s="4"/>
      <c r="F101" s="4"/>
    </row>
    <row r="102" ht="15.75" customHeight="1">
      <c r="A102" s="44" t="s">
        <v>279</v>
      </c>
      <c r="B102" s="4"/>
      <c r="C102" s="4"/>
      <c r="D102" s="4"/>
      <c r="E102" s="4"/>
      <c r="F102" s="4"/>
    </row>
    <row r="103" ht="15.75" customHeight="1">
      <c r="A103" s="44" t="s">
        <v>280</v>
      </c>
      <c r="B103" s="4"/>
      <c r="C103" s="4"/>
      <c r="D103" s="4"/>
      <c r="E103" s="4"/>
      <c r="F103" s="4"/>
    </row>
    <row r="104" ht="15.75" customHeight="1">
      <c r="A104" s="63" t="s">
        <v>281</v>
      </c>
      <c r="B104" s="4"/>
      <c r="C104" s="4"/>
      <c r="D104" s="4"/>
      <c r="E104" s="4"/>
      <c r="F104" s="4"/>
    </row>
    <row r="105" ht="15.75" customHeight="1">
      <c r="A105" s="63" t="s">
        <v>282</v>
      </c>
      <c r="B105" s="4"/>
      <c r="C105" s="4"/>
      <c r="D105" s="4"/>
      <c r="E105" s="4"/>
      <c r="F105" s="4"/>
    </row>
    <row r="106" ht="15.75" customHeight="1">
      <c r="A106" s="44" t="s">
        <v>283</v>
      </c>
      <c r="B106" s="4"/>
      <c r="C106" s="4"/>
      <c r="D106" s="4"/>
      <c r="E106" s="4"/>
      <c r="F106" s="4"/>
    </row>
    <row r="107" ht="15.75" customHeight="1">
      <c r="A107" s="44" t="s">
        <v>284</v>
      </c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143" t="s">
        <v>219</v>
      </c>
      <c r="B110" s="4"/>
      <c r="C110" s="4"/>
      <c r="D110" s="4"/>
      <c r="E110" s="4"/>
      <c r="F110" s="4"/>
    </row>
    <row r="111" ht="15.75" customHeight="1">
      <c r="A111" s="144" t="s">
        <v>285</v>
      </c>
      <c r="B111" s="4"/>
      <c r="C111" s="4"/>
      <c r="D111" s="4"/>
      <c r="E111" s="4"/>
      <c r="F111" s="4"/>
    </row>
    <row r="112" ht="15.75" customHeight="1">
      <c r="A112" s="143" t="s">
        <v>219</v>
      </c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4" t="s">
        <v>286</v>
      </c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4" t="s">
        <v>287</v>
      </c>
      <c r="B116" s="4"/>
      <c r="C116" s="4"/>
      <c r="D116" s="4"/>
      <c r="E116" s="4"/>
      <c r="F116" s="4"/>
    </row>
    <row r="117" ht="15.75" customHeight="1">
      <c r="A117" s="44" t="s">
        <v>288</v>
      </c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143" t="s">
        <v>219</v>
      </c>
      <c r="B119" s="4"/>
      <c r="C119" s="4"/>
      <c r="D119" s="4"/>
      <c r="E119" s="4"/>
      <c r="F119" s="4"/>
    </row>
    <row r="120" ht="15.75" customHeight="1">
      <c r="A120" s="144" t="s">
        <v>289</v>
      </c>
      <c r="B120" s="4"/>
      <c r="C120" s="4"/>
      <c r="D120" s="4"/>
      <c r="E120" s="4"/>
      <c r="F120" s="4"/>
    </row>
    <row r="121" ht="15.75" customHeight="1">
      <c r="A121" s="143" t="s">
        <v>219</v>
      </c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4" t="s">
        <v>290</v>
      </c>
      <c r="B123" s="4"/>
      <c r="C123" s="4"/>
      <c r="D123" s="4"/>
      <c r="E123" s="4"/>
      <c r="F123" s="4"/>
    </row>
    <row r="124" ht="15.75" customHeight="1">
      <c r="A124" s="44" t="s">
        <v>291</v>
      </c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4" t="s">
        <v>292</v>
      </c>
      <c r="B126" s="4"/>
      <c r="C126" s="4"/>
      <c r="D126" s="4"/>
      <c r="E126" s="4"/>
      <c r="F126" s="4"/>
    </row>
    <row r="127" ht="15.75" customHeight="1">
      <c r="A127" s="44" t="s">
        <v>293</v>
      </c>
      <c r="B127" s="4"/>
      <c r="C127" s="4"/>
      <c r="D127" s="4"/>
      <c r="E127" s="4"/>
      <c r="F127" s="4"/>
    </row>
    <row r="128" ht="15.75" customHeight="1">
      <c r="A128" s="44" t="s">
        <v>294</v>
      </c>
      <c r="B128" s="4"/>
      <c r="C128" s="4"/>
      <c r="D128" s="4"/>
      <c r="E128" s="4"/>
      <c r="F128" s="4"/>
    </row>
    <row r="129" ht="15.75" customHeight="1">
      <c r="A129" s="44" t="s">
        <v>295</v>
      </c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145" t="s">
        <v>296</v>
      </c>
      <c r="B131" s="4"/>
      <c r="C131" s="4"/>
      <c r="D131" s="4"/>
      <c r="E131" s="4"/>
      <c r="F131" s="4"/>
    </row>
    <row r="132" ht="15.75" customHeight="1">
      <c r="A132" s="44" t="s">
        <v>297</v>
      </c>
      <c r="B132" s="4"/>
      <c r="C132" s="4"/>
      <c r="D132" s="4"/>
      <c r="E132" s="4"/>
      <c r="F132" s="4"/>
    </row>
    <row r="133" ht="15.75" customHeight="1">
      <c r="A133" s="44" t="s">
        <v>298</v>
      </c>
      <c r="B133" s="4"/>
      <c r="C133" s="4"/>
      <c r="D133" s="4"/>
      <c r="E133" s="4"/>
      <c r="F133" s="4"/>
    </row>
    <row r="134" ht="15.75" customHeight="1">
      <c r="A134" s="44" t="s">
        <v>299</v>
      </c>
      <c r="B134" s="4"/>
      <c r="C134" s="4"/>
      <c r="D134" s="4"/>
      <c r="E134" s="4"/>
      <c r="F134" s="4"/>
    </row>
    <row r="135" ht="15.75" customHeight="1">
      <c r="A135" s="44" t="s">
        <v>300</v>
      </c>
      <c r="B135" s="4"/>
      <c r="C135" s="4"/>
      <c r="D135" s="4"/>
      <c r="E135" s="4"/>
      <c r="F135" s="4"/>
    </row>
    <row r="136" ht="15.75" customHeight="1">
      <c r="A136" s="44" t="s">
        <v>301</v>
      </c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143" t="s">
        <v>219</v>
      </c>
      <c r="B138" s="4"/>
      <c r="C138" s="4"/>
      <c r="D138" s="4"/>
      <c r="E138" s="4"/>
      <c r="F138" s="4"/>
    </row>
    <row r="139" ht="15.75" hidden="1" customHeight="1">
      <c r="A139" s="144" t="s">
        <v>302</v>
      </c>
      <c r="B139" s="4"/>
      <c r="C139" s="4"/>
      <c r="D139" s="4"/>
      <c r="E139" s="4"/>
      <c r="F139" s="4"/>
    </row>
    <row r="140" ht="15.75" hidden="1" customHeight="1">
      <c r="A140" s="143" t="s">
        <v>219</v>
      </c>
      <c r="B140" s="4"/>
      <c r="C140" s="4"/>
      <c r="D140" s="4"/>
      <c r="E140" s="4"/>
      <c r="F140" s="4"/>
    </row>
    <row r="141" ht="15.75" hidden="1" customHeight="1">
      <c r="A141" s="4"/>
      <c r="B141" s="4"/>
      <c r="C141" s="4"/>
      <c r="D141" s="4"/>
      <c r="E141" s="4"/>
      <c r="F141" s="4"/>
    </row>
    <row r="142" ht="15.75" hidden="1" customHeight="1">
      <c r="A142" s="44" t="s">
        <v>303</v>
      </c>
      <c r="B142" s="4"/>
      <c r="C142" s="4"/>
      <c r="D142" s="4"/>
      <c r="E142" s="4"/>
      <c r="F142" s="4"/>
    </row>
    <row r="143" ht="15.75" hidden="1" customHeight="1">
      <c r="A143" s="44" t="s">
        <v>304</v>
      </c>
      <c r="B143" s="4"/>
      <c r="C143" s="4"/>
      <c r="D143" s="4"/>
      <c r="E143" s="4"/>
      <c r="F143" s="4"/>
    </row>
    <row r="144" ht="15.75" hidden="1" customHeight="1">
      <c r="A144" s="44" t="s">
        <v>305</v>
      </c>
      <c r="B144" s="4"/>
      <c r="C144" s="4"/>
      <c r="D144" s="4"/>
      <c r="E144" s="4"/>
      <c r="F144" s="4"/>
    </row>
    <row r="145" ht="15.75" hidden="1" customHeight="1">
      <c r="A145" s="44" t="s">
        <v>306</v>
      </c>
      <c r="B145" s="4"/>
      <c r="C145" s="4"/>
      <c r="D145" s="4"/>
      <c r="E145" s="4"/>
      <c r="F145" s="4"/>
    </row>
    <row r="146" ht="15.75" hidden="1" customHeight="1">
      <c r="A146" s="44" t="s">
        <v>307</v>
      </c>
      <c r="B146" s="4"/>
      <c r="C146" s="4"/>
      <c r="D146" s="4"/>
      <c r="E146" s="4"/>
      <c r="F146" s="4"/>
    </row>
    <row r="147" ht="15.75" hidden="1" customHeight="1">
      <c r="A147" s="44" t="s">
        <v>308</v>
      </c>
      <c r="B147" s="4"/>
      <c r="C147" s="4"/>
      <c r="D147" s="4"/>
      <c r="E147" s="4"/>
      <c r="F147" s="4"/>
    </row>
    <row r="148" ht="15.75" hidden="1" customHeight="1">
      <c r="A148" s="44" t="s">
        <v>309</v>
      </c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2.57"/>
    <col customWidth="1" min="4" max="122" width="12.0"/>
    <col customWidth="1" min="123" max="123" width="8.71"/>
  </cols>
  <sheetData>
    <row r="1" ht="27.75" customHeight="1">
      <c r="A1" s="42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</row>
    <row r="2" ht="13.5" customHeight="1">
      <c r="A2" s="43" t="s">
        <v>311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ht="13.5" customHeight="1">
      <c r="A3" s="44"/>
      <c r="B3" s="146" t="s">
        <v>312</v>
      </c>
      <c r="C3" s="147">
        <v>1.0</v>
      </c>
      <c r="D3" s="147">
        <v>2.0</v>
      </c>
      <c r="E3" s="147">
        <v>3.0</v>
      </c>
      <c r="F3" s="147">
        <v>4.0</v>
      </c>
      <c r="G3" s="147">
        <v>5.0</v>
      </c>
      <c r="H3" s="147">
        <v>6.0</v>
      </c>
      <c r="I3" s="147">
        <v>7.0</v>
      </c>
      <c r="J3" s="147">
        <v>8.0</v>
      </c>
      <c r="K3" s="147">
        <v>9.0</v>
      </c>
      <c r="L3" s="147">
        <v>10.0</v>
      </c>
      <c r="M3" s="147">
        <v>11.0</v>
      </c>
      <c r="N3" s="147">
        <v>12.0</v>
      </c>
      <c r="O3" s="147">
        <v>13.0</v>
      </c>
      <c r="P3" s="147">
        <v>14.0</v>
      </c>
      <c r="Q3" s="147">
        <v>15.0</v>
      </c>
      <c r="R3" s="147">
        <v>16.0</v>
      </c>
      <c r="S3" s="147">
        <v>17.0</v>
      </c>
      <c r="T3" s="147">
        <v>18.0</v>
      </c>
      <c r="U3" s="147">
        <v>19.0</v>
      </c>
      <c r="V3" s="147">
        <v>20.0</v>
      </c>
      <c r="W3" s="147">
        <v>21.0</v>
      </c>
      <c r="X3" s="147">
        <v>22.0</v>
      </c>
      <c r="Y3" s="147">
        <v>23.0</v>
      </c>
      <c r="Z3" s="147">
        <v>24.0</v>
      </c>
      <c r="AA3" s="147">
        <v>25.0</v>
      </c>
      <c r="AB3" s="147">
        <v>26.0</v>
      </c>
      <c r="AC3" s="147">
        <v>27.0</v>
      </c>
      <c r="AD3" s="147">
        <v>28.0</v>
      </c>
      <c r="AE3" s="147">
        <v>29.0</v>
      </c>
      <c r="AF3" s="147">
        <v>30.0</v>
      </c>
      <c r="AG3" s="147">
        <v>31.0</v>
      </c>
      <c r="AH3" s="147">
        <v>32.0</v>
      </c>
      <c r="AI3" s="147">
        <v>33.0</v>
      </c>
      <c r="AJ3" s="147">
        <v>34.0</v>
      </c>
      <c r="AK3" s="147">
        <v>35.0</v>
      </c>
      <c r="AL3" s="147">
        <v>36.0</v>
      </c>
      <c r="AM3" s="147">
        <v>37.0</v>
      </c>
      <c r="AN3" s="147">
        <v>38.0</v>
      </c>
      <c r="AO3" s="147">
        <v>39.0</v>
      </c>
      <c r="AP3" s="147">
        <v>40.0</v>
      </c>
      <c r="AQ3" s="147">
        <v>41.0</v>
      </c>
      <c r="AR3" s="147">
        <v>42.0</v>
      </c>
      <c r="AS3" s="147">
        <v>43.0</v>
      </c>
      <c r="AT3" s="147">
        <v>44.0</v>
      </c>
      <c r="AU3" s="147">
        <v>45.0</v>
      </c>
      <c r="AV3" s="147">
        <v>46.0</v>
      </c>
      <c r="AW3" s="147">
        <v>47.0</v>
      </c>
      <c r="AX3" s="147">
        <v>48.0</v>
      </c>
      <c r="AY3" s="147">
        <v>49.0</v>
      </c>
      <c r="AZ3" s="147">
        <v>50.0</v>
      </c>
      <c r="BA3" s="147">
        <v>51.0</v>
      </c>
      <c r="BB3" s="147">
        <v>52.0</v>
      </c>
      <c r="BC3" s="147">
        <v>53.0</v>
      </c>
      <c r="BD3" s="147">
        <v>54.0</v>
      </c>
      <c r="BE3" s="147">
        <v>55.0</v>
      </c>
      <c r="BF3" s="147">
        <v>56.0</v>
      </c>
      <c r="BG3" s="147">
        <v>57.0</v>
      </c>
      <c r="BH3" s="147">
        <v>58.0</v>
      </c>
      <c r="BI3" s="147">
        <v>59.0</v>
      </c>
      <c r="BJ3" s="147">
        <v>60.0</v>
      </c>
      <c r="BK3" s="147">
        <v>61.0</v>
      </c>
      <c r="BL3" s="147">
        <v>62.0</v>
      </c>
      <c r="BM3" s="147">
        <v>63.0</v>
      </c>
      <c r="BN3" s="147">
        <v>64.0</v>
      </c>
      <c r="BO3" s="147">
        <v>65.0</v>
      </c>
      <c r="BP3" s="147">
        <v>66.0</v>
      </c>
      <c r="BQ3" s="147">
        <v>67.0</v>
      </c>
      <c r="BR3" s="147">
        <v>68.0</v>
      </c>
      <c r="BS3" s="147">
        <v>69.0</v>
      </c>
      <c r="BT3" s="147">
        <v>70.0</v>
      </c>
      <c r="BU3" s="147">
        <v>71.0</v>
      </c>
      <c r="BV3" s="147">
        <v>72.0</v>
      </c>
      <c r="BW3" s="147">
        <v>73.0</v>
      </c>
      <c r="BX3" s="147">
        <v>74.0</v>
      </c>
      <c r="BY3" s="147">
        <v>75.0</v>
      </c>
      <c r="BZ3" s="147">
        <v>76.0</v>
      </c>
      <c r="CA3" s="147">
        <v>77.0</v>
      </c>
      <c r="CB3" s="147">
        <v>78.0</v>
      </c>
      <c r="CC3" s="147">
        <v>79.0</v>
      </c>
      <c r="CD3" s="147">
        <v>80.0</v>
      </c>
      <c r="CE3" s="147">
        <v>81.0</v>
      </c>
      <c r="CF3" s="147">
        <v>82.0</v>
      </c>
      <c r="CG3" s="147">
        <v>83.0</v>
      </c>
      <c r="CH3" s="147">
        <v>84.0</v>
      </c>
      <c r="CI3" s="147">
        <v>85.0</v>
      </c>
      <c r="CJ3" s="147">
        <v>86.0</v>
      </c>
      <c r="CK3" s="147">
        <v>87.0</v>
      </c>
      <c r="CL3" s="147">
        <v>88.0</v>
      </c>
      <c r="CM3" s="147">
        <v>89.0</v>
      </c>
      <c r="CN3" s="147">
        <v>90.0</v>
      </c>
      <c r="CO3" s="147">
        <v>91.0</v>
      </c>
      <c r="CP3" s="147">
        <v>92.0</v>
      </c>
      <c r="CQ3" s="147">
        <v>93.0</v>
      </c>
      <c r="CR3" s="147">
        <v>94.0</v>
      </c>
      <c r="CS3" s="147">
        <v>95.0</v>
      </c>
      <c r="CT3" s="147">
        <v>96.0</v>
      </c>
      <c r="CU3" s="147">
        <v>97.0</v>
      </c>
      <c r="CV3" s="147">
        <v>98.0</v>
      </c>
      <c r="CW3" s="147">
        <v>99.0</v>
      </c>
      <c r="CX3" s="147">
        <v>100.0</v>
      </c>
      <c r="CY3" s="147">
        <v>101.0</v>
      </c>
      <c r="CZ3" s="147">
        <v>102.0</v>
      </c>
      <c r="DA3" s="147">
        <v>103.0</v>
      </c>
      <c r="DB3" s="147">
        <v>104.0</v>
      </c>
      <c r="DC3" s="147">
        <v>105.0</v>
      </c>
      <c r="DD3" s="147">
        <v>106.0</v>
      </c>
      <c r="DE3" s="147">
        <v>107.0</v>
      </c>
      <c r="DF3" s="147">
        <v>108.0</v>
      </c>
      <c r="DG3" s="147">
        <v>109.0</v>
      </c>
      <c r="DH3" s="147">
        <v>110.0</v>
      </c>
      <c r="DI3" s="147">
        <v>111.0</v>
      </c>
      <c r="DJ3" s="147">
        <v>112.0</v>
      </c>
      <c r="DK3" s="147">
        <v>113.0</v>
      </c>
      <c r="DL3" s="147">
        <v>114.0</v>
      </c>
      <c r="DM3" s="147">
        <v>115.0</v>
      </c>
      <c r="DN3" s="147">
        <v>116.0</v>
      </c>
      <c r="DO3" s="147">
        <v>117.0</v>
      </c>
      <c r="DP3" s="147">
        <v>118.0</v>
      </c>
      <c r="DQ3" s="147">
        <v>119.0</v>
      </c>
      <c r="DR3" s="147">
        <v>120.0</v>
      </c>
      <c r="DS3" s="44"/>
    </row>
    <row r="4" ht="13.5" customHeight="1">
      <c r="A4" s="44"/>
      <c r="B4" s="146" t="s">
        <v>313</v>
      </c>
      <c r="C4" s="147">
        <v>1.0</v>
      </c>
      <c r="D4" s="147">
        <v>1.0</v>
      </c>
      <c r="E4" s="147">
        <v>1.0</v>
      </c>
      <c r="F4" s="147">
        <v>2.0</v>
      </c>
      <c r="G4" s="147">
        <v>2.0</v>
      </c>
      <c r="H4" s="147">
        <v>2.0</v>
      </c>
      <c r="I4" s="147">
        <v>3.0</v>
      </c>
      <c r="J4" s="147">
        <v>3.0</v>
      </c>
      <c r="K4" s="147">
        <v>3.0</v>
      </c>
      <c r="L4" s="147">
        <v>4.0</v>
      </c>
      <c r="M4" s="147">
        <v>4.0</v>
      </c>
      <c r="N4" s="147">
        <v>4.0</v>
      </c>
      <c r="O4" s="147">
        <v>5.0</v>
      </c>
      <c r="P4" s="147">
        <v>5.0</v>
      </c>
      <c r="Q4" s="147">
        <v>5.0</v>
      </c>
      <c r="R4" s="147">
        <v>6.0</v>
      </c>
      <c r="S4" s="147">
        <v>6.0</v>
      </c>
      <c r="T4" s="147">
        <v>6.0</v>
      </c>
      <c r="U4" s="147">
        <v>7.0</v>
      </c>
      <c r="V4" s="147">
        <v>7.0</v>
      </c>
      <c r="W4" s="147">
        <v>7.0</v>
      </c>
      <c r="X4" s="147">
        <v>8.0</v>
      </c>
      <c r="Y4" s="147">
        <v>8.0</v>
      </c>
      <c r="Z4" s="147">
        <v>8.0</v>
      </c>
      <c r="AA4" s="147">
        <v>9.0</v>
      </c>
      <c r="AB4" s="147">
        <v>9.0</v>
      </c>
      <c r="AC4" s="147">
        <v>9.0</v>
      </c>
      <c r="AD4" s="147">
        <v>10.0</v>
      </c>
      <c r="AE4" s="147">
        <v>10.0</v>
      </c>
      <c r="AF4" s="147">
        <v>10.0</v>
      </c>
      <c r="AG4" s="147">
        <v>11.0</v>
      </c>
      <c r="AH4" s="147">
        <v>11.0</v>
      </c>
      <c r="AI4" s="147">
        <v>11.0</v>
      </c>
      <c r="AJ4" s="147">
        <v>12.0</v>
      </c>
      <c r="AK4" s="147">
        <v>12.0</v>
      </c>
      <c r="AL4" s="147">
        <v>12.0</v>
      </c>
      <c r="AM4" s="147">
        <v>13.0</v>
      </c>
      <c r="AN4" s="147">
        <v>13.0</v>
      </c>
      <c r="AO4" s="147">
        <v>13.0</v>
      </c>
      <c r="AP4" s="147">
        <v>14.0</v>
      </c>
      <c r="AQ4" s="147">
        <v>14.0</v>
      </c>
      <c r="AR4" s="147">
        <v>14.0</v>
      </c>
      <c r="AS4" s="147">
        <v>15.0</v>
      </c>
      <c r="AT4" s="147">
        <v>15.0</v>
      </c>
      <c r="AU4" s="147">
        <v>15.0</v>
      </c>
      <c r="AV4" s="147">
        <v>16.0</v>
      </c>
      <c r="AW4" s="147">
        <v>16.0</v>
      </c>
      <c r="AX4" s="147">
        <v>16.0</v>
      </c>
      <c r="AY4" s="147">
        <v>17.0</v>
      </c>
      <c r="AZ4" s="147">
        <v>17.0</v>
      </c>
      <c r="BA4" s="147">
        <v>17.0</v>
      </c>
      <c r="BB4" s="147">
        <v>18.0</v>
      </c>
      <c r="BC4" s="147">
        <v>18.0</v>
      </c>
      <c r="BD4" s="147">
        <v>18.0</v>
      </c>
      <c r="BE4" s="147">
        <v>19.0</v>
      </c>
      <c r="BF4" s="147">
        <v>19.0</v>
      </c>
      <c r="BG4" s="147">
        <v>19.0</v>
      </c>
      <c r="BH4" s="147">
        <v>20.0</v>
      </c>
      <c r="BI4" s="147">
        <v>20.0</v>
      </c>
      <c r="BJ4" s="147">
        <v>20.0</v>
      </c>
      <c r="BK4" s="147">
        <v>21.0</v>
      </c>
      <c r="BL4" s="147">
        <v>21.0</v>
      </c>
      <c r="BM4" s="147">
        <v>21.0</v>
      </c>
      <c r="BN4" s="147">
        <v>22.0</v>
      </c>
      <c r="BO4" s="147">
        <v>22.0</v>
      </c>
      <c r="BP4" s="147">
        <v>22.0</v>
      </c>
      <c r="BQ4" s="147">
        <v>23.0</v>
      </c>
      <c r="BR4" s="147">
        <v>23.0</v>
      </c>
      <c r="BS4" s="147">
        <v>23.0</v>
      </c>
      <c r="BT4" s="147">
        <v>24.0</v>
      </c>
      <c r="BU4" s="147">
        <v>24.0</v>
      </c>
      <c r="BV4" s="147">
        <v>24.0</v>
      </c>
      <c r="BW4" s="147">
        <v>25.0</v>
      </c>
      <c r="BX4" s="147">
        <v>25.0</v>
      </c>
      <c r="BY4" s="147">
        <v>25.0</v>
      </c>
      <c r="BZ4" s="147">
        <v>26.0</v>
      </c>
      <c r="CA4" s="147">
        <v>26.0</v>
      </c>
      <c r="CB4" s="147">
        <v>26.0</v>
      </c>
      <c r="CC4" s="147">
        <v>27.0</v>
      </c>
      <c r="CD4" s="147">
        <v>27.0</v>
      </c>
      <c r="CE4" s="147">
        <v>27.0</v>
      </c>
      <c r="CF4" s="147">
        <v>28.0</v>
      </c>
      <c r="CG4" s="147">
        <v>28.0</v>
      </c>
      <c r="CH4" s="147">
        <v>28.0</v>
      </c>
      <c r="CI4" s="147">
        <v>29.0</v>
      </c>
      <c r="CJ4" s="147">
        <v>29.0</v>
      </c>
      <c r="CK4" s="147">
        <v>29.0</v>
      </c>
      <c r="CL4" s="147">
        <v>30.0</v>
      </c>
      <c r="CM4" s="147">
        <v>30.0</v>
      </c>
      <c r="CN4" s="147">
        <v>30.0</v>
      </c>
      <c r="CO4" s="147">
        <v>31.0</v>
      </c>
      <c r="CP4" s="147">
        <v>31.0</v>
      </c>
      <c r="CQ4" s="147">
        <v>31.0</v>
      </c>
      <c r="CR4" s="147">
        <v>32.0</v>
      </c>
      <c r="CS4" s="147">
        <v>32.0</v>
      </c>
      <c r="CT4" s="147">
        <v>32.0</v>
      </c>
      <c r="CU4" s="147">
        <v>33.0</v>
      </c>
      <c r="CV4" s="147">
        <v>33.0</v>
      </c>
      <c r="CW4" s="147">
        <v>33.0</v>
      </c>
      <c r="CX4" s="147">
        <v>34.0</v>
      </c>
      <c r="CY4" s="147">
        <v>34.0</v>
      </c>
      <c r="CZ4" s="147">
        <v>34.0</v>
      </c>
      <c r="DA4" s="147">
        <v>35.0</v>
      </c>
      <c r="DB4" s="147">
        <v>35.0</v>
      </c>
      <c r="DC4" s="147">
        <v>35.0</v>
      </c>
      <c r="DD4" s="147">
        <v>36.0</v>
      </c>
      <c r="DE4" s="147">
        <v>36.0</v>
      </c>
      <c r="DF4" s="147">
        <v>36.0</v>
      </c>
      <c r="DG4" s="147">
        <v>37.0</v>
      </c>
      <c r="DH4" s="147">
        <v>37.0</v>
      </c>
      <c r="DI4" s="147">
        <v>37.0</v>
      </c>
      <c r="DJ4" s="147">
        <v>38.0</v>
      </c>
      <c r="DK4" s="147">
        <v>38.0</v>
      </c>
      <c r="DL4" s="147">
        <v>38.0</v>
      </c>
      <c r="DM4" s="147">
        <v>39.0</v>
      </c>
      <c r="DN4" s="147">
        <v>39.0</v>
      </c>
      <c r="DO4" s="147">
        <v>39.0</v>
      </c>
      <c r="DP4" s="147">
        <v>40.0</v>
      </c>
      <c r="DQ4" s="147">
        <v>40.0</v>
      </c>
      <c r="DR4" s="147">
        <v>40.0</v>
      </c>
      <c r="DS4" s="44"/>
    </row>
    <row r="5" ht="13.5" customHeight="1">
      <c r="A5" s="44"/>
      <c r="B5" s="148" t="s">
        <v>314</v>
      </c>
      <c r="C5" s="147">
        <v>1.0</v>
      </c>
      <c r="D5" s="149">
        <v>1.0</v>
      </c>
      <c r="E5" s="149">
        <v>1.0</v>
      </c>
      <c r="F5" s="149">
        <v>1.0</v>
      </c>
      <c r="G5" s="149">
        <v>1.0</v>
      </c>
      <c r="H5" s="149">
        <v>1.0</v>
      </c>
      <c r="I5" s="149">
        <v>1.0</v>
      </c>
      <c r="J5" s="149">
        <v>1.0</v>
      </c>
      <c r="K5" s="149">
        <v>1.0</v>
      </c>
      <c r="L5" s="149">
        <v>1.0</v>
      </c>
      <c r="M5" s="149">
        <v>1.0</v>
      </c>
      <c r="N5" s="149">
        <v>1.0</v>
      </c>
      <c r="O5" s="149">
        <v>2.0</v>
      </c>
      <c r="P5" s="149">
        <v>2.0</v>
      </c>
      <c r="Q5" s="149">
        <v>2.0</v>
      </c>
      <c r="R5" s="149">
        <v>2.0</v>
      </c>
      <c r="S5" s="149">
        <v>2.0</v>
      </c>
      <c r="T5" s="149">
        <v>2.0</v>
      </c>
      <c r="U5" s="149">
        <v>2.0</v>
      </c>
      <c r="V5" s="149">
        <v>2.0</v>
      </c>
      <c r="W5" s="149">
        <v>2.0</v>
      </c>
      <c r="X5" s="149">
        <v>2.0</v>
      </c>
      <c r="Y5" s="149">
        <v>2.0</v>
      </c>
      <c r="Z5" s="149">
        <v>2.0</v>
      </c>
      <c r="AA5" s="149">
        <v>3.0</v>
      </c>
      <c r="AB5" s="149">
        <v>3.0</v>
      </c>
      <c r="AC5" s="149">
        <v>3.0</v>
      </c>
      <c r="AD5" s="149">
        <v>3.0</v>
      </c>
      <c r="AE5" s="149">
        <v>3.0</v>
      </c>
      <c r="AF5" s="149">
        <v>3.0</v>
      </c>
      <c r="AG5" s="149">
        <v>3.0</v>
      </c>
      <c r="AH5" s="149">
        <v>3.0</v>
      </c>
      <c r="AI5" s="149">
        <v>3.0</v>
      </c>
      <c r="AJ5" s="149">
        <v>3.0</v>
      </c>
      <c r="AK5" s="149">
        <v>3.0</v>
      </c>
      <c r="AL5" s="149">
        <v>3.0</v>
      </c>
      <c r="AM5" s="149">
        <v>4.0</v>
      </c>
      <c r="AN5" s="149">
        <v>4.0</v>
      </c>
      <c r="AO5" s="149">
        <v>4.0</v>
      </c>
      <c r="AP5" s="149">
        <v>4.0</v>
      </c>
      <c r="AQ5" s="149">
        <v>4.0</v>
      </c>
      <c r="AR5" s="149">
        <v>4.0</v>
      </c>
      <c r="AS5" s="149">
        <v>4.0</v>
      </c>
      <c r="AT5" s="149">
        <v>4.0</v>
      </c>
      <c r="AU5" s="149">
        <v>4.0</v>
      </c>
      <c r="AV5" s="149">
        <v>4.0</v>
      </c>
      <c r="AW5" s="149">
        <v>4.0</v>
      </c>
      <c r="AX5" s="149">
        <v>4.0</v>
      </c>
      <c r="AY5" s="149">
        <v>5.0</v>
      </c>
      <c r="AZ5" s="149">
        <v>5.0</v>
      </c>
      <c r="BA5" s="149">
        <v>5.0</v>
      </c>
      <c r="BB5" s="149">
        <v>5.0</v>
      </c>
      <c r="BC5" s="149">
        <v>5.0</v>
      </c>
      <c r="BD5" s="149">
        <v>5.0</v>
      </c>
      <c r="BE5" s="149">
        <v>5.0</v>
      </c>
      <c r="BF5" s="149">
        <v>5.0</v>
      </c>
      <c r="BG5" s="149">
        <v>5.0</v>
      </c>
      <c r="BH5" s="149">
        <v>5.0</v>
      </c>
      <c r="BI5" s="149">
        <v>5.0</v>
      </c>
      <c r="BJ5" s="149">
        <v>5.0</v>
      </c>
      <c r="BK5" s="149">
        <v>6.0</v>
      </c>
      <c r="BL5" s="149">
        <v>6.0</v>
      </c>
      <c r="BM5" s="149">
        <v>6.0</v>
      </c>
      <c r="BN5" s="149">
        <v>6.0</v>
      </c>
      <c r="BO5" s="149">
        <v>6.0</v>
      </c>
      <c r="BP5" s="149">
        <v>6.0</v>
      </c>
      <c r="BQ5" s="149">
        <v>6.0</v>
      </c>
      <c r="BR5" s="149">
        <v>6.0</v>
      </c>
      <c r="BS5" s="149">
        <v>6.0</v>
      </c>
      <c r="BT5" s="149">
        <v>6.0</v>
      </c>
      <c r="BU5" s="149">
        <v>6.0</v>
      </c>
      <c r="BV5" s="149">
        <v>6.0</v>
      </c>
      <c r="BW5" s="149">
        <v>7.0</v>
      </c>
      <c r="BX5" s="149">
        <v>7.0</v>
      </c>
      <c r="BY5" s="149">
        <v>7.0</v>
      </c>
      <c r="BZ5" s="149">
        <v>7.0</v>
      </c>
      <c r="CA5" s="149">
        <v>7.0</v>
      </c>
      <c r="CB5" s="149">
        <v>7.0</v>
      </c>
      <c r="CC5" s="149">
        <v>7.0</v>
      </c>
      <c r="CD5" s="149">
        <v>7.0</v>
      </c>
      <c r="CE5" s="149">
        <v>7.0</v>
      </c>
      <c r="CF5" s="149">
        <v>7.0</v>
      </c>
      <c r="CG5" s="149">
        <v>7.0</v>
      </c>
      <c r="CH5" s="149">
        <v>7.0</v>
      </c>
      <c r="CI5" s="149">
        <v>8.0</v>
      </c>
      <c r="CJ5" s="149">
        <v>8.0</v>
      </c>
      <c r="CK5" s="149">
        <v>8.0</v>
      </c>
      <c r="CL5" s="149">
        <v>8.0</v>
      </c>
      <c r="CM5" s="149">
        <v>8.0</v>
      </c>
      <c r="CN5" s="149">
        <v>8.0</v>
      </c>
      <c r="CO5" s="149">
        <v>8.0</v>
      </c>
      <c r="CP5" s="149">
        <v>8.0</v>
      </c>
      <c r="CQ5" s="149">
        <v>8.0</v>
      </c>
      <c r="CR5" s="149">
        <v>8.0</v>
      </c>
      <c r="CS5" s="149">
        <v>8.0</v>
      </c>
      <c r="CT5" s="149">
        <v>8.0</v>
      </c>
      <c r="CU5" s="149">
        <v>9.0</v>
      </c>
      <c r="CV5" s="149">
        <v>9.0</v>
      </c>
      <c r="CW5" s="149">
        <v>9.0</v>
      </c>
      <c r="CX5" s="149">
        <v>9.0</v>
      </c>
      <c r="CY5" s="149">
        <v>9.0</v>
      </c>
      <c r="CZ5" s="149">
        <v>9.0</v>
      </c>
      <c r="DA5" s="149">
        <v>9.0</v>
      </c>
      <c r="DB5" s="149">
        <v>9.0</v>
      </c>
      <c r="DC5" s="149">
        <v>9.0</v>
      </c>
      <c r="DD5" s="149">
        <v>9.0</v>
      </c>
      <c r="DE5" s="149">
        <v>9.0</v>
      </c>
      <c r="DF5" s="149">
        <v>9.0</v>
      </c>
      <c r="DG5" s="149">
        <v>10.0</v>
      </c>
      <c r="DH5" s="149">
        <v>10.0</v>
      </c>
      <c r="DI5" s="149">
        <v>10.0</v>
      </c>
      <c r="DJ5" s="149">
        <v>10.0</v>
      </c>
      <c r="DK5" s="149">
        <v>10.0</v>
      </c>
      <c r="DL5" s="149">
        <v>10.0</v>
      </c>
      <c r="DM5" s="149">
        <v>10.0</v>
      </c>
      <c r="DN5" s="149">
        <v>10.0</v>
      </c>
      <c r="DO5" s="149">
        <v>10.0</v>
      </c>
      <c r="DP5" s="149">
        <v>10.0</v>
      </c>
      <c r="DQ5" s="149">
        <v>10.0</v>
      </c>
      <c r="DR5" s="149">
        <v>10.0</v>
      </c>
      <c r="DS5" s="44"/>
    </row>
    <row r="6" ht="25.5" customHeight="1">
      <c r="A6" s="44"/>
      <c r="B6" s="44"/>
      <c r="C6" s="150">
        <v>45658.0</v>
      </c>
      <c r="D6" s="150">
        <v>45689.0</v>
      </c>
      <c r="E6" s="150">
        <v>45717.0</v>
      </c>
      <c r="F6" s="150">
        <v>45748.0</v>
      </c>
      <c r="G6" s="150">
        <v>45778.0</v>
      </c>
      <c r="H6" s="150">
        <v>45809.0</v>
      </c>
      <c r="I6" s="150">
        <v>45839.0</v>
      </c>
      <c r="J6" s="150">
        <v>45870.0</v>
      </c>
      <c r="K6" s="150">
        <v>45901.0</v>
      </c>
      <c r="L6" s="150">
        <v>45931.0</v>
      </c>
      <c r="M6" s="150">
        <v>45962.0</v>
      </c>
      <c r="N6" s="150">
        <v>45992.0</v>
      </c>
      <c r="O6" s="150">
        <v>46023.0</v>
      </c>
      <c r="P6" s="150">
        <v>46054.0</v>
      </c>
      <c r="Q6" s="150">
        <v>46082.0</v>
      </c>
      <c r="R6" s="150">
        <v>46113.0</v>
      </c>
      <c r="S6" s="150">
        <v>46143.0</v>
      </c>
      <c r="T6" s="150">
        <v>46174.0</v>
      </c>
      <c r="U6" s="150">
        <v>46204.0</v>
      </c>
      <c r="V6" s="150">
        <v>46235.0</v>
      </c>
      <c r="W6" s="150">
        <v>46266.0</v>
      </c>
      <c r="X6" s="150">
        <v>46296.0</v>
      </c>
      <c r="Y6" s="150">
        <v>46327.0</v>
      </c>
      <c r="Z6" s="150">
        <v>46357.0</v>
      </c>
      <c r="AA6" s="150">
        <v>46388.0</v>
      </c>
      <c r="AB6" s="150">
        <v>46419.0</v>
      </c>
      <c r="AC6" s="150">
        <v>46447.0</v>
      </c>
      <c r="AD6" s="150">
        <v>46478.0</v>
      </c>
      <c r="AE6" s="150">
        <v>46508.0</v>
      </c>
      <c r="AF6" s="150">
        <v>46539.0</v>
      </c>
      <c r="AG6" s="150">
        <v>46569.0</v>
      </c>
      <c r="AH6" s="150">
        <v>46600.0</v>
      </c>
      <c r="AI6" s="150">
        <v>46631.0</v>
      </c>
      <c r="AJ6" s="150">
        <v>46661.0</v>
      </c>
      <c r="AK6" s="150">
        <v>46692.0</v>
      </c>
      <c r="AL6" s="150">
        <v>46722.0</v>
      </c>
      <c r="AM6" s="150">
        <v>46753.0</v>
      </c>
      <c r="AN6" s="150">
        <v>46784.0</v>
      </c>
      <c r="AO6" s="150">
        <v>46813.0</v>
      </c>
      <c r="AP6" s="150">
        <v>46844.0</v>
      </c>
      <c r="AQ6" s="150">
        <v>46874.0</v>
      </c>
      <c r="AR6" s="150">
        <v>46905.0</v>
      </c>
      <c r="AS6" s="150">
        <v>46935.0</v>
      </c>
      <c r="AT6" s="150">
        <v>46966.0</v>
      </c>
      <c r="AU6" s="150">
        <v>46997.0</v>
      </c>
      <c r="AV6" s="150">
        <v>47027.0</v>
      </c>
      <c r="AW6" s="150">
        <v>47058.0</v>
      </c>
      <c r="AX6" s="150">
        <v>47088.0</v>
      </c>
      <c r="AY6" s="150">
        <v>47119.0</v>
      </c>
      <c r="AZ6" s="150">
        <v>47150.0</v>
      </c>
      <c r="BA6" s="150">
        <v>47178.0</v>
      </c>
      <c r="BB6" s="150">
        <v>47209.0</v>
      </c>
      <c r="BC6" s="150">
        <v>47239.0</v>
      </c>
      <c r="BD6" s="150">
        <v>47270.0</v>
      </c>
      <c r="BE6" s="150">
        <v>47300.0</v>
      </c>
      <c r="BF6" s="150">
        <v>47331.0</v>
      </c>
      <c r="BG6" s="150">
        <v>47362.0</v>
      </c>
      <c r="BH6" s="150">
        <v>47392.0</v>
      </c>
      <c r="BI6" s="150">
        <v>47423.0</v>
      </c>
      <c r="BJ6" s="150">
        <v>47453.0</v>
      </c>
      <c r="BK6" s="150">
        <v>47484.0</v>
      </c>
      <c r="BL6" s="150">
        <v>47515.0</v>
      </c>
      <c r="BM6" s="150">
        <v>47543.0</v>
      </c>
      <c r="BN6" s="150">
        <v>47574.0</v>
      </c>
      <c r="BO6" s="150">
        <v>47604.0</v>
      </c>
      <c r="BP6" s="150">
        <v>47635.0</v>
      </c>
      <c r="BQ6" s="150">
        <v>47665.0</v>
      </c>
      <c r="BR6" s="150">
        <v>47696.0</v>
      </c>
      <c r="BS6" s="150">
        <v>47727.0</v>
      </c>
      <c r="BT6" s="150">
        <v>47757.0</v>
      </c>
      <c r="BU6" s="150">
        <v>47788.0</v>
      </c>
      <c r="BV6" s="150">
        <v>47818.0</v>
      </c>
      <c r="BW6" s="150">
        <v>47849.0</v>
      </c>
      <c r="BX6" s="150">
        <v>47880.0</v>
      </c>
      <c r="BY6" s="150">
        <v>47908.0</v>
      </c>
      <c r="BZ6" s="150">
        <v>47939.0</v>
      </c>
      <c r="CA6" s="150">
        <v>47969.0</v>
      </c>
      <c r="CB6" s="150">
        <v>48000.0</v>
      </c>
      <c r="CC6" s="150">
        <v>48030.0</v>
      </c>
      <c r="CD6" s="150">
        <v>48061.0</v>
      </c>
      <c r="CE6" s="150">
        <v>48092.0</v>
      </c>
      <c r="CF6" s="150">
        <v>48122.0</v>
      </c>
      <c r="CG6" s="150">
        <v>48153.0</v>
      </c>
      <c r="CH6" s="150">
        <v>48183.0</v>
      </c>
      <c r="CI6" s="150">
        <v>48214.0</v>
      </c>
      <c r="CJ6" s="150">
        <v>48245.0</v>
      </c>
      <c r="CK6" s="150">
        <v>48274.0</v>
      </c>
      <c r="CL6" s="150">
        <v>48305.0</v>
      </c>
      <c r="CM6" s="150">
        <v>48335.0</v>
      </c>
      <c r="CN6" s="150">
        <v>48366.0</v>
      </c>
      <c r="CO6" s="150">
        <v>48396.0</v>
      </c>
      <c r="CP6" s="150">
        <v>48427.0</v>
      </c>
      <c r="CQ6" s="150">
        <v>48458.0</v>
      </c>
      <c r="CR6" s="150">
        <v>48488.0</v>
      </c>
      <c r="CS6" s="150">
        <v>48519.0</v>
      </c>
      <c r="CT6" s="150">
        <v>48549.0</v>
      </c>
      <c r="CU6" s="150">
        <v>48580.0</v>
      </c>
      <c r="CV6" s="150">
        <v>48611.0</v>
      </c>
      <c r="CW6" s="150">
        <v>48639.0</v>
      </c>
      <c r="CX6" s="150">
        <v>48670.0</v>
      </c>
      <c r="CY6" s="150">
        <v>48700.0</v>
      </c>
      <c r="CZ6" s="150">
        <v>48731.0</v>
      </c>
      <c r="DA6" s="150">
        <v>48761.0</v>
      </c>
      <c r="DB6" s="150">
        <v>48792.0</v>
      </c>
      <c r="DC6" s="150">
        <v>48823.0</v>
      </c>
      <c r="DD6" s="150">
        <v>48853.0</v>
      </c>
      <c r="DE6" s="150">
        <v>48884.0</v>
      </c>
      <c r="DF6" s="150">
        <v>48914.0</v>
      </c>
      <c r="DG6" s="150">
        <v>48945.0</v>
      </c>
      <c r="DH6" s="150">
        <v>48976.0</v>
      </c>
      <c r="DI6" s="150">
        <v>49004.0</v>
      </c>
      <c r="DJ6" s="150">
        <v>49035.0</v>
      </c>
      <c r="DK6" s="150">
        <v>49065.0</v>
      </c>
      <c r="DL6" s="150">
        <v>49096.0</v>
      </c>
      <c r="DM6" s="150">
        <v>49126.0</v>
      </c>
      <c r="DN6" s="150">
        <v>49157.0</v>
      </c>
      <c r="DO6" s="150">
        <v>49188.0</v>
      </c>
      <c r="DP6" s="150">
        <v>49218.0</v>
      </c>
      <c r="DQ6" s="150">
        <v>49249.0</v>
      </c>
      <c r="DR6" s="150">
        <v>49279.0</v>
      </c>
      <c r="DS6" s="44"/>
    </row>
    <row r="7" ht="16.5" customHeight="1">
      <c r="A7" s="44"/>
      <c r="B7" s="45" t="s">
        <v>315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44"/>
    </row>
    <row r="8" ht="15.0" customHeight="1">
      <c r="A8" s="44"/>
      <c r="B8" s="46" t="s">
        <v>97</v>
      </c>
      <c r="C8" s="151">
        <f t="array" ref="C8">IF(AND(C$3&gt;=INDEX(Inputs!$C:$C,MATCH("*Revenue Start Month*",Inputs!$B:$B,0)),C$3&lt;=INDEX(Inputs!$C:$C,MATCH("End Year",Inputs!$B:$B,0))*12),INDEX(Inputs!$E:$E,MATCH("*Gross Potential Rent*",Inputs!$B:$B,0))/12*(1+INDEX(Inputs!$C:$C,MATCH("*Annual Revenue Growth Rate*",Inputs!$B:$B,0)))^(C$5-1),0)</f>
        <v>0</v>
      </c>
      <c r="D8" s="152">
        <f t="array" ref="D8">IF(AND(D$3&gt;=INDEX(Inputs!$C:$C,MATCH("*Revenue Start Month*",Inputs!$B:$B,0)),D$3&lt;=INDEX(Inputs!$C:$C,MATCH("End Year",Inputs!$B:$B,0))*12),INDEX(Inputs!$E:$E,MATCH("*Gross Potential Rent*",Inputs!$B:$B,0))/12*(1+INDEX(Inputs!$C:$C,MATCH("*Annual Revenue Growth Rate*",Inputs!$B:$B,0)))^(D$5-1),0)</f>
        <v>0</v>
      </c>
      <c r="E8" s="152">
        <f t="array" ref="E8">IF(AND(E$3&gt;=INDEX(Inputs!$C:$C,MATCH("*Revenue Start Month*",Inputs!$B:$B,0)),E$3&lt;=INDEX(Inputs!$C:$C,MATCH("End Year",Inputs!$B:$B,0))*12),INDEX(Inputs!$E:$E,MATCH("*Gross Potential Rent*",Inputs!$B:$B,0))/12*(1+INDEX(Inputs!$C:$C,MATCH("*Annual Revenue Growth Rate*",Inputs!$B:$B,0)))^(E$5-1),0)</f>
        <v>0</v>
      </c>
      <c r="F8" s="152">
        <f t="array" ref="F8">IF(AND(F$3&gt;=INDEX(Inputs!$C:$C,MATCH("*Revenue Start Month*",Inputs!$B:$B,0)),F$3&lt;=INDEX(Inputs!$C:$C,MATCH("End Year",Inputs!$B:$B,0))*12),INDEX(Inputs!$E:$E,MATCH("*Gross Potential Rent*",Inputs!$B:$B,0))/12*(1+INDEX(Inputs!$C:$C,MATCH("*Annual Revenue Growth Rate*",Inputs!$B:$B,0)))^(F$5-1),0)</f>
        <v>0</v>
      </c>
      <c r="G8" s="152">
        <f t="array" ref="G8">IF(AND(G$3&gt;=INDEX(Inputs!$C:$C,MATCH("*Revenue Start Month*",Inputs!$B:$B,0)),G$3&lt;=INDEX(Inputs!$C:$C,MATCH("End Year",Inputs!$B:$B,0))*12),INDEX(Inputs!$E:$E,MATCH("*Gross Potential Rent*",Inputs!$B:$B,0))/12*(1+INDEX(Inputs!$C:$C,MATCH("*Annual Revenue Growth Rate*",Inputs!$B:$B,0)))^(G$5-1),0)</f>
        <v>0</v>
      </c>
      <c r="H8" s="152">
        <f t="array" ref="H8">IF(AND(H$3&gt;=INDEX(Inputs!$C:$C,MATCH("*Revenue Start Month*",Inputs!$B:$B,0)),H$3&lt;=INDEX(Inputs!$C:$C,MATCH("End Year",Inputs!$B:$B,0))*12),INDEX(Inputs!$E:$E,MATCH("*Gross Potential Rent*",Inputs!$B:$B,0))/12*(1+INDEX(Inputs!$C:$C,MATCH("*Annual Revenue Growth Rate*",Inputs!$B:$B,0)))^(H$5-1),0)</f>
        <v>0</v>
      </c>
      <c r="I8" s="152">
        <f t="array" ref="I8">IF(AND(I$3&gt;=INDEX(Inputs!$C:$C,MATCH("*Revenue Start Month*",Inputs!$B:$B,0)),I$3&lt;=INDEX(Inputs!$C:$C,MATCH("End Year",Inputs!$B:$B,0))*12),INDEX(Inputs!$E:$E,MATCH("*Gross Potential Rent*",Inputs!$B:$B,0))/12*(1+INDEX(Inputs!$C:$C,MATCH("*Annual Revenue Growth Rate*",Inputs!$B:$B,0)))^(I$5-1),0)</f>
        <v>0</v>
      </c>
      <c r="J8" s="152">
        <f t="array" ref="J8">IF(AND(J$3&gt;=INDEX(Inputs!$C:$C,MATCH("*Revenue Start Month*",Inputs!$B:$B,0)),J$3&lt;=INDEX(Inputs!$C:$C,MATCH("End Year",Inputs!$B:$B,0))*12),INDEX(Inputs!$E:$E,MATCH("*Gross Potential Rent*",Inputs!$B:$B,0))/12*(1+INDEX(Inputs!$C:$C,MATCH("*Annual Revenue Growth Rate*",Inputs!$B:$B,0)))^(J$5-1),0)</f>
        <v>0</v>
      </c>
      <c r="K8" s="152">
        <f t="array" ref="K8">IF(AND(K$3&gt;=INDEX(Inputs!$C:$C,MATCH("*Revenue Start Month*",Inputs!$B:$B,0)),K$3&lt;=INDEX(Inputs!$C:$C,MATCH("End Year",Inputs!$B:$B,0))*12),INDEX(Inputs!$E:$E,MATCH("*Gross Potential Rent*",Inputs!$B:$B,0))/12*(1+INDEX(Inputs!$C:$C,MATCH("*Annual Revenue Growth Rate*",Inputs!$B:$B,0)))^(K$5-1),0)</f>
        <v>0</v>
      </c>
      <c r="L8" s="152">
        <f t="array" ref="L8">IF(AND(L$3&gt;=INDEX(Inputs!$C:$C,MATCH("*Revenue Start Month*",Inputs!$B:$B,0)),L$3&lt;=INDEX(Inputs!$C:$C,MATCH("End Year",Inputs!$B:$B,0))*12),INDEX(Inputs!$E:$E,MATCH("*Gross Potential Rent*",Inputs!$B:$B,0))/12*(1+INDEX(Inputs!$C:$C,MATCH("*Annual Revenue Growth Rate*",Inputs!$B:$B,0)))^(L$5-1),0)</f>
        <v>0</v>
      </c>
      <c r="M8" s="152">
        <f t="array" ref="M8">IF(AND(M$3&gt;=INDEX(Inputs!$C:$C,MATCH("*Revenue Start Month*",Inputs!$B:$B,0)),M$3&lt;=INDEX(Inputs!$C:$C,MATCH("End Year",Inputs!$B:$B,0))*12),INDEX(Inputs!$E:$E,MATCH("*Gross Potential Rent*",Inputs!$B:$B,0))/12*(1+INDEX(Inputs!$C:$C,MATCH("*Annual Revenue Growth Rate*",Inputs!$B:$B,0)))^(M$5-1),0)</f>
        <v>0</v>
      </c>
      <c r="N8" s="152">
        <f t="array" ref="N8">IF(AND(N$3&gt;=INDEX(Inputs!$C:$C,MATCH("*Revenue Start Month*",Inputs!$B:$B,0)),N$3&lt;=INDEX(Inputs!$C:$C,MATCH("End Year",Inputs!$B:$B,0))*12),INDEX(Inputs!$E:$E,MATCH("*Gross Potential Rent*",Inputs!$B:$B,0))/12*(1+INDEX(Inputs!$C:$C,MATCH("*Annual Revenue Growth Rate*",Inputs!$B:$B,0)))^(N$5-1),0)</f>
        <v>0</v>
      </c>
      <c r="O8" s="152">
        <f t="array" ref="O8">IF(AND(O$3&gt;=INDEX(Inputs!$C:$C,MATCH("*Revenue Start Month*",Inputs!$B:$B,0)),O$3&lt;=INDEX(Inputs!$C:$C,MATCH("End Year",Inputs!$B:$B,0))*12),INDEX(Inputs!$E:$E,MATCH("*Gross Potential Rent*",Inputs!$B:$B,0))/12*(1+INDEX(Inputs!$C:$C,MATCH("*Annual Revenue Growth Rate*",Inputs!$B:$B,0)))^(O$5-1),0)</f>
        <v>0</v>
      </c>
      <c r="P8" s="152">
        <f t="array" ref="P8">IF(AND(P$3&gt;=INDEX(Inputs!$C:$C,MATCH("*Revenue Start Month*",Inputs!$B:$B,0)),P$3&lt;=INDEX(Inputs!$C:$C,MATCH("End Year",Inputs!$B:$B,0))*12),INDEX(Inputs!$E:$E,MATCH("*Gross Potential Rent*",Inputs!$B:$B,0))/12*(1+INDEX(Inputs!$C:$C,MATCH("*Annual Revenue Growth Rate*",Inputs!$B:$B,0)))^(P$5-1),0)</f>
        <v>0</v>
      </c>
      <c r="Q8" s="152">
        <f t="array" ref="Q8">IF(AND(Q$3&gt;=INDEX(Inputs!$C:$C,MATCH("*Revenue Start Month*",Inputs!$B:$B,0)),Q$3&lt;=INDEX(Inputs!$C:$C,MATCH("End Year",Inputs!$B:$B,0))*12),INDEX(Inputs!$E:$E,MATCH("*Gross Potential Rent*",Inputs!$B:$B,0))/12*(1+INDEX(Inputs!$C:$C,MATCH("*Annual Revenue Growth Rate*",Inputs!$B:$B,0)))^(Q$5-1),0)</f>
        <v>0</v>
      </c>
      <c r="R8" s="152">
        <f t="array" ref="R8">IF(AND(R$3&gt;=INDEX(Inputs!$C:$C,MATCH("*Revenue Start Month*",Inputs!$B:$B,0)),R$3&lt;=INDEX(Inputs!$C:$C,MATCH("End Year",Inputs!$B:$B,0))*12),INDEX(Inputs!$E:$E,MATCH("*Gross Potential Rent*",Inputs!$B:$B,0))/12*(1+INDEX(Inputs!$C:$C,MATCH("*Annual Revenue Growth Rate*",Inputs!$B:$B,0)))^(R$5-1),0)</f>
        <v>0</v>
      </c>
      <c r="S8" s="152">
        <f t="array" ref="S8">IF(AND(S$3&gt;=INDEX(Inputs!$C:$C,MATCH("*Revenue Start Month*",Inputs!$B:$B,0)),S$3&lt;=INDEX(Inputs!$C:$C,MATCH("End Year",Inputs!$B:$B,0))*12),INDEX(Inputs!$E:$E,MATCH("*Gross Potential Rent*",Inputs!$B:$B,0))/12*(1+INDEX(Inputs!$C:$C,MATCH("*Annual Revenue Growth Rate*",Inputs!$B:$B,0)))^(S$5-1),0)</f>
        <v>0</v>
      </c>
      <c r="T8" s="152">
        <f t="array" ref="T8">IF(AND(T$3&gt;=INDEX(Inputs!$C:$C,MATCH("*Revenue Start Month*",Inputs!$B:$B,0)),T$3&lt;=INDEX(Inputs!$C:$C,MATCH("End Year",Inputs!$B:$B,0))*12),INDEX(Inputs!$E:$E,MATCH("*Gross Potential Rent*",Inputs!$B:$B,0))/12*(1+INDEX(Inputs!$C:$C,MATCH("*Annual Revenue Growth Rate*",Inputs!$B:$B,0)))^(T$5-1),0)</f>
        <v>0</v>
      </c>
      <c r="U8" s="152">
        <f t="array" ref="U8">IF(AND(U$3&gt;=INDEX(Inputs!$C:$C,MATCH("*Revenue Start Month*",Inputs!$B:$B,0)),U$3&lt;=INDEX(Inputs!$C:$C,MATCH("End Year",Inputs!$B:$B,0))*12),INDEX(Inputs!$E:$E,MATCH("*Gross Potential Rent*",Inputs!$B:$B,0))/12*(1+INDEX(Inputs!$C:$C,MATCH("*Annual Revenue Growth Rate*",Inputs!$B:$B,0)))^(U$5-1),0)</f>
        <v>0</v>
      </c>
      <c r="V8" s="152">
        <f t="array" ref="V8">IF(AND(V$3&gt;=INDEX(Inputs!$C:$C,MATCH("*Revenue Start Month*",Inputs!$B:$B,0)),V$3&lt;=INDEX(Inputs!$C:$C,MATCH("End Year",Inputs!$B:$B,0))*12),INDEX(Inputs!$E:$E,MATCH("*Gross Potential Rent*",Inputs!$B:$B,0))/12*(1+INDEX(Inputs!$C:$C,MATCH("*Annual Revenue Growth Rate*",Inputs!$B:$B,0)))^(V$5-1),0)</f>
        <v>0</v>
      </c>
      <c r="W8" s="152">
        <f t="array" ref="W8">IF(AND(W$3&gt;=INDEX(Inputs!$C:$C,MATCH("*Revenue Start Month*",Inputs!$B:$B,0)),W$3&lt;=INDEX(Inputs!$C:$C,MATCH("End Year",Inputs!$B:$B,0))*12),INDEX(Inputs!$E:$E,MATCH("*Gross Potential Rent*",Inputs!$B:$B,0))/12*(1+INDEX(Inputs!$C:$C,MATCH("*Annual Revenue Growth Rate*",Inputs!$B:$B,0)))^(W$5-1),0)</f>
        <v>0</v>
      </c>
      <c r="X8" s="152">
        <f t="array" ref="X8">IF(AND(X$3&gt;=INDEX(Inputs!$C:$C,MATCH("*Revenue Start Month*",Inputs!$B:$B,0)),X$3&lt;=INDEX(Inputs!$C:$C,MATCH("End Year",Inputs!$B:$B,0))*12),INDEX(Inputs!$E:$E,MATCH("*Gross Potential Rent*",Inputs!$B:$B,0))/12*(1+INDEX(Inputs!$C:$C,MATCH("*Annual Revenue Growth Rate*",Inputs!$B:$B,0)))^(X$5-1),0)</f>
        <v>0</v>
      </c>
      <c r="Y8" s="152">
        <f t="array" ref="Y8">IF(AND(Y$3&gt;=INDEX(Inputs!$C:$C,MATCH("*Revenue Start Month*",Inputs!$B:$B,0)),Y$3&lt;=INDEX(Inputs!$C:$C,MATCH("End Year",Inputs!$B:$B,0))*12),INDEX(Inputs!$E:$E,MATCH("*Gross Potential Rent*",Inputs!$B:$B,0))/12*(1+INDEX(Inputs!$C:$C,MATCH("*Annual Revenue Growth Rate*",Inputs!$B:$B,0)))^(Y$5-1),0)</f>
        <v>0</v>
      </c>
      <c r="Z8" s="152">
        <f t="array" ref="Z8">IF(AND(Z$3&gt;=INDEX(Inputs!$C:$C,MATCH("*Revenue Start Month*",Inputs!$B:$B,0)),Z$3&lt;=INDEX(Inputs!$C:$C,MATCH("End Year",Inputs!$B:$B,0))*12),INDEX(Inputs!$E:$E,MATCH("*Gross Potential Rent*",Inputs!$B:$B,0))/12*(1+INDEX(Inputs!$C:$C,MATCH("*Annual Revenue Growth Rate*",Inputs!$B:$B,0)))^(Z$5-1),0)</f>
        <v>0</v>
      </c>
      <c r="AA8" s="152">
        <f t="array" ref="AA8">IF(AND(AA$3&gt;=INDEX(Inputs!$C:$C,MATCH("*Revenue Start Month*",Inputs!$B:$B,0)),AA$3&lt;=INDEX(Inputs!$C:$C,MATCH("End Year",Inputs!$B:$B,0))*12),INDEX(Inputs!$E:$E,MATCH("*Gross Potential Rent*",Inputs!$B:$B,0))/12*(1+INDEX(Inputs!$C:$C,MATCH("*Annual Revenue Growth Rate*",Inputs!$B:$B,0)))^(AA$5-1),0)</f>
        <v>0</v>
      </c>
      <c r="AB8" s="152">
        <f t="array" ref="AB8">IF(AND(AB$3&gt;=INDEX(Inputs!$C:$C,MATCH("*Revenue Start Month*",Inputs!$B:$B,0)),AB$3&lt;=INDEX(Inputs!$C:$C,MATCH("End Year",Inputs!$B:$B,0))*12),INDEX(Inputs!$E:$E,MATCH("*Gross Potential Rent*",Inputs!$B:$B,0))/12*(1+INDEX(Inputs!$C:$C,MATCH("*Annual Revenue Growth Rate*",Inputs!$B:$B,0)))^(AB$5-1),0)</f>
        <v>0</v>
      </c>
      <c r="AC8" s="152">
        <f t="array" ref="AC8">IF(AND(AC$3&gt;=INDEX(Inputs!$C:$C,MATCH("*Revenue Start Month*",Inputs!$B:$B,0)),AC$3&lt;=INDEX(Inputs!$C:$C,MATCH("End Year",Inputs!$B:$B,0))*12),INDEX(Inputs!$E:$E,MATCH("*Gross Potential Rent*",Inputs!$B:$B,0))/12*(1+INDEX(Inputs!$C:$C,MATCH("*Annual Revenue Growth Rate*",Inputs!$B:$B,0)))^(AC$5-1),0)</f>
        <v>0</v>
      </c>
      <c r="AD8" s="152">
        <f t="array" ref="AD8">IF(AND(AD$3&gt;=INDEX(Inputs!$C:$C,MATCH("*Revenue Start Month*",Inputs!$B:$B,0)),AD$3&lt;=INDEX(Inputs!$C:$C,MATCH("End Year",Inputs!$B:$B,0))*12),INDEX(Inputs!$E:$E,MATCH("*Gross Potential Rent*",Inputs!$B:$B,0))/12*(1+INDEX(Inputs!$C:$C,MATCH("*Annual Revenue Growth Rate*",Inputs!$B:$B,0)))^(AD$5-1),0)</f>
        <v>0</v>
      </c>
      <c r="AE8" s="152">
        <f t="array" ref="AE8">IF(AND(AE$3&gt;=INDEX(Inputs!$C:$C,MATCH("*Revenue Start Month*",Inputs!$B:$B,0)),AE$3&lt;=INDEX(Inputs!$C:$C,MATCH("End Year",Inputs!$B:$B,0))*12),INDEX(Inputs!$E:$E,MATCH("*Gross Potential Rent*",Inputs!$B:$B,0))/12*(1+INDEX(Inputs!$C:$C,MATCH("*Annual Revenue Growth Rate*",Inputs!$B:$B,0)))^(AE$5-1),0)</f>
        <v>0</v>
      </c>
      <c r="AF8" s="152">
        <f t="array" ref="AF8">IF(AND(AF$3&gt;=INDEX(Inputs!$C:$C,MATCH("*Revenue Start Month*",Inputs!$B:$B,0)),AF$3&lt;=INDEX(Inputs!$C:$C,MATCH("End Year",Inputs!$B:$B,0))*12),INDEX(Inputs!$E:$E,MATCH("*Gross Potential Rent*",Inputs!$B:$B,0))/12*(1+INDEX(Inputs!$C:$C,MATCH("*Annual Revenue Growth Rate*",Inputs!$B:$B,0)))^(AF$5-1),0)</f>
        <v>0</v>
      </c>
      <c r="AG8" s="152">
        <f t="array" ref="AG8">IF(AND(AG$3&gt;=INDEX(Inputs!$C:$C,MATCH("*Revenue Start Month*",Inputs!$B:$B,0)),AG$3&lt;=INDEX(Inputs!$C:$C,MATCH("End Year",Inputs!$B:$B,0))*12),INDEX(Inputs!$E:$E,MATCH("*Gross Potential Rent*",Inputs!$B:$B,0))/12*(1+INDEX(Inputs!$C:$C,MATCH("*Annual Revenue Growth Rate*",Inputs!$B:$B,0)))^(AG$5-1),0)</f>
        <v>0</v>
      </c>
      <c r="AH8" s="152">
        <f t="array" ref="AH8">IF(AND(AH$3&gt;=INDEX(Inputs!$C:$C,MATCH("*Revenue Start Month*",Inputs!$B:$B,0)),AH$3&lt;=INDEX(Inputs!$C:$C,MATCH("End Year",Inputs!$B:$B,0))*12),INDEX(Inputs!$E:$E,MATCH("*Gross Potential Rent*",Inputs!$B:$B,0))/12*(1+INDEX(Inputs!$C:$C,MATCH("*Annual Revenue Growth Rate*",Inputs!$B:$B,0)))^(AH$5-1),0)</f>
        <v>0</v>
      </c>
      <c r="AI8" s="152">
        <f t="array" ref="AI8">IF(AND(AI$3&gt;=INDEX(Inputs!$C:$C,MATCH("*Revenue Start Month*",Inputs!$B:$B,0)),AI$3&lt;=INDEX(Inputs!$C:$C,MATCH("End Year",Inputs!$B:$B,0))*12),INDEX(Inputs!$E:$E,MATCH("*Gross Potential Rent*",Inputs!$B:$B,0))/12*(1+INDEX(Inputs!$C:$C,MATCH("*Annual Revenue Growth Rate*",Inputs!$B:$B,0)))^(AI$5-1),0)</f>
        <v>0</v>
      </c>
      <c r="AJ8" s="152">
        <f t="array" ref="AJ8">IF(AND(AJ$3&gt;=INDEX(Inputs!$C:$C,MATCH("*Revenue Start Month*",Inputs!$B:$B,0)),AJ$3&lt;=INDEX(Inputs!$C:$C,MATCH("End Year",Inputs!$B:$B,0))*12),INDEX(Inputs!$E:$E,MATCH("*Gross Potential Rent*",Inputs!$B:$B,0))/12*(1+INDEX(Inputs!$C:$C,MATCH("*Annual Revenue Growth Rate*",Inputs!$B:$B,0)))^(AJ$5-1),0)</f>
        <v>0</v>
      </c>
      <c r="AK8" s="152">
        <f t="array" ref="AK8">IF(AND(AK$3&gt;=INDEX(Inputs!$C:$C,MATCH("*Revenue Start Month*",Inputs!$B:$B,0)),AK$3&lt;=INDEX(Inputs!$C:$C,MATCH("End Year",Inputs!$B:$B,0))*12),INDEX(Inputs!$E:$E,MATCH("*Gross Potential Rent*",Inputs!$B:$B,0))/12*(1+INDEX(Inputs!$C:$C,MATCH("*Annual Revenue Growth Rate*",Inputs!$B:$B,0)))^(AK$5-1),0)</f>
        <v>0</v>
      </c>
      <c r="AL8" s="152">
        <f t="array" ref="AL8">IF(AND(AL$3&gt;=INDEX(Inputs!$C:$C,MATCH("*Revenue Start Month*",Inputs!$B:$B,0)),AL$3&lt;=INDEX(Inputs!$C:$C,MATCH("End Year",Inputs!$B:$B,0))*12),INDEX(Inputs!$E:$E,MATCH("*Gross Potential Rent*",Inputs!$B:$B,0))/12*(1+INDEX(Inputs!$C:$C,MATCH("*Annual Revenue Growth Rate*",Inputs!$B:$B,0)))^(AL$5-1),0)</f>
        <v>0</v>
      </c>
      <c r="AM8" s="152">
        <f t="array" ref="AM8">IF(AND(AM$3&gt;=INDEX(Inputs!$C:$C,MATCH("*Revenue Start Month*",Inputs!$B:$B,0)),AM$3&lt;=INDEX(Inputs!$C:$C,MATCH("End Year",Inputs!$B:$B,0))*12),INDEX(Inputs!$E:$E,MATCH("*Gross Potential Rent*",Inputs!$B:$B,0))/12*(1+INDEX(Inputs!$C:$C,MATCH("*Annual Revenue Growth Rate*",Inputs!$B:$B,0)))^(AM$5-1),0)</f>
        <v>0</v>
      </c>
      <c r="AN8" s="152">
        <f t="array" ref="AN8">IF(AND(AN$3&gt;=INDEX(Inputs!$C:$C,MATCH("*Revenue Start Month*",Inputs!$B:$B,0)),AN$3&lt;=INDEX(Inputs!$C:$C,MATCH("End Year",Inputs!$B:$B,0))*12),INDEX(Inputs!$E:$E,MATCH("*Gross Potential Rent*",Inputs!$B:$B,0))/12*(1+INDEX(Inputs!$C:$C,MATCH("*Annual Revenue Growth Rate*",Inputs!$B:$B,0)))^(AN$5-1),0)</f>
        <v>0</v>
      </c>
      <c r="AO8" s="152">
        <f t="array" ref="AO8">IF(AND(AO$3&gt;=INDEX(Inputs!$C:$C,MATCH("*Revenue Start Month*",Inputs!$B:$B,0)),AO$3&lt;=INDEX(Inputs!$C:$C,MATCH("End Year",Inputs!$B:$B,0))*12),INDEX(Inputs!$E:$E,MATCH("*Gross Potential Rent*",Inputs!$B:$B,0))/12*(1+INDEX(Inputs!$C:$C,MATCH("*Annual Revenue Growth Rate*",Inputs!$B:$B,0)))^(AO$5-1),0)</f>
        <v>0</v>
      </c>
      <c r="AP8" s="152">
        <f t="array" ref="AP8">IF(AND(AP$3&gt;=INDEX(Inputs!$C:$C,MATCH("*Revenue Start Month*",Inputs!$B:$B,0)),AP$3&lt;=INDEX(Inputs!$C:$C,MATCH("End Year",Inputs!$B:$B,0))*12),INDEX(Inputs!$E:$E,MATCH("*Gross Potential Rent*",Inputs!$B:$B,0))/12*(1+INDEX(Inputs!$C:$C,MATCH("*Annual Revenue Growth Rate*",Inputs!$B:$B,0)))^(AP$5-1),0)</f>
        <v>0</v>
      </c>
      <c r="AQ8" s="152">
        <f t="array" ref="AQ8">IF(AND(AQ$3&gt;=INDEX(Inputs!$C:$C,MATCH("*Revenue Start Month*",Inputs!$B:$B,0)),AQ$3&lt;=INDEX(Inputs!$C:$C,MATCH("End Year",Inputs!$B:$B,0))*12),INDEX(Inputs!$E:$E,MATCH("*Gross Potential Rent*",Inputs!$B:$B,0))/12*(1+INDEX(Inputs!$C:$C,MATCH("*Annual Revenue Growth Rate*",Inputs!$B:$B,0)))^(AQ$5-1),0)</f>
        <v>0</v>
      </c>
      <c r="AR8" s="152">
        <f t="array" ref="AR8">IF(AND(AR$3&gt;=INDEX(Inputs!$C:$C,MATCH("*Revenue Start Month*",Inputs!$B:$B,0)),AR$3&lt;=INDEX(Inputs!$C:$C,MATCH("End Year",Inputs!$B:$B,0))*12),INDEX(Inputs!$E:$E,MATCH("*Gross Potential Rent*",Inputs!$B:$B,0))/12*(1+INDEX(Inputs!$C:$C,MATCH("*Annual Revenue Growth Rate*",Inputs!$B:$B,0)))^(AR$5-1),0)</f>
        <v>0</v>
      </c>
      <c r="AS8" s="152">
        <f t="array" ref="AS8">IF(AND(AS$3&gt;=INDEX(Inputs!$C:$C,MATCH("*Revenue Start Month*",Inputs!$B:$B,0)),AS$3&lt;=INDEX(Inputs!$C:$C,MATCH("End Year",Inputs!$B:$B,0))*12),INDEX(Inputs!$E:$E,MATCH("*Gross Potential Rent*",Inputs!$B:$B,0))/12*(1+INDEX(Inputs!$C:$C,MATCH("*Annual Revenue Growth Rate*",Inputs!$B:$B,0)))^(AS$5-1),0)</f>
        <v>0</v>
      </c>
      <c r="AT8" s="152">
        <f t="array" ref="AT8">IF(AND(AT$3&gt;=INDEX(Inputs!$C:$C,MATCH("*Revenue Start Month*",Inputs!$B:$B,0)),AT$3&lt;=INDEX(Inputs!$C:$C,MATCH("End Year",Inputs!$B:$B,0))*12),INDEX(Inputs!$E:$E,MATCH("*Gross Potential Rent*",Inputs!$B:$B,0))/12*(1+INDEX(Inputs!$C:$C,MATCH("*Annual Revenue Growth Rate*",Inputs!$B:$B,0)))^(AT$5-1),0)</f>
        <v>0</v>
      </c>
      <c r="AU8" s="152">
        <f t="array" ref="AU8">IF(AND(AU$3&gt;=INDEX(Inputs!$C:$C,MATCH("*Revenue Start Month*",Inputs!$B:$B,0)),AU$3&lt;=INDEX(Inputs!$C:$C,MATCH("End Year",Inputs!$B:$B,0))*12),INDEX(Inputs!$E:$E,MATCH("*Gross Potential Rent*",Inputs!$B:$B,0))/12*(1+INDEX(Inputs!$C:$C,MATCH("*Annual Revenue Growth Rate*",Inputs!$B:$B,0)))^(AU$5-1),0)</f>
        <v>0</v>
      </c>
      <c r="AV8" s="152">
        <f t="array" ref="AV8">IF(AND(AV$3&gt;=INDEX(Inputs!$C:$C,MATCH("*Revenue Start Month*",Inputs!$B:$B,0)),AV$3&lt;=INDEX(Inputs!$C:$C,MATCH("End Year",Inputs!$B:$B,0))*12),INDEX(Inputs!$E:$E,MATCH("*Gross Potential Rent*",Inputs!$B:$B,0))/12*(1+INDEX(Inputs!$C:$C,MATCH("*Annual Revenue Growth Rate*",Inputs!$B:$B,0)))^(AV$5-1),0)</f>
        <v>0</v>
      </c>
      <c r="AW8" s="152">
        <f t="array" ref="AW8">IF(AND(AW$3&gt;=INDEX(Inputs!$C:$C,MATCH("*Revenue Start Month*",Inputs!$B:$B,0)),AW$3&lt;=INDEX(Inputs!$C:$C,MATCH("End Year",Inputs!$B:$B,0))*12),INDEX(Inputs!$E:$E,MATCH("*Gross Potential Rent*",Inputs!$B:$B,0))/12*(1+INDEX(Inputs!$C:$C,MATCH("*Annual Revenue Growth Rate*",Inputs!$B:$B,0)))^(AW$5-1),0)</f>
        <v>0</v>
      </c>
      <c r="AX8" s="152">
        <f t="array" ref="AX8">IF(AND(AX$3&gt;=INDEX(Inputs!$C:$C,MATCH("*Revenue Start Month*",Inputs!$B:$B,0)),AX$3&lt;=INDEX(Inputs!$C:$C,MATCH("End Year",Inputs!$B:$B,0))*12),INDEX(Inputs!$E:$E,MATCH("*Gross Potential Rent*",Inputs!$B:$B,0))/12*(1+INDEX(Inputs!$C:$C,MATCH("*Annual Revenue Growth Rate*",Inputs!$B:$B,0)))^(AX$5-1),0)</f>
        <v>0</v>
      </c>
      <c r="AY8" s="152">
        <f t="array" ref="AY8">IF(AND(AY$3&gt;=INDEX(Inputs!$C:$C,MATCH("*Revenue Start Month*",Inputs!$B:$B,0)),AY$3&lt;=INDEX(Inputs!$C:$C,MATCH("End Year",Inputs!$B:$B,0))*12),INDEX(Inputs!$E:$E,MATCH("*Gross Potential Rent*",Inputs!$B:$B,0))/12*(1+INDEX(Inputs!$C:$C,MATCH("*Annual Revenue Growth Rate*",Inputs!$B:$B,0)))^(AY$5-1),0)</f>
        <v>0</v>
      </c>
      <c r="AZ8" s="152">
        <f t="array" ref="AZ8">IF(AND(AZ$3&gt;=INDEX(Inputs!$C:$C,MATCH("*Revenue Start Month*",Inputs!$B:$B,0)),AZ$3&lt;=INDEX(Inputs!$C:$C,MATCH("End Year",Inputs!$B:$B,0))*12),INDEX(Inputs!$E:$E,MATCH("*Gross Potential Rent*",Inputs!$B:$B,0))/12*(1+INDEX(Inputs!$C:$C,MATCH("*Annual Revenue Growth Rate*",Inputs!$B:$B,0)))^(AZ$5-1),0)</f>
        <v>0</v>
      </c>
      <c r="BA8" s="152">
        <f t="array" ref="BA8">IF(AND(BA$3&gt;=INDEX(Inputs!$C:$C,MATCH("*Revenue Start Month*",Inputs!$B:$B,0)),BA$3&lt;=INDEX(Inputs!$C:$C,MATCH("End Year",Inputs!$B:$B,0))*12),INDEX(Inputs!$E:$E,MATCH("*Gross Potential Rent*",Inputs!$B:$B,0))/12*(1+INDEX(Inputs!$C:$C,MATCH("*Annual Revenue Growth Rate*",Inputs!$B:$B,0)))^(BA$5-1),0)</f>
        <v>0</v>
      </c>
      <c r="BB8" s="152">
        <f t="array" ref="BB8">IF(AND(BB$3&gt;=INDEX(Inputs!$C:$C,MATCH("*Revenue Start Month*",Inputs!$B:$B,0)),BB$3&lt;=INDEX(Inputs!$C:$C,MATCH("End Year",Inputs!$B:$B,0))*12),INDEX(Inputs!$E:$E,MATCH("*Gross Potential Rent*",Inputs!$B:$B,0))/12*(1+INDEX(Inputs!$C:$C,MATCH("*Annual Revenue Growth Rate*",Inputs!$B:$B,0)))^(BB$5-1),0)</f>
        <v>0</v>
      </c>
      <c r="BC8" s="152">
        <f t="array" ref="BC8">IF(AND(BC$3&gt;=INDEX(Inputs!$C:$C,MATCH("*Revenue Start Month*",Inputs!$B:$B,0)),BC$3&lt;=INDEX(Inputs!$C:$C,MATCH("End Year",Inputs!$B:$B,0))*12),INDEX(Inputs!$E:$E,MATCH("*Gross Potential Rent*",Inputs!$B:$B,0))/12*(1+INDEX(Inputs!$C:$C,MATCH("*Annual Revenue Growth Rate*",Inputs!$B:$B,0)))^(BC$5-1),0)</f>
        <v>0</v>
      </c>
      <c r="BD8" s="152">
        <f t="array" ref="BD8">IF(AND(BD$3&gt;=INDEX(Inputs!$C:$C,MATCH("*Revenue Start Month*",Inputs!$B:$B,0)),BD$3&lt;=INDEX(Inputs!$C:$C,MATCH("End Year",Inputs!$B:$B,0))*12),INDEX(Inputs!$E:$E,MATCH("*Gross Potential Rent*",Inputs!$B:$B,0))/12*(1+INDEX(Inputs!$C:$C,MATCH("*Annual Revenue Growth Rate*",Inputs!$B:$B,0)))^(BD$5-1),0)</f>
        <v>0</v>
      </c>
      <c r="BE8" s="152">
        <f t="array" ref="BE8">IF(AND(BE$3&gt;=INDEX(Inputs!$C:$C,MATCH("*Revenue Start Month*",Inputs!$B:$B,0)),BE$3&lt;=INDEX(Inputs!$C:$C,MATCH("End Year",Inputs!$B:$B,0))*12),INDEX(Inputs!$E:$E,MATCH("*Gross Potential Rent*",Inputs!$B:$B,0))/12*(1+INDEX(Inputs!$C:$C,MATCH("*Annual Revenue Growth Rate*",Inputs!$B:$B,0)))^(BE$5-1),0)</f>
        <v>0</v>
      </c>
      <c r="BF8" s="152">
        <f t="array" ref="BF8">IF(AND(BF$3&gt;=INDEX(Inputs!$C:$C,MATCH("*Revenue Start Month*",Inputs!$B:$B,0)),BF$3&lt;=INDEX(Inputs!$C:$C,MATCH("End Year",Inputs!$B:$B,0))*12),INDEX(Inputs!$E:$E,MATCH("*Gross Potential Rent*",Inputs!$B:$B,0))/12*(1+INDEX(Inputs!$C:$C,MATCH("*Annual Revenue Growth Rate*",Inputs!$B:$B,0)))^(BF$5-1),0)</f>
        <v>0</v>
      </c>
      <c r="BG8" s="152">
        <f t="array" ref="BG8">IF(AND(BG$3&gt;=INDEX(Inputs!$C:$C,MATCH("*Revenue Start Month*",Inputs!$B:$B,0)),BG$3&lt;=INDEX(Inputs!$C:$C,MATCH("End Year",Inputs!$B:$B,0))*12),INDEX(Inputs!$E:$E,MATCH("*Gross Potential Rent*",Inputs!$B:$B,0))/12*(1+INDEX(Inputs!$C:$C,MATCH("*Annual Revenue Growth Rate*",Inputs!$B:$B,0)))^(BG$5-1),0)</f>
        <v>0</v>
      </c>
      <c r="BH8" s="152">
        <f t="array" ref="BH8">IF(AND(BH$3&gt;=INDEX(Inputs!$C:$C,MATCH("*Revenue Start Month*",Inputs!$B:$B,0)),BH$3&lt;=INDEX(Inputs!$C:$C,MATCH("End Year",Inputs!$B:$B,0))*12),INDEX(Inputs!$E:$E,MATCH("*Gross Potential Rent*",Inputs!$B:$B,0))/12*(1+INDEX(Inputs!$C:$C,MATCH("*Annual Revenue Growth Rate*",Inputs!$B:$B,0)))^(BH$5-1),0)</f>
        <v>0</v>
      </c>
      <c r="BI8" s="152">
        <f t="array" ref="BI8">IF(AND(BI$3&gt;=INDEX(Inputs!$C:$C,MATCH("*Revenue Start Month*",Inputs!$B:$B,0)),BI$3&lt;=INDEX(Inputs!$C:$C,MATCH("End Year",Inputs!$B:$B,0))*12),INDEX(Inputs!$E:$E,MATCH("*Gross Potential Rent*",Inputs!$B:$B,0))/12*(1+INDEX(Inputs!$C:$C,MATCH("*Annual Revenue Growth Rate*",Inputs!$B:$B,0)))^(BI$5-1),0)</f>
        <v>0</v>
      </c>
      <c r="BJ8" s="152">
        <f t="array" ref="BJ8">IF(AND(BJ$3&gt;=INDEX(Inputs!$C:$C,MATCH("*Revenue Start Month*",Inputs!$B:$B,0)),BJ$3&lt;=INDEX(Inputs!$C:$C,MATCH("End Year",Inputs!$B:$B,0))*12),INDEX(Inputs!$E:$E,MATCH("*Gross Potential Rent*",Inputs!$B:$B,0))/12*(1+INDEX(Inputs!$C:$C,MATCH("*Annual Revenue Growth Rate*",Inputs!$B:$B,0)))^(BJ$5-1),0)</f>
        <v>0</v>
      </c>
      <c r="BK8" s="152">
        <f t="array" ref="BK8">IF(AND(BK$3&gt;=INDEX(Inputs!$C:$C,MATCH("*Revenue Start Month*",Inputs!$B:$B,0)),BK$3&lt;=INDEX(Inputs!$C:$C,MATCH("End Year",Inputs!$B:$B,0))*12),INDEX(Inputs!$E:$E,MATCH("*Gross Potential Rent*",Inputs!$B:$B,0))/12*(1+INDEX(Inputs!$C:$C,MATCH("*Annual Revenue Growth Rate*",Inputs!$B:$B,0)))^(BK$5-1),0)</f>
        <v>0</v>
      </c>
      <c r="BL8" s="152">
        <f t="array" ref="BL8">IF(AND(BL$3&gt;=INDEX(Inputs!$C:$C,MATCH("*Revenue Start Month*",Inputs!$B:$B,0)),BL$3&lt;=INDEX(Inputs!$C:$C,MATCH("End Year",Inputs!$B:$B,0))*12),INDEX(Inputs!$E:$E,MATCH("*Gross Potential Rent*",Inputs!$B:$B,0))/12*(1+INDEX(Inputs!$C:$C,MATCH("*Annual Revenue Growth Rate*",Inputs!$B:$B,0)))^(BL$5-1),0)</f>
        <v>0</v>
      </c>
      <c r="BM8" s="152">
        <f t="array" ref="BM8">IF(AND(BM$3&gt;=INDEX(Inputs!$C:$C,MATCH("*Revenue Start Month*",Inputs!$B:$B,0)),BM$3&lt;=INDEX(Inputs!$C:$C,MATCH("End Year",Inputs!$B:$B,0))*12),INDEX(Inputs!$E:$E,MATCH("*Gross Potential Rent*",Inputs!$B:$B,0))/12*(1+INDEX(Inputs!$C:$C,MATCH("*Annual Revenue Growth Rate*",Inputs!$B:$B,0)))^(BM$5-1),0)</f>
        <v>0</v>
      </c>
      <c r="BN8" s="152">
        <f t="array" ref="BN8">IF(AND(BN$3&gt;=INDEX(Inputs!$C:$C,MATCH("*Revenue Start Month*",Inputs!$B:$B,0)),BN$3&lt;=INDEX(Inputs!$C:$C,MATCH("End Year",Inputs!$B:$B,0))*12),INDEX(Inputs!$E:$E,MATCH("*Gross Potential Rent*",Inputs!$B:$B,0))/12*(1+INDEX(Inputs!$C:$C,MATCH("*Annual Revenue Growth Rate*",Inputs!$B:$B,0)))^(BN$5-1),0)</f>
        <v>0</v>
      </c>
      <c r="BO8" s="152">
        <f t="array" ref="BO8">IF(AND(BO$3&gt;=INDEX(Inputs!$C:$C,MATCH("*Revenue Start Month*",Inputs!$B:$B,0)),BO$3&lt;=INDEX(Inputs!$C:$C,MATCH("End Year",Inputs!$B:$B,0))*12),INDEX(Inputs!$E:$E,MATCH("*Gross Potential Rent*",Inputs!$B:$B,0))/12*(1+INDEX(Inputs!$C:$C,MATCH("*Annual Revenue Growth Rate*",Inputs!$B:$B,0)))^(BO$5-1),0)</f>
        <v>0</v>
      </c>
      <c r="BP8" s="152">
        <f t="array" ref="BP8">IF(AND(BP$3&gt;=INDEX(Inputs!$C:$C,MATCH("*Revenue Start Month*",Inputs!$B:$B,0)),BP$3&lt;=INDEX(Inputs!$C:$C,MATCH("End Year",Inputs!$B:$B,0))*12),INDEX(Inputs!$E:$E,MATCH("*Gross Potential Rent*",Inputs!$B:$B,0))/12*(1+INDEX(Inputs!$C:$C,MATCH("*Annual Revenue Growth Rate*",Inputs!$B:$B,0)))^(BP$5-1),0)</f>
        <v>0</v>
      </c>
      <c r="BQ8" s="152">
        <f t="array" ref="BQ8">IF(AND(BQ$3&gt;=INDEX(Inputs!$C:$C,MATCH("*Revenue Start Month*",Inputs!$B:$B,0)),BQ$3&lt;=INDEX(Inputs!$C:$C,MATCH("End Year",Inputs!$B:$B,0))*12),INDEX(Inputs!$E:$E,MATCH("*Gross Potential Rent*",Inputs!$B:$B,0))/12*(1+INDEX(Inputs!$C:$C,MATCH("*Annual Revenue Growth Rate*",Inputs!$B:$B,0)))^(BQ$5-1),0)</f>
        <v>0</v>
      </c>
      <c r="BR8" s="152">
        <f t="array" ref="BR8">IF(AND(BR$3&gt;=INDEX(Inputs!$C:$C,MATCH("*Revenue Start Month*",Inputs!$B:$B,0)),BR$3&lt;=INDEX(Inputs!$C:$C,MATCH("End Year",Inputs!$B:$B,0))*12),INDEX(Inputs!$E:$E,MATCH("*Gross Potential Rent*",Inputs!$B:$B,0))/12*(1+INDEX(Inputs!$C:$C,MATCH("*Annual Revenue Growth Rate*",Inputs!$B:$B,0)))^(BR$5-1),0)</f>
        <v>0</v>
      </c>
      <c r="BS8" s="152">
        <f t="array" ref="BS8">IF(AND(BS$3&gt;=INDEX(Inputs!$C:$C,MATCH("*Revenue Start Month*",Inputs!$B:$B,0)),BS$3&lt;=INDEX(Inputs!$C:$C,MATCH("End Year",Inputs!$B:$B,0))*12),INDEX(Inputs!$E:$E,MATCH("*Gross Potential Rent*",Inputs!$B:$B,0))/12*(1+INDEX(Inputs!$C:$C,MATCH("*Annual Revenue Growth Rate*",Inputs!$B:$B,0)))^(BS$5-1),0)</f>
        <v>0</v>
      </c>
      <c r="BT8" s="152">
        <f t="array" ref="BT8">IF(AND(BT$3&gt;=INDEX(Inputs!$C:$C,MATCH("*Revenue Start Month*",Inputs!$B:$B,0)),BT$3&lt;=INDEX(Inputs!$C:$C,MATCH("End Year",Inputs!$B:$B,0))*12),INDEX(Inputs!$E:$E,MATCH("*Gross Potential Rent*",Inputs!$B:$B,0))/12*(1+INDEX(Inputs!$C:$C,MATCH("*Annual Revenue Growth Rate*",Inputs!$B:$B,0)))^(BT$5-1),0)</f>
        <v>0</v>
      </c>
      <c r="BU8" s="152">
        <f t="array" ref="BU8">IF(AND(BU$3&gt;=INDEX(Inputs!$C:$C,MATCH("*Revenue Start Month*",Inputs!$B:$B,0)),BU$3&lt;=INDEX(Inputs!$C:$C,MATCH("End Year",Inputs!$B:$B,0))*12),INDEX(Inputs!$E:$E,MATCH("*Gross Potential Rent*",Inputs!$B:$B,0))/12*(1+INDEX(Inputs!$C:$C,MATCH("*Annual Revenue Growth Rate*",Inputs!$B:$B,0)))^(BU$5-1),0)</f>
        <v>0</v>
      </c>
      <c r="BV8" s="152">
        <f t="array" ref="BV8">IF(AND(BV$3&gt;=INDEX(Inputs!$C:$C,MATCH("*Revenue Start Month*",Inputs!$B:$B,0)),BV$3&lt;=INDEX(Inputs!$C:$C,MATCH("End Year",Inputs!$B:$B,0))*12),INDEX(Inputs!$E:$E,MATCH("*Gross Potential Rent*",Inputs!$B:$B,0))/12*(1+INDEX(Inputs!$C:$C,MATCH("*Annual Revenue Growth Rate*",Inputs!$B:$B,0)))^(BV$5-1),0)</f>
        <v>0</v>
      </c>
      <c r="BW8" s="152">
        <f t="array" ref="BW8">IF(AND(BW$3&gt;=INDEX(Inputs!$C:$C,MATCH("*Revenue Start Month*",Inputs!$B:$B,0)),BW$3&lt;=INDEX(Inputs!$C:$C,MATCH("End Year",Inputs!$B:$B,0))*12),INDEX(Inputs!$E:$E,MATCH("*Gross Potential Rent*",Inputs!$B:$B,0))/12*(1+INDEX(Inputs!$C:$C,MATCH("*Annual Revenue Growth Rate*",Inputs!$B:$B,0)))^(BW$5-1),0)</f>
        <v>0</v>
      </c>
      <c r="BX8" s="152">
        <f t="array" ref="BX8">IF(AND(BX$3&gt;=INDEX(Inputs!$C:$C,MATCH("*Revenue Start Month*",Inputs!$B:$B,0)),BX$3&lt;=INDEX(Inputs!$C:$C,MATCH("End Year",Inputs!$B:$B,0))*12),INDEX(Inputs!$E:$E,MATCH("*Gross Potential Rent*",Inputs!$B:$B,0))/12*(1+INDEX(Inputs!$C:$C,MATCH("*Annual Revenue Growth Rate*",Inputs!$B:$B,0)))^(BX$5-1),0)</f>
        <v>0</v>
      </c>
      <c r="BY8" s="152">
        <f t="array" ref="BY8">IF(AND(BY$3&gt;=INDEX(Inputs!$C:$C,MATCH("*Revenue Start Month*",Inputs!$B:$B,0)),BY$3&lt;=INDEX(Inputs!$C:$C,MATCH("End Year",Inputs!$B:$B,0))*12),INDEX(Inputs!$E:$E,MATCH("*Gross Potential Rent*",Inputs!$B:$B,0))/12*(1+INDEX(Inputs!$C:$C,MATCH("*Annual Revenue Growth Rate*",Inputs!$B:$B,0)))^(BY$5-1),0)</f>
        <v>0</v>
      </c>
      <c r="BZ8" s="152">
        <f t="array" ref="BZ8">IF(AND(BZ$3&gt;=INDEX(Inputs!$C:$C,MATCH("*Revenue Start Month*",Inputs!$B:$B,0)),BZ$3&lt;=INDEX(Inputs!$C:$C,MATCH("End Year",Inputs!$B:$B,0))*12),INDEX(Inputs!$E:$E,MATCH("*Gross Potential Rent*",Inputs!$B:$B,0))/12*(1+INDEX(Inputs!$C:$C,MATCH("*Annual Revenue Growth Rate*",Inputs!$B:$B,0)))^(BZ$5-1),0)</f>
        <v>0</v>
      </c>
      <c r="CA8" s="152">
        <f t="array" ref="CA8">IF(AND(CA$3&gt;=INDEX(Inputs!$C:$C,MATCH("*Revenue Start Month*",Inputs!$B:$B,0)),CA$3&lt;=INDEX(Inputs!$C:$C,MATCH("End Year",Inputs!$B:$B,0))*12),INDEX(Inputs!$E:$E,MATCH("*Gross Potential Rent*",Inputs!$B:$B,0))/12*(1+INDEX(Inputs!$C:$C,MATCH("*Annual Revenue Growth Rate*",Inputs!$B:$B,0)))^(CA$5-1),0)</f>
        <v>0</v>
      </c>
      <c r="CB8" s="152">
        <f t="array" ref="CB8">IF(AND(CB$3&gt;=INDEX(Inputs!$C:$C,MATCH("*Revenue Start Month*",Inputs!$B:$B,0)),CB$3&lt;=INDEX(Inputs!$C:$C,MATCH("End Year",Inputs!$B:$B,0))*12),INDEX(Inputs!$E:$E,MATCH("*Gross Potential Rent*",Inputs!$B:$B,0))/12*(1+INDEX(Inputs!$C:$C,MATCH("*Annual Revenue Growth Rate*",Inputs!$B:$B,0)))^(CB$5-1),0)</f>
        <v>0</v>
      </c>
      <c r="CC8" s="152">
        <f t="array" ref="CC8">IF(AND(CC$3&gt;=INDEX(Inputs!$C:$C,MATCH("*Revenue Start Month*",Inputs!$B:$B,0)),CC$3&lt;=INDEX(Inputs!$C:$C,MATCH("End Year",Inputs!$B:$B,0))*12),INDEX(Inputs!$E:$E,MATCH("*Gross Potential Rent*",Inputs!$B:$B,0))/12*(1+INDEX(Inputs!$C:$C,MATCH("*Annual Revenue Growth Rate*",Inputs!$B:$B,0)))^(CC$5-1),0)</f>
        <v>0</v>
      </c>
      <c r="CD8" s="152">
        <f t="array" ref="CD8">IF(AND(CD$3&gt;=INDEX(Inputs!$C:$C,MATCH("*Revenue Start Month*",Inputs!$B:$B,0)),CD$3&lt;=INDEX(Inputs!$C:$C,MATCH("End Year",Inputs!$B:$B,0))*12),INDEX(Inputs!$E:$E,MATCH("*Gross Potential Rent*",Inputs!$B:$B,0))/12*(1+INDEX(Inputs!$C:$C,MATCH("*Annual Revenue Growth Rate*",Inputs!$B:$B,0)))^(CD$5-1),0)</f>
        <v>0</v>
      </c>
      <c r="CE8" s="152">
        <f t="array" ref="CE8">IF(AND(CE$3&gt;=INDEX(Inputs!$C:$C,MATCH("*Revenue Start Month*",Inputs!$B:$B,0)),CE$3&lt;=INDEX(Inputs!$C:$C,MATCH("End Year",Inputs!$B:$B,0))*12),INDEX(Inputs!$E:$E,MATCH("*Gross Potential Rent*",Inputs!$B:$B,0))/12*(1+INDEX(Inputs!$C:$C,MATCH("*Annual Revenue Growth Rate*",Inputs!$B:$B,0)))^(CE$5-1),0)</f>
        <v>0</v>
      </c>
      <c r="CF8" s="152">
        <f t="array" ref="CF8">IF(AND(CF$3&gt;=INDEX(Inputs!$C:$C,MATCH("*Revenue Start Month*",Inputs!$B:$B,0)),CF$3&lt;=INDEX(Inputs!$C:$C,MATCH("End Year",Inputs!$B:$B,0))*12),INDEX(Inputs!$E:$E,MATCH("*Gross Potential Rent*",Inputs!$B:$B,0))/12*(1+INDEX(Inputs!$C:$C,MATCH("*Annual Revenue Growth Rate*",Inputs!$B:$B,0)))^(CF$5-1),0)</f>
        <v>0</v>
      </c>
      <c r="CG8" s="152">
        <f t="array" ref="CG8">IF(AND(CG$3&gt;=INDEX(Inputs!$C:$C,MATCH("*Revenue Start Month*",Inputs!$B:$B,0)),CG$3&lt;=INDEX(Inputs!$C:$C,MATCH("End Year",Inputs!$B:$B,0))*12),INDEX(Inputs!$E:$E,MATCH("*Gross Potential Rent*",Inputs!$B:$B,0))/12*(1+INDEX(Inputs!$C:$C,MATCH("*Annual Revenue Growth Rate*",Inputs!$B:$B,0)))^(CG$5-1),0)</f>
        <v>0</v>
      </c>
      <c r="CH8" s="152">
        <f t="array" ref="CH8">IF(AND(CH$3&gt;=INDEX(Inputs!$C:$C,MATCH("*Revenue Start Month*",Inputs!$B:$B,0)),CH$3&lt;=INDEX(Inputs!$C:$C,MATCH("End Year",Inputs!$B:$B,0))*12),INDEX(Inputs!$E:$E,MATCH("*Gross Potential Rent*",Inputs!$B:$B,0))/12*(1+INDEX(Inputs!$C:$C,MATCH("*Annual Revenue Growth Rate*",Inputs!$B:$B,0)))^(CH$5-1),0)</f>
        <v>0</v>
      </c>
      <c r="CI8" s="152">
        <f t="array" ref="CI8">IF(AND(CI$3&gt;=INDEX(Inputs!$C:$C,MATCH("*Revenue Start Month*",Inputs!$B:$B,0)),CI$3&lt;=INDEX(Inputs!$C:$C,MATCH("End Year",Inputs!$B:$B,0))*12),INDEX(Inputs!$E:$E,MATCH("*Gross Potential Rent*",Inputs!$B:$B,0))/12*(1+INDEX(Inputs!$C:$C,MATCH("*Annual Revenue Growth Rate*",Inputs!$B:$B,0)))^(CI$5-1),0)</f>
        <v>0</v>
      </c>
      <c r="CJ8" s="152">
        <f t="array" ref="CJ8">IF(AND(CJ$3&gt;=INDEX(Inputs!$C:$C,MATCH("*Revenue Start Month*",Inputs!$B:$B,0)),CJ$3&lt;=INDEX(Inputs!$C:$C,MATCH("End Year",Inputs!$B:$B,0))*12),INDEX(Inputs!$E:$E,MATCH("*Gross Potential Rent*",Inputs!$B:$B,0))/12*(1+INDEX(Inputs!$C:$C,MATCH("*Annual Revenue Growth Rate*",Inputs!$B:$B,0)))^(CJ$5-1),0)</f>
        <v>0</v>
      </c>
      <c r="CK8" s="152">
        <f t="array" ref="CK8">IF(AND(CK$3&gt;=INDEX(Inputs!$C:$C,MATCH("*Revenue Start Month*",Inputs!$B:$B,0)),CK$3&lt;=INDEX(Inputs!$C:$C,MATCH("End Year",Inputs!$B:$B,0))*12),INDEX(Inputs!$E:$E,MATCH("*Gross Potential Rent*",Inputs!$B:$B,0))/12*(1+INDEX(Inputs!$C:$C,MATCH("*Annual Revenue Growth Rate*",Inputs!$B:$B,0)))^(CK$5-1),0)</f>
        <v>0</v>
      </c>
      <c r="CL8" s="152">
        <f t="array" ref="CL8">IF(AND(CL$3&gt;=INDEX(Inputs!$C:$C,MATCH("*Revenue Start Month*",Inputs!$B:$B,0)),CL$3&lt;=INDEX(Inputs!$C:$C,MATCH("End Year",Inputs!$B:$B,0))*12),INDEX(Inputs!$E:$E,MATCH("*Gross Potential Rent*",Inputs!$B:$B,0))/12*(1+INDEX(Inputs!$C:$C,MATCH("*Annual Revenue Growth Rate*",Inputs!$B:$B,0)))^(CL$5-1),0)</f>
        <v>0</v>
      </c>
      <c r="CM8" s="152">
        <f t="array" ref="CM8">IF(AND(CM$3&gt;=INDEX(Inputs!$C:$C,MATCH("*Revenue Start Month*",Inputs!$B:$B,0)),CM$3&lt;=INDEX(Inputs!$C:$C,MATCH("End Year",Inputs!$B:$B,0))*12),INDEX(Inputs!$E:$E,MATCH("*Gross Potential Rent*",Inputs!$B:$B,0))/12*(1+INDEX(Inputs!$C:$C,MATCH("*Annual Revenue Growth Rate*",Inputs!$B:$B,0)))^(CM$5-1),0)</f>
        <v>0</v>
      </c>
      <c r="CN8" s="152">
        <f t="array" ref="CN8">IF(AND(CN$3&gt;=INDEX(Inputs!$C:$C,MATCH("*Revenue Start Month*",Inputs!$B:$B,0)),CN$3&lt;=INDEX(Inputs!$C:$C,MATCH("End Year",Inputs!$B:$B,0))*12),INDEX(Inputs!$E:$E,MATCH("*Gross Potential Rent*",Inputs!$B:$B,0))/12*(1+INDEX(Inputs!$C:$C,MATCH("*Annual Revenue Growth Rate*",Inputs!$B:$B,0)))^(CN$5-1),0)</f>
        <v>0</v>
      </c>
      <c r="CO8" s="152">
        <f t="array" ref="CO8">IF(AND(CO$3&gt;=INDEX(Inputs!$C:$C,MATCH("*Revenue Start Month*",Inputs!$B:$B,0)),CO$3&lt;=INDEX(Inputs!$C:$C,MATCH("End Year",Inputs!$B:$B,0))*12),INDEX(Inputs!$E:$E,MATCH("*Gross Potential Rent*",Inputs!$B:$B,0))/12*(1+INDEX(Inputs!$C:$C,MATCH("*Annual Revenue Growth Rate*",Inputs!$B:$B,0)))^(CO$5-1),0)</f>
        <v>0</v>
      </c>
      <c r="CP8" s="152">
        <f t="array" ref="CP8">IF(AND(CP$3&gt;=INDEX(Inputs!$C:$C,MATCH("*Revenue Start Month*",Inputs!$B:$B,0)),CP$3&lt;=INDEX(Inputs!$C:$C,MATCH("End Year",Inputs!$B:$B,0))*12),INDEX(Inputs!$E:$E,MATCH("*Gross Potential Rent*",Inputs!$B:$B,0))/12*(1+INDEX(Inputs!$C:$C,MATCH("*Annual Revenue Growth Rate*",Inputs!$B:$B,0)))^(CP$5-1),0)</f>
        <v>0</v>
      </c>
      <c r="CQ8" s="152">
        <f t="array" ref="CQ8">IF(AND(CQ$3&gt;=INDEX(Inputs!$C:$C,MATCH("*Revenue Start Month*",Inputs!$B:$B,0)),CQ$3&lt;=INDEX(Inputs!$C:$C,MATCH("End Year",Inputs!$B:$B,0))*12),INDEX(Inputs!$E:$E,MATCH("*Gross Potential Rent*",Inputs!$B:$B,0))/12*(1+INDEX(Inputs!$C:$C,MATCH("*Annual Revenue Growth Rate*",Inputs!$B:$B,0)))^(CQ$5-1),0)</f>
        <v>0</v>
      </c>
      <c r="CR8" s="152">
        <f t="array" ref="CR8">IF(AND(CR$3&gt;=INDEX(Inputs!$C:$C,MATCH("*Revenue Start Month*",Inputs!$B:$B,0)),CR$3&lt;=INDEX(Inputs!$C:$C,MATCH("End Year",Inputs!$B:$B,0))*12),INDEX(Inputs!$E:$E,MATCH("*Gross Potential Rent*",Inputs!$B:$B,0))/12*(1+INDEX(Inputs!$C:$C,MATCH("*Annual Revenue Growth Rate*",Inputs!$B:$B,0)))^(CR$5-1),0)</f>
        <v>0</v>
      </c>
      <c r="CS8" s="152">
        <f t="array" ref="CS8">IF(AND(CS$3&gt;=INDEX(Inputs!$C:$C,MATCH("*Revenue Start Month*",Inputs!$B:$B,0)),CS$3&lt;=INDEX(Inputs!$C:$C,MATCH("End Year",Inputs!$B:$B,0))*12),INDEX(Inputs!$E:$E,MATCH("*Gross Potential Rent*",Inputs!$B:$B,0))/12*(1+INDEX(Inputs!$C:$C,MATCH("*Annual Revenue Growth Rate*",Inputs!$B:$B,0)))^(CS$5-1),0)</f>
        <v>0</v>
      </c>
      <c r="CT8" s="152">
        <f t="array" ref="CT8">IF(AND(CT$3&gt;=INDEX(Inputs!$C:$C,MATCH("*Revenue Start Month*",Inputs!$B:$B,0)),CT$3&lt;=INDEX(Inputs!$C:$C,MATCH("End Year",Inputs!$B:$B,0))*12),INDEX(Inputs!$E:$E,MATCH("*Gross Potential Rent*",Inputs!$B:$B,0))/12*(1+INDEX(Inputs!$C:$C,MATCH("*Annual Revenue Growth Rate*",Inputs!$B:$B,0)))^(CT$5-1),0)</f>
        <v>0</v>
      </c>
      <c r="CU8" s="152">
        <f t="array" ref="CU8">IF(AND(CU$3&gt;=INDEX(Inputs!$C:$C,MATCH("*Revenue Start Month*",Inputs!$B:$B,0)),CU$3&lt;=INDEX(Inputs!$C:$C,MATCH("End Year",Inputs!$B:$B,0))*12),INDEX(Inputs!$E:$E,MATCH("*Gross Potential Rent*",Inputs!$B:$B,0))/12*(1+INDEX(Inputs!$C:$C,MATCH("*Annual Revenue Growth Rate*",Inputs!$B:$B,0)))^(CU$5-1),0)</f>
        <v>0</v>
      </c>
      <c r="CV8" s="152">
        <f t="array" ref="CV8">IF(AND(CV$3&gt;=INDEX(Inputs!$C:$C,MATCH("*Revenue Start Month*",Inputs!$B:$B,0)),CV$3&lt;=INDEX(Inputs!$C:$C,MATCH("End Year",Inputs!$B:$B,0))*12),INDEX(Inputs!$E:$E,MATCH("*Gross Potential Rent*",Inputs!$B:$B,0))/12*(1+INDEX(Inputs!$C:$C,MATCH("*Annual Revenue Growth Rate*",Inputs!$B:$B,0)))^(CV$5-1),0)</f>
        <v>0</v>
      </c>
      <c r="CW8" s="152">
        <f t="array" ref="CW8">IF(AND(CW$3&gt;=INDEX(Inputs!$C:$C,MATCH("*Revenue Start Month*",Inputs!$B:$B,0)),CW$3&lt;=INDEX(Inputs!$C:$C,MATCH("End Year",Inputs!$B:$B,0))*12),INDEX(Inputs!$E:$E,MATCH("*Gross Potential Rent*",Inputs!$B:$B,0))/12*(1+INDEX(Inputs!$C:$C,MATCH("*Annual Revenue Growth Rate*",Inputs!$B:$B,0)))^(CW$5-1),0)</f>
        <v>0</v>
      </c>
      <c r="CX8" s="152">
        <f t="array" ref="CX8">IF(AND(CX$3&gt;=INDEX(Inputs!$C:$C,MATCH("*Revenue Start Month*",Inputs!$B:$B,0)),CX$3&lt;=INDEX(Inputs!$C:$C,MATCH("End Year",Inputs!$B:$B,0))*12),INDEX(Inputs!$E:$E,MATCH("*Gross Potential Rent*",Inputs!$B:$B,0))/12*(1+INDEX(Inputs!$C:$C,MATCH("*Annual Revenue Growth Rate*",Inputs!$B:$B,0)))^(CX$5-1),0)</f>
        <v>0</v>
      </c>
      <c r="CY8" s="152">
        <f t="array" ref="CY8">IF(AND(CY$3&gt;=INDEX(Inputs!$C:$C,MATCH("*Revenue Start Month*",Inputs!$B:$B,0)),CY$3&lt;=INDEX(Inputs!$C:$C,MATCH("End Year",Inputs!$B:$B,0))*12),INDEX(Inputs!$E:$E,MATCH("*Gross Potential Rent*",Inputs!$B:$B,0))/12*(1+INDEX(Inputs!$C:$C,MATCH("*Annual Revenue Growth Rate*",Inputs!$B:$B,0)))^(CY$5-1),0)</f>
        <v>0</v>
      </c>
      <c r="CZ8" s="152">
        <f t="array" ref="CZ8">IF(AND(CZ$3&gt;=INDEX(Inputs!$C:$C,MATCH("*Revenue Start Month*",Inputs!$B:$B,0)),CZ$3&lt;=INDEX(Inputs!$C:$C,MATCH("End Year",Inputs!$B:$B,0))*12),INDEX(Inputs!$E:$E,MATCH("*Gross Potential Rent*",Inputs!$B:$B,0))/12*(1+INDEX(Inputs!$C:$C,MATCH("*Annual Revenue Growth Rate*",Inputs!$B:$B,0)))^(CZ$5-1),0)</f>
        <v>0</v>
      </c>
      <c r="DA8" s="152">
        <f t="array" ref="DA8">IF(AND(DA$3&gt;=INDEX(Inputs!$C:$C,MATCH("*Revenue Start Month*",Inputs!$B:$B,0)),DA$3&lt;=INDEX(Inputs!$C:$C,MATCH("End Year",Inputs!$B:$B,0))*12),INDEX(Inputs!$E:$E,MATCH("*Gross Potential Rent*",Inputs!$B:$B,0))/12*(1+INDEX(Inputs!$C:$C,MATCH("*Annual Revenue Growth Rate*",Inputs!$B:$B,0)))^(DA$5-1),0)</f>
        <v>0</v>
      </c>
      <c r="DB8" s="152">
        <f t="array" ref="DB8">IF(AND(DB$3&gt;=INDEX(Inputs!$C:$C,MATCH("*Revenue Start Month*",Inputs!$B:$B,0)),DB$3&lt;=INDEX(Inputs!$C:$C,MATCH("End Year",Inputs!$B:$B,0))*12),INDEX(Inputs!$E:$E,MATCH("*Gross Potential Rent*",Inputs!$B:$B,0))/12*(1+INDEX(Inputs!$C:$C,MATCH("*Annual Revenue Growth Rate*",Inputs!$B:$B,0)))^(DB$5-1),0)</f>
        <v>0</v>
      </c>
      <c r="DC8" s="152">
        <f t="array" ref="DC8">IF(AND(DC$3&gt;=INDEX(Inputs!$C:$C,MATCH("*Revenue Start Month*",Inputs!$B:$B,0)),DC$3&lt;=INDEX(Inputs!$C:$C,MATCH("End Year",Inputs!$B:$B,0))*12),INDEX(Inputs!$E:$E,MATCH("*Gross Potential Rent*",Inputs!$B:$B,0))/12*(1+INDEX(Inputs!$C:$C,MATCH("*Annual Revenue Growth Rate*",Inputs!$B:$B,0)))^(DC$5-1),0)</f>
        <v>0</v>
      </c>
      <c r="DD8" s="152">
        <f t="array" ref="DD8">IF(AND(DD$3&gt;=INDEX(Inputs!$C:$C,MATCH("*Revenue Start Month*",Inputs!$B:$B,0)),DD$3&lt;=INDEX(Inputs!$C:$C,MATCH("End Year",Inputs!$B:$B,0))*12),INDEX(Inputs!$E:$E,MATCH("*Gross Potential Rent*",Inputs!$B:$B,0))/12*(1+INDEX(Inputs!$C:$C,MATCH("*Annual Revenue Growth Rate*",Inputs!$B:$B,0)))^(DD$5-1),0)</f>
        <v>0</v>
      </c>
      <c r="DE8" s="152">
        <f t="array" ref="DE8">IF(AND(DE$3&gt;=INDEX(Inputs!$C:$C,MATCH("*Revenue Start Month*",Inputs!$B:$B,0)),DE$3&lt;=INDEX(Inputs!$C:$C,MATCH("End Year",Inputs!$B:$B,0))*12),INDEX(Inputs!$E:$E,MATCH("*Gross Potential Rent*",Inputs!$B:$B,0))/12*(1+INDEX(Inputs!$C:$C,MATCH("*Annual Revenue Growth Rate*",Inputs!$B:$B,0)))^(DE$5-1),0)</f>
        <v>0</v>
      </c>
      <c r="DF8" s="152">
        <f t="array" ref="DF8">IF(AND(DF$3&gt;=INDEX(Inputs!$C:$C,MATCH("*Revenue Start Month*",Inputs!$B:$B,0)),DF$3&lt;=INDEX(Inputs!$C:$C,MATCH("End Year",Inputs!$B:$B,0))*12),INDEX(Inputs!$E:$E,MATCH("*Gross Potential Rent*",Inputs!$B:$B,0))/12*(1+INDEX(Inputs!$C:$C,MATCH("*Annual Revenue Growth Rate*",Inputs!$B:$B,0)))^(DF$5-1),0)</f>
        <v>0</v>
      </c>
      <c r="DG8" s="152">
        <f t="array" ref="DG8">IF(AND(DG$3&gt;=INDEX(Inputs!$C:$C,MATCH("*Revenue Start Month*",Inputs!$B:$B,0)),DG$3&lt;=INDEX(Inputs!$C:$C,MATCH("End Year",Inputs!$B:$B,0))*12),INDEX(Inputs!$E:$E,MATCH("*Gross Potential Rent*",Inputs!$B:$B,0))/12*(1+INDEX(Inputs!$C:$C,MATCH("*Annual Revenue Growth Rate*",Inputs!$B:$B,0)))^(DG$5-1),0)</f>
        <v>0</v>
      </c>
      <c r="DH8" s="152">
        <f t="array" ref="DH8">IF(AND(DH$3&gt;=INDEX(Inputs!$C:$C,MATCH("*Revenue Start Month*",Inputs!$B:$B,0)),DH$3&lt;=INDEX(Inputs!$C:$C,MATCH("End Year",Inputs!$B:$B,0))*12),INDEX(Inputs!$E:$E,MATCH("*Gross Potential Rent*",Inputs!$B:$B,0))/12*(1+INDEX(Inputs!$C:$C,MATCH("*Annual Revenue Growth Rate*",Inputs!$B:$B,0)))^(DH$5-1),0)</f>
        <v>0</v>
      </c>
      <c r="DI8" s="152">
        <f t="array" ref="DI8">IF(AND(DI$3&gt;=INDEX(Inputs!$C:$C,MATCH("*Revenue Start Month*",Inputs!$B:$B,0)),DI$3&lt;=INDEX(Inputs!$C:$C,MATCH("End Year",Inputs!$B:$B,0))*12),INDEX(Inputs!$E:$E,MATCH("*Gross Potential Rent*",Inputs!$B:$B,0))/12*(1+INDEX(Inputs!$C:$C,MATCH("*Annual Revenue Growth Rate*",Inputs!$B:$B,0)))^(DI$5-1),0)</f>
        <v>0</v>
      </c>
      <c r="DJ8" s="152">
        <f t="array" ref="DJ8">IF(AND(DJ$3&gt;=INDEX(Inputs!$C:$C,MATCH("*Revenue Start Month*",Inputs!$B:$B,0)),DJ$3&lt;=INDEX(Inputs!$C:$C,MATCH("End Year",Inputs!$B:$B,0))*12),INDEX(Inputs!$E:$E,MATCH("*Gross Potential Rent*",Inputs!$B:$B,0))/12*(1+INDEX(Inputs!$C:$C,MATCH("*Annual Revenue Growth Rate*",Inputs!$B:$B,0)))^(DJ$5-1),0)</f>
        <v>0</v>
      </c>
      <c r="DK8" s="152">
        <f t="array" ref="DK8">IF(AND(DK$3&gt;=INDEX(Inputs!$C:$C,MATCH("*Revenue Start Month*",Inputs!$B:$B,0)),DK$3&lt;=INDEX(Inputs!$C:$C,MATCH("End Year",Inputs!$B:$B,0))*12),INDEX(Inputs!$E:$E,MATCH("*Gross Potential Rent*",Inputs!$B:$B,0))/12*(1+INDEX(Inputs!$C:$C,MATCH("*Annual Revenue Growth Rate*",Inputs!$B:$B,0)))^(DK$5-1),0)</f>
        <v>0</v>
      </c>
      <c r="DL8" s="152">
        <f t="array" ref="DL8">IF(AND(DL$3&gt;=INDEX(Inputs!$C:$C,MATCH("*Revenue Start Month*",Inputs!$B:$B,0)),DL$3&lt;=INDEX(Inputs!$C:$C,MATCH("End Year",Inputs!$B:$B,0))*12),INDEX(Inputs!$E:$E,MATCH("*Gross Potential Rent*",Inputs!$B:$B,0))/12*(1+INDEX(Inputs!$C:$C,MATCH("*Annual Revenue Growth Rate*",Inputs!$B:$B,0)))^(DL$5-1),0)</f>
        <v>0</v>
      </c>
      <c r="DM8" s="152">
        <f t="array" ref="DM8">IF(AND(DM$3&gt;=INDEX(Inputs!$C:$C,MATCH("*Revenue Start Month*",Inputs!$B:$B,0)),DM$3&lt;=INDEX(Inputs!$C:$C,MATCH("End Year",Inputs!$B:$B,0))*12),INDEX(Inputs!$E:$E,MATCH("*Gross Potential Rent*",Inputs!$B:$B,0))/12*(1+INDEX(Inputs!$C:$C,MATCH("*Annual Revenue Growth Rate*",Inputs!$B:$B,0)))^(DM$5-1),0)</f>
        <v>0</v>
      </c>
      <c r="DN8" s="152">
        <f t="array" ref="DN8">IF(AND(DN$3&gt;=INDEX(Inputs!$C:$C,MATCH("*Revenue Start Month*",Inputs!$B:$B,0)),DN$3&lt;=INDEX(Inputs!$C:$C,MATCH("End Year",Inputs!$B:$B,0))*12),INDEX(Inputs!$E:$E,MATCH("*Gross Potential Rent*",Inputs!$B:$B,0))/12*(1+INDEX(Inputs!$C:$C,MATCH("*Annual Revenue Growth Rate*",Inputs!$B:$B,0)))^(DN$5-1),0)</f>
        <v>0</v>
      </c>
      <c r="DO8" s="152">
        <f t="array" ref="DO8">IF(AND(DO$3&gt;=INDEX(Inputs!$C:$C,MATCH("*Revenue Start Month*",Inputs!$B:$B,0)),DO$3&lt;=INDEX(Inputs!$C:$C,MATCH("End Year",Inputs!$B:$B,0))*12),INDEX(Inputs!$E:$E,MATCH("*Gross Potential Rent*",Inputs!$B:$B,0))/12*(1+INDEX(Inputs!$C:$C,MATCH("*Annual Revenue Growth Rate*",Inputs!$B:$B,0)))^(DO$5-1),0)</f>
        <v>0</v>
      </c>
      <c r="DP8" s="152">
        <f t="array" ref="DP8">IF(AND(DP$3&gt;=INDEX(Inputs!$C:$C,MATCH("*Revenue Start Month*",Inputs!$B:$B,0)),DP$3&lt;=INDEX(Inputs!$C:$C,MATCH("End Year",Inputs!$B:$B,0))*12),INDEX(Inputs!$E:$E,MATCH("*Gross Potential Rent*",Inputs!$B:$B,0))/12*(1+INDEX(Inputs!$C:$C,MATCH("*Annual Revenue Growth Rate*",Inputs!$B:$B,0)))^(DP$5-1),0)</f>
        <v>0</v>
      </c>
      <c r="DQ8" s="152">
        <f t="array" ref="DQ8">IF(AND(DQ$3&gt;=INDEX(Inputs!$C:$C,MATCH("*Revenue Start Month*",Inputs!$B:$B,0)),DQ$3&lt;=INDEX(Inputs!$C:$C,MATCH("End Year",Inputs!$B:$B,0))*12),INDEX(Inputs!$E:$E,MATCH("*Gross Potential Rent*",Inputs!$B:$B,0))/12*(1+INDEX(Inputs!$C:$C,MATCH("*Annual Revenue Growth Rate*",Inputs!$B:$B,0)))^(DQ$5-1),0)</f>
        <v>0</v>
      </c>
      <c r="DR8" s="152">
        <f t="array" ref="DR8">IF(AND(DR$3&gt;=INDEX(Inputs!$C:$C,MATCH("*Revenue Start Month*",Inputs!$B:$B,0)),DR$3&lt;=INDEX(Inputs!$C:$C,MATCH("End Year",Inputs!$B:$B,0))*12),INDEX(Inputs!$E:$E,MATCH("*Gross Potential Rent*",Inputs!$B:$B,0))/12*(1+INDEX(Inputs!$C:$C,MATCH("*Annual Revenue Growth Rate*",Inputs!$B:$B,0)))^(DR$5-1),0)</f>
        <v>0</v>
      </c>
      <c r="DS8" s="44">
        <f t="array" ref="DS8">IF(AND(DS$3&gt;=INDEX(Inputs!$C:$C,MATCH("*Revenue Start Month*",Inputs!$B:$B,0)),DS$3&lt;=INDEX(Inputs!$C:$C,MATCH("End Year",Inputs!$B:$B,0))*12),INDEX(Inputs!$E:$E,MATCH("*Gross Potential Rent*",Inputs!$B:$B,0))/12*(1+INDEX(Inputs!$C:$C,MATCH("*Annual Revenue Growth Rate*",Inputs!$B:$B,0)))^(DS$5-1),0)</f>
        <v>0</v>
      </c>
    </row>
    <row r="9" ht="15.0" customHeight="1">
      <c r="A9" s="44"/>
      <c r="B9" s="46" t="s">
        <v>316</v>
      </c>
      <c r="C9" s="153">
        <f t="array" ref="C9">IF(C$3&lt;=INDEX(Inputs!$C:$C,MATCH("End Year",Inputs!$B:$B,0))*12,-C8*INDEX(Inputs!$E:$E,MATCH("*Vacancy*",Inputs!$B:$B,0)),0)</f>
        <v>0</v>
      </c>
      <c r="D9" s="153">
        <f t="array" ref="D9">IF(D$3&lt;=INDEX(Inputs!$C:$C,MATCH("End Year",Inputs!$B:$B,0))*12,-D8*INDEX(Inputs!$E:$E,MATCH("*Vacancy*",Inputs!$B:$B,0)),0)</f>
        <v>0</v>
      </c>
      <c r="E9" s="153">
        <f t="array" ref="E9">IF(E$3&lt;=INDEX(Inputs!$C:$C,MATCH("End Year",Inputs!$B:$B,0))*12,-E8*INDEX(Inputs!$E:$E,MATCH("*Vacancy*",Inputs!$B:$B,0)),0)</f>
        <v>0</v>
      </c>
      <c r="F9" s="153">
        <f t="array" ref="F9">IF(F$3&lt;=INDEX(Inputs!$C:$C,MATCH("End Year",Inputs!$B:$B,0))*12,-F8*INDEX(Inputs!$E:$E,MATCH("*Vacancy*",Inputs!$B:$B,0)),0)</f>
        <v>0</v>
      </c>
      <c r="G9" s="153">
        <f t="array" ref="G9">IF(G$3&lt;=INDEX(Inputs!$C:$C,MATCH("End Year",Inputs!$B:$B,0))*12,-G8*INDEX(Inputs!$E:$E,MATCH("*Vacancy*",Inputs!$B:$B,0)),0)</f>
        <v>0</v>
      </c>
      <c r="H9" s="153">
        <f t="array" ref="H9">IF(H$3&lt;=INDEX(Inputs!$C:$C,MATCH("End Year",Inputs!$B:$B,0))*12,-H8*INDEX(Inputs!$E:$E,MATCH("*Vacancy*",Inputs!$B:$B,0)),0)</f>
        <v>0</v>
      </c>
      <c r="I9" s="153">
        <f t="array" ref="I9">IF(I$3&lt;=INDEX(Inputs!$C:$C,MATCH("End Year",Inputs!$B:$B,0))*12,-I8*INDEX(Inputs!$E:$E,MATCH("*Vacancy*",Inputs!$B:$B,0)),0)</f>
        <v>0</v>
      </c>
      <c r="J9" s="153">
        <f t="array" ref="J9">IF(J$3&lt;=INDEX(Inputs!$C:$C,MATCH("End Year",Inputs!$B:$B,0))*12,-J8*INDEX(Inputs!$E:$E,MATCH("*Vacancy*",Inputs!$B:$B,0)),0)</f>
        <v>0</v>
      </c>
      <c r="K9" s="153">
        <f t="array" ref="K9">IF(K$3&lt;=INDEX(Inputs!$C:$C,MATCH("End Year",Inputs!$B:$B,0))*12,-K8*INDEX(Inputs!$E:$E,MATCH("*Vacancy*",Inputs!$B:$B,0)),0)</f>
        <v>0</v>
      </c>
      <c r="L9" s="153">
        <f t="array" ref="L9">IF(L$3&lt;=INDEX(Inputs!$C:$C,MATCH("End Year",Inputs!$B:$B,0))*12,-L8*INDEX(Inputs!$E:$E,MATCH("*Vacancy*",Inputs!$B:$B,0)),0)</f>
        <v>0</v>
      </c>
      <c r="M9" s="153">
        <f t="array" ref="M9">IF(M$3&lt;=INDEX(Inputs!$C:$C,MATCH("End Year",Inputs!$B:$B,0))*12,-M8*INDEX(Inputs!$E:$E,MATCH("*Vacancy*",Inputs!$B:$B,0)),0)</f>
        <v>0</v>
      </c>
      <c r="N9" s="153">
        <f t="array" ref="N9">IF(N$3&lt;=INDEX(Inputs!$C:$C,MATCH("End Year",Inputs!$B:$B,0))*12,-N8*INDEX(Inputs!$E:$E,MATCH("*Vacancy*",Inputs!$B:$B,0)),0)</f>
        <v>0</v>
      </c>
      <c r="O9" s="153">
        <f t="array" ref="O9">IF(O$3&lt;=INDEX(Inputs!$C:$C,MATCH("End Year",Inputs!$B:$B,0))*12,-O8*INDEX(Inputs!$E:$E,MATCH("*Vacancy*",Inputs!$B:$B,0)),0)</f>
        <v>0</v>
      </c>
      <c r="P9" s="153">
        <f t="array" ref="P9">IF(P$3&lt;=INDEX(Inputs!$C:$C,MATCH("End Year",Inputs!$B:$B,0))*12,-P8*INDEX(Inputs!$E:$E,MATCH("*Vacancy*",Inputs!$B:$B,0)),0)</f>
        <v>0</v>
      </c>
      <c r="Q9" s="153">
        <f t="array" ref="Q9">IF(Q$3&lt;=INDEX(Inputs!$C:$C,MATCH("End Year",Inputs!$B:$B,0))*12,-Q8*INDEX(Inputs!$E:$E,MATCH("*Vacancy*",Inputs!$B:$B,0)),0)</f>
        <v>0</v>
      </c>
      <c r="R9" s="153">
        <f t="array" ref="R9">IF(R$3&lt;=INDEX(Inputs!$C:$C,MATCH("End Year",Inputs!$B:$B,0))*12,-R8*INDEX(Inputs!$E:$E,MATCH("*Vacancy*",Inputs!$B:$B,0)),0)</f>
        <v>0</v>
      </c>
      <c r="S9" s="153">
        <f t="array" ref="S9">IF(S$3&lt;=INDEX(Inputs!$C:$C,MATCH("End Year",Inputs!$B:$B,0))*12,-S8*INDEX(Inputs!$E:$E,MATCH("*Vacancy*",Inputs!$B:$B,0)),0)</f>
        <v>0</v>
      </c>
      <c r="T9" s="153">
        <f t="array" ref="T9">IF(T$3&lt;=INDEX(Inputs!$C:$C,MATCH("End Year",Inputs!$B:$B,0))*12,-T8*INDEX(Inputs!$E:$E,MATCH("*Vacancy*",Inputs!$B:$B,0)),0)</f>
        <v>0</v>
      </c>
      <c r="U9" s="153">
        <f t="array" ref="U9">IF(U$3&lt;=INDEX(Inputs!$C:$C,MATCH("End Year",Inputs!$B:$B,0))*12,-U8*INDEX(Inputs!$E:$E,MATCH("*Vacancy*",Inputs!$B:$B,0)),0)</f>
        <v>0</v>
      </c>
      <c r="V9" s="153">
        <f t="array" ref="V9">IF(V$3&lt;=INDEX(Inputs!$C:$C,MATCH("End Year",Inputs!$B:$B,0))*12,-V8*INDEX(Inputs!$E:$E,MATCH("*Vacancy*",Inputs!$B:$B,0)),0)</f>
        <v>0</v>
      </c>
      <c r="W9" s="153">
        <f t="array" ref="W9">IF(W$3&lt;=INDEX(Inputs!$C:$C,MATCH("End Year",Inputs!$B:$B,0))*12,-W8*INDEX(Inputs!$E:$E,MATCH("*Vacancy*",Inputs!$B:$B,0)),0)</f>
        <v>0</v>
      </c>
      <c r="X9" s="153">
        <f t="array" ref="X9">IF(X$3&lt;=INDEX(Inputs!$C:$C,MATCH("End Year",Inputs!$B:$B,0))*12,-X8*INDEX(Inputs!$E:$E,MATCH("*Vacancy*",Inputs!$B:$B,0)),0)</f>
        <v>0</v>
      </c>
      <c r="Y9" s="153">
        <f t="array" ref="Y9">IF(Y$3&lt;=INDEX(Inputs!$C:$C,MATCH("End Year",Inputs!$B:$B,0))*12,-Y8*INDEX(Inputs!$E:$E,MATCH("*Vacancy*",Inputs!$B:$B,0)),0)</f>
        <v>0</v>
      </c>
      <c r="Z9" s="153">
        <f t="array" ref="Z9">IF(Z$3&lt;=INDEX(Inputs!$C:$C,MATCH("End Year",Inputs!$B:$B,0))*12,-Z8*INDEX(Inputs!$E:$E,MATCH("*Vacancy*",Inputs!$B:$B,0)),0)</f>
        <v>0</v>
      </c>
      <c r="AA9" s="153">
        <f t="array" ref="AA9">IF(AA$3&lt;=INDEX(Inputs!$C:$C,MATCH("End Year",Inputs!$B:$B,0))*12,-AA8*INDEX(Inputs!$E:$E,MATCH("*Vacancy*",Inputs!$B:$B,0)),0)</f>
        <v>0</v>
      </c>
      <c r="AB9" s="153">
        <f t="array" ref="AB9">IF(AB$3&lt;=INDEX(Inputs!$C:$C,MATCH("End Year",Inputs!$B:$B,0))*12,-AB8*INDEX(Inputs!$E:$E,MATCH("*Vacancy*",Inputs!$B:$B,0)),0)</f>
        <v>0</v>
      </c>
      <c r="AC9" s="153">
        <f t="array" ref="AC9">IF(AC$3&lt;=INDEX(Inputs!$C:$C,MATCH("End Year",Inputs!$B:$B,0))*12,-AC8*INDEX(Inputs!$E:$E,MATCH("*Vacancy*",Inputs!$B:$B,0)),0)</f>
        <v>0</v>
      </c>
      <c r="AD9" s="153">
        <f t="array" ref="AD9">IF(AD$3&lt;=INDEX(Inputs!$C:$C,MATCH("End Year",Inputs!$B:$B,0))*12,-AD8*INDEX(Inputs!$E:$E,MATCH("*Vacancy*",Inputs!$B:$B,0)),0)</f>
        <v>0</v>
      </c>
      <c r="AE9" s="153">
        <f t="array" ref="AE9">IF(AE$3&lt;=INDEX(Inputs!$C:$C,MATCH("End Year",Inputs!$B:$B,0))*12,-AE8*INDEX(Inputs!$E:$E,MATCH("*Vacancy*",Inputs!$B:$B,0)),0)</f>
        <v>0</v>
      </c>
      <c r="AF9" s="153">
        <f t="array" ref="AF9">IF(AF$3&lt;=INDEX(Inputs!$C:$C,MATCH("End Year",Inputs!$B:$B,0))*12,-AF8*INDEX(Inputs!$E:$E,MATCH("*Vacancy*",Inputs!$B:$B,0)),0)</f>
        <v>0</v>
      </c>
      <c r="AG9" s="153">
        <f t="array" ref="AG9">IF(AG$3&lt;=INDEX(Inputs!$C:$C,MATCH("End Year",Inputs!$B:$B,0))*12,-AG8*INDEX(Inputs!$E:$E,MATCH("*Vacancy*",Inputs!$B:$B,0)),0)</f>
        <v>0</v>
      </c>
      <c r="AH9" s="153">
        <f t="array" ref="AH9">IF(AH$3&lt;=INDEX(Inputs!$C:$C,MATCH("End Year",Inputs!$B:$B,0))*12,-AH8*INDEX(Inputs!$E:$E,MATCH("*Vacancy*",Inputs!$B:$B,0)),0)</f>
        <v>0</v>
      </c>
      <c r="AI9" s="153">
        <f t="array" ref="AI9">IF(AI$3&lt;=INDEX(Inputs!$C:$C,MATCH("End Year",Inputs!$B:$B,0))*12,-AI8*INDEX(Inputs!$E:$E,MATCH("*Vacancy*",Inputs!$B:$B,0)),0)</f>
        <v>0</v>
      </c>
      <c r="AJ9" s="153">
        <f t="array" ref="AJ9">IF(AJ$3&lt;=INDEX(Inputs!$C:$C,MATCH("End Year",Inputs!$B:$B,0))*12,-AJ8*INDEX(Inputs!$E:$E,MATCH("*Vacancy*",Inputs!$B:$B,0)),0)</f>
        <v>0</v>
      </c>
      <c r="AK9" s="153">
        <f t="array" ref="AK9">IF(AK$3&lt;=INDEX(Inputs!$C:$C,MATCH("End Year",Inputs!$B:$B,0))*12,-AK8*INDEX(Inputs!$E:$E,MATCH("*Vacancy*",Inputs!$B:$B,0)),0)</f>
        <v>0</v>
      </c>
      <c r="AL9" s="153">
        <f t="array" ref="AL9">IF(AL$3&lt;=INDEX(Inputs!$C:$C,MATCH("End Year",Inputs!$B:$B,0))*12,-AL8*INDEX(Inputs!$E:$E,MATCH("*Vacancy*",Inputs!$B:$B,0)),0)</f>
        <v>0</v>
      </c>
      <c r="AM9" s="153">
        <f t="array" ref="AM9">IF(AM$3&lt;=INDEX(Inputs!$C:$C,MATCH("End Year",Inputs!$B:$B,0))*12,-AM8*INDEX(Inputs!$E:$E,MATCH("*Vacancy*",Inputs!$B:$B,0)),0)</f>
        <v>0</v>
      </c>
      <c r="AN9" s="153">
        <f t="array" ref="AN9">IF(AN$3&lt;=INDEX(Inputs!$C:$C,MATCH("End Year",Inputs!$B:$B,0))*12,-AN8*INDEX(Inputs!$E:$E,MATCH("*Vacancy*",Inputs!$B:$B,0)),0)</f>
        <v>0</v>
      </c>
      <c r="AO9" s="153">
        <f t="array" ref="AO9">IF(AO$3&lt;=INDEX(Inputs!$C:$C,MATCH("End Year",Inputs!$B:$B,0))*12,-AO8*INDEX(Inputs!$E:$E,MATCH("*Vacancy*",Inputs!$B:$B,0)),0)</f>
        <v>0</v>
      </c>
      <c r="AP9" s="153">
        <f t="array" ref="AP9">IF(AP$3&lt;=INDEX(Inputs!$C:$C,MATCH("End Year",Inputs!$B:$B,0))*12,-AP8*INDEX(Inputs!$E:$E,MATCH("*Vacancy*",Inputs!$B:$B,0)),0)</f>
        <v>0</v>
      </c>
      <c r="AQ9" s="153">
        <f t="array" ref="AQ9">IF(AQ$3&lt;=INDEX(Inputs!$C:$C,MATCH("End Year",Inputs!$B:$B,0))*12,-AQ8*INDEX(Inputs!$E:$E,MATCH("*Vacancy*",Inputs!$B:$B,0)),0)</f>
        <v>0</v>
      </c>
      <c r="AR9" s="153">
        <f t="array" ref="AR9">IF(AR$3&lt;=INDEX(Inputs!$C:$C,MATCH("End Year",Inputs!$B:$B,0))*12,-AR8*INDEX(Inputs!$E:$E,MATCH("*Vacancy*",Inputs!$B:$B,0)),0)</f>
        <v>0</v>
      </c>
      <c r="AS9" s="153">
        <f t="array" ref="AS9">IF(AS$3&lt;=INDEX(Inputs!$C:$C,MATCH("End Year",Inputs!$B:$B,0))*12,-AS8*INDEX(Inputs!$E:$E,MATCH("*Vacancy*",Inputs!$B:$B,0)),0)</f>
        <v>0</v>
      </c>
      <c r="AT9" s="153">
        <f t="array" ref="AT9">IF(AT$3&lt;=INDEX(Inputs!$C:$C,MATCH("End Year",Inputs!$B:$B,0))*12,-AT8*INDEX(Inputs!$E:$E,MATCH("*Vacancy*",Inputs!$B:$B,0)),0)</f>
        <v>0</v>
      </c>
      <c r="AU9" s="153">
        <f t="array" ref="AU9">IF(AU$3&lt;=INDEX(Inputs!$C:$C,MATCH("End Year",Inputs!$B:$B,0))*12,-AU8*INDEX(Inputs!$E:$E,MATCH("*Vacancy*",Inputs!$B:$B,0)),0)</f>
        <v>0</v>
      </c>
      <c r="AV9" s="153">
        <f t="array" ref="AV9">IF(AV$3&lt;=INDEX(Inputs!$C:$C,MATCH("End Year",Inputs!$B:$B,0))*12,-AV8*INDEX(Inputs!$E:$E,MATCH("*Vacancy*",Inputs!$B:$B,0)),0)</f>
        <v>0</v>
      </c>
      <c r="AW9" s="153">
        <f t="array" ref="AW9">IF(AW$3&lt;=INDEX(Inputs!$C:$C,MATCH("End Year",Inputs!$B:$B,0))*12,-AW8*INDEX(Inputs!$E:$E,MATCH("*Vacancy*",Inputs!$B:$B,0)),0)</f>
        <v>0</v>
      </c>
      <c r="AX9" s="153">
        <f t="array" ref="AX9">IF(AX$3&lt;=INDEX(Inputs!$C:$C,MATCH("End Year",Inputs!$B:$B,0))*12,-AX8*INDEX(Inputs!$E:$E,MATCH("*Vacancy*",Inputs!$B:$B,0)),0)</f>
        <v>0</v>
      </c>
      <c r="AY9" s="153">
        <f t="array" ref="AY9">IF(AY$3&lt;=INDEX(Inputs!$C:$C,MATCH("End Year",Inputs!$B:$B,0))*12,-AY8*INDEX(Inputs!$E:$E,MATCH("*Vacancy*",Inputs!$B:$B,0)),0)</f>
        <v>0</v>
      </c>
      <c r="AZ9" s="153">
        <f t="array" ref="AZ9">IF(AZ$3&lt;=INDEX(Inputs!$C:$C,MATCH("End Year",Inputs!$B:$B,0))*12,-AZ8*INDEX(Inputs!$E:$E,MATCH("*Vacancy*",Inputs!$B:$B,0)),0)</f>
        <v>0</v>
      </c>
      <c r="BA9" s="153">
        <f t="array" ref="BA9">IF(BA$3&lt;=INDEX(Inputs!$C:$C,MATCH("End Year",Inputs!$B:$B,0))*12,-BA8*INDEX(Inputs!$E:$E,MATCH("*Vacancy*",Inputs!$B:$B,0)),0)</f>
        <v>0</v>
      </c>
      <c r="BB9" s="153">
        <f t="array" ref="BB9">IF(BB$3&lt;=INDEX(Inputs!$C:$C,MATCH("End Year",Inputs!$B:$B,0))*12,-BB8*INDEX(Inputs!$E:$E,MATCH("*Vacancy*",Inputs!$B:$B,0)),0)</f>
        <v>0</v>
      </c>
      <c r="BC9" s="153">
        <f t="array" ref="BC9">IF(BC$3&lt;=INDEX(Inputs!$C:$C,MATCH("End Year",Inputs!$B:$B,0))*12,-BC8*INDEX(Inputs!$E:$E,MATCH("*Vacancy*",Inputs!$B:$B,0)),0)</f>
        <v>0</v>
      </c>
      <c r="BD9" s="153">
        <f t="array" ref="BD9">IF(BD$3&lt;=INDEX(Inputs!$C:$C,MATCH("End Year",Inputs!$B:$B,0))*12,-BD8*INDEX(Inputs!$E:$E,MATCH("*Vacancy*",Inputs!$B:$B,0)),0)</f>
        <v>0</v>
      </c>
      <c r="BE9" s="153">
        <f t="array" ref="BE9">IF(BE$3&lt;=INDEX(Inputs!$C:$C,MATCH("End Year",Inputs!$B:$B,0))*12,-BE8*INDEX(Inputs!$E:$E,MATCH("*Vacancy*",Inputs!$B:$B,0)),0)</f>
        <v>0</v>
      </c>
      <c r="BF9" s="153">
        <f t="array" ref="BF9">IF(BF$3&lt;=INDEX(Inputs!$C:$C,MATCH("End Year",Inputs!$B:$B,0))*12,-BF8*INDEX(Inputs!$E:$E,MATCH("*Vacancy*",Inputs!$B:$B,0)),0)</f>
        <v>0</v>
      </c>
      <c r="BG9" s="153">
        <f t="array" ref="BG9">IF(BG$3&lt;=INDEX(Inputs!$C:$C,MATCH("End Year",Inputs!$B:$B,0))*12,-BG8*INDEX(Inputs!$E:$E,MATCH("*Vacancy*",Inputs!$B:$B,0)),0)</f>
        <v>0</v>
      </c>
      <c r="BH9" s="153">
        <f t="array" ref="BH9">IF(BH$3&lt;=INDEX(Inputs!$C:$C,MATCH("End Year",Inputs!$B:$B,0))*12,-BH8*INDEX(Inputs!$E:$E,MATCH("*Vacancy*",Inputs!$B:$B,0)),0)</f>
        <v>0</v>
      </c>
      <c r="BI9" s="153">
        <f t="array" ref="BI9">IF(BI$3&lt;=INDEX(Inputs!$C:$C,MATCH("End Year",Inputs!$B:$B,0))*12,-BI8*INDEX(Inputs!$E:$E,MATCH("*Vacancy*",Inputs!$B:$B,0)),0)</f>
        <v>0</v>
      </c>
      <c r="BJ9" s="153">
        <f t="array" ref="BJ9">IF(BJ$3&lt;=INDEX(Inputs!$C:$C,MATCH("End Year",Inputs!$B:$B,0))*12,-BJ8*INDEX(Inputs!$E:$E,MATCH("*Vacancy*",Inputs!$B:$B,0)),0)</f>
        <v>0</v>
      </c>
      <c r="BK9" s="153">
        <f t="array" ref="BK9">IF(BK$3&lt;=INDEX(Inputs!$C:$C,MATCH("End Year",Inputs!$B:$B,0))*12,-BK8*INDEX(Inputs!$E:$E,MATCH("*Vacancy*",Inputs!$B:$B,0)),0)</f>
        <v>0</v>
      </c>
      <c r="BL9" s="153">
        <f t="array" ref="BL9">IF(BL$3&lt;=INDEX(Inputs!$C:$C,MATCH("End Year",Inputs!$B:$B,0))*12,-BL8*INDEX(Inputs!$E:$E,MATCH("*Vacancy*",Inputs!$B:$B,0)),0)</f>
        <v>0</v>
      </c>
      <c r="BM9" s="153">
        <f t="array" ref="BM9">IF(BM$3&lt;=INDEX(Inputs!$C:$C,MATCH("End Year",Inputs!$B:$B,0))*12,-BM8*INDEX(Inputs!$E:$E,MATCH("*Vacancy*",Inputs!$B:$B,0)),0)</f>
        <v>0</v>
      </c>
      <c r="BN9" s="153">
        <f t="array" ref="BN9">IF(BN$3&lt;=INDEX(Inputs!$C:$C,MATCH("End Year",Inputs!$B:$B,0))*12,-BN8*INDEX(Inputs!$E:$E,MATCH("*Vacancy*",Inputs!$B:$B,0)),0)</f>
        <v>0</v>
      </c>
      <c r="BO9" s="153">
        <f t="array" ref="BO9">IF(BO$3&lt;=INDEX(Inputs!$C:$C,MATCH("End Year",Inputs!$B:$B,0))*12,-BO8*INDEX(Inputs!$E:$E,MATCH("*Vacancy*",Inputs!$B:$B,0)),0)</f>
        <v>0</v>
      </c>
      <c r="BP9" s="153">
        <f t="array" ref="BP9">IF(BP$3&lt;=INDEX(Inputs!$C:$C,MATCH("End Year",Inputs!$B:$B,0))*12,-BP8*INDEX(Inputs!$E:$E,MATCH("*Vacancy*",Inputs!$B:$B,0)),0)</f>
        <v>0</v>
      </c>
      <c r="BQ9" s="153">
        <f t="array" ref="BQ9">IF(BQ$3&lt;=INDEX(Inputs!$C:$C,MATCH("End Year",Inputs!$B:$B,0))*12,-BQ8*INDEX(Inputs!$E:$E,MATCH("*Vacancy*",Inputs!$B:$B,0)),0)</f>
        <v>0</v>
      </c>
      <c r="BR9" s="153">
        <f t="array" ref="BR9">IF(BR$3&lt;=INDEX(Inputs!$C:$C,MATCH("End Year",Inputs!$B:$B,0))*12,-BR8*INDEX(Inputs!$E:$E,MATCH("*Vacancy*",Inputs!$B:$B,0)),0)</f>
        <v>0</v>
      </c>
      <c r="BS9" s="153">
        <f t="array" ref="BS9">IF(BS$3&lt;=INDEX(Inputs!$C:$C,MATCH("End Year",Inputs!$B:$B,0))*12,-BS8*INDEX(Inputs!$E:$E,MATCH("*Vacancy*",Inputs!$B:$B,0)),0)</f>
        <v>0</v>
      </c>
      <c r="BT9" s="153">
        <f t="array" ref="BT9">IF(BT$3&lt;=INDEX(Inputs!$C:$C,MATCH("End Year",Inputs!$B:$B,0))*12,-BT8*INDEX(Inputs!$E:$E,MATCH("*Vacancy*",Inputs!$B:$B,0)),0)</f>
        <v>0</v>
      </c>
      <c r="BU9" s="153">
        <f t="array" ref="BU9">IF(BU$3&lt;=INDEX(Inputs!$C:$C,MATCH("End Year",Inputs!$B:$B,0))*12,-BU8*INDEX(Inputs!$E:$E,MATCH("*Vacancy*",Inputs!$B:$B,0)),0)</f>
        <v>0</v>
      </c>
      <c r="BV9" s="153">
        <f t="array" ref="BV9">IF(BV$3&lt;=INDEX(Inputs!$C:$C,MATCH("End Year",Inputs!$B:$B,0))*12,-BV8*INDEX(Inputs!$E:$E,MATCH("*Vacancy*",Inputs!$B:$B,0)),0)</f>
        <v>0</v>
      </c>
      <c r="BW9" s="153">
        <f t="array" ref="BW9">IF(BW$3&lt;=INDEX(Inputs!$C:$C,MATCH("End Year",Inputs!$B:$B,0))*12,-BW8*INDEX(Inputs!$E:$E,MATCH("*Vacancy*",Inputs!$B:$B,0)),0)</f>
        <v>0</v>
      </c>
      <c r="BX9" s="153">
        <f t="array" ref="BX9">IF(BX$3&lt;=INDEX(Inputs!$C:$C,MATCH("End Year",Inputs!$B:$B,0))*12,-BX8*INDEX(Inputs!$E:$E,MATCH("*Vacancy*",Inputs!$B:$B,0)),0)</f>
        <v>0</v>
      </c>
      <c r="BY9" s="153">
        <f t="array" ref="BY9">IF(BY$3&lt;=INDEX(Inputs!$C:$C,MATCH("End Year",Inputs!$B:$B,0))*12,-BY8*INDEX(Inputs!$E:$E,MATCH("*Vacancy*",Inputs!$B:$B,0)),0)</f>
        <v>0</v>
      </c>
      <c r="BZ9" s="153">
        <f t="array" ref="BZ9">IF(BZ$3&lt;=INDEX(Inputs!$C:$C,MATCH("End Year",Inputs!$B:$B,0))*12,-BZ8*INDEX(Inputs!$E:$E,MATCH("*Vacancy*",Inputs!$B:$B,0)),0)</f>
        <v>0</v>
      </c>
      <c r="CA9" s="153">
        <f t="array" ref="CA9">IF(CA$3&lt;=INDEX(Inputs!$C:$C,MATCH("End Year",Inputs!$B:$B,0))*12,-CA8*INDEX(Inputs!$E:$E,MATCH("*Vacancy*",Inputs!$B:$B,0)),0)</f>
        <v>0</v>
      </c>
      <c r="CB9" s="153">
        <f t="array" ref="CB9">IF(CB$3&lt;=INDEX(Inputs!$C:$C,MATCH("End Year",Inputs!$B:$B,0))*12,-CB8*INDEX(Inputs!$E:$E,MATCH("*Vacancy*",Inputs!$B:$B,0)),0)</f>
        <v>0</v>
      </c>
      <c r="CC9" s="153">
        <f t="array" ref="CC9">IF(CC$3&lt;=INDEX(Inputs!$C:$C,MATCH("End Year",Inputs!$B:$B,0))*12,-CC8*INDEX(Inputs!$E:$E,MATCH("*Vacancy*",Inputs!$B:$B,0)),0)</f>
        <v>0</v>
      </c>
      <c r="CD9" s="153">
        <f t="array" ref="CD9">IF(CD$3&lt;=INDEX(Inputs!$C:$C,MATCH("End Year",Inputs!$B:$B,0))*12,-CD8*INDEX(Inputs!$E:$E,MATCH("*Vacancy*",Inputs!$B:$B,0)),0)</f>
        <v>0</v>
      </c>
      <c r="CE9" s="153">
        <f t="array" ref="CE9">IF(CE$3&lt;=INDEX(Inputs!$C:$C,MATCH("End Year",Inputs!$B:$B,0))*12,-CE8*INDEX(Inputs!$E:$E,MATCH("*Vacancy*",Inputs!$B:$B,0)),0)</f>
        <v>0</v>
      </c>
      <c r="CF9" s="153">
        <f t="array" ref="CF9">IF(CF$3&lt;=INDEX(Inputs!$C:$C,MATCH("End Year",Inputs!$B:$B,0))*12,-CF8*INDEX(Inputs!$E:$E,MATCH("*Vacancy*",Inputs!$B:$B,0)),0)</f>
        <v>0</v>
      </c>
      <c r="CG9" s="153">
        <f t="array" ref="CG9">IF(CG$3&lt;=INDEX(Inputs!$C:$C,MATCH("End Year",Inputs!$B:$B,0))*12,-CG8*INDEX(Inputs!$E:$E,MATCH("*Vacancy*",Inputs!$B:$B,0)),0)</f>
        <v>0</v>
      </c>
      <c r="CH9" s="153">
        <f t="array" ref="CH9">IF(CH$3&lt;=INDEX(Inputs!$C:$C,MATCH("End Year",Inputs!$B:$B,0))*12,-CH8*INDEX(Inputs!$E:$E,MATCH("*Vacancy*",Inputs!$B:$B,0)),0)</f>
        <v>0</v>
      </c>
      <c r="CI9" s="153">
        <f t="array" ref="CI9">IF(CI$3&lt;=INDEX(Inputs!$C:$C,MATCH("End Year",Inputs!$B:$B,0))*12,-CI8*INDEX(Inputs!$E:$E,MATCH("*Vacancy*",Inputs!$B:$B,0)),0)</f>
        <v>0</v>
      </c>
      <c r="CJ9" s="153">
        <f t="array" ref="CJ9">IF(CJ$3&lt;=INDEX(Inputs!$C:$C,MATCH("End Year",Inputs!$B:$B,0))*12,-CJ8*INDEX(Inputs!$E:$E,MATCH("*Vacancy*",Inputs!$B:$B,0)),0)</f>
        <v>0</v>
      </c>
      <c r="CK9" s="153">
        <f t="array" ref="CK9">IF(CK$3&lt;=INDEX(Inputs!$C:$C,MATCH("End Year",Inputs!$B:$B,0))*12,-CK8*INDEX(Inputs!$E:$E,MATCH("*Vacancy*",Inputs!$B:$B,0)),0)</f>
        <v>0</v>
      </c>
      <c r="CL9" s="153">
        <f t="array" ref="CL9">IF(CL$3&lt;=INDEX(Inputs!$C:$C,MATCH("End Year",Inputs!$B:$B,0))*12,-CL8*INDEX(Inputs!$E:$E,MATCH("*Vacancy*",Inputs!$B:$B,0)),0)</f>
        <v>0</v>
      </c>
      <c r="CM9" s="153">
        <f t="array" ref="CM9">IF(CM$3&lt;=INDEX(Inputs!$C:$C,MATCH("End Year",Inputs!$B:$B,0))*12,-CM8*INDEX(Inputs!$E:$E,MATCH("*Vacancy*",Inputs!$B:$B,0)),0)</f>
        <v>0</v>
      </c>
      <c r="CN9" s="153">
        <f t="array" ref="CN9">IF(CN$3&lt;=INDEX(Inputs!$C:$C,MATCH("End Year",Inputs!$B:$B,0))*12,-CN8*INDEX(Inputs!$E:$E,MATCH("*Vacancy*",Inputs!$B:$B,0)),0)</f>
        <v>0</v>
      </c>
      <c r="CO9" s="153">
        <f t="array" ref="CO9">IF(CO$3&lt;=INDEX(Inputs!$C:$C,MATCH("End Year",Inputs!$B:$B,0))*12,-CO8*INDEX(Inputs!$E:$E,MATCH("*Vacancy*",Inputs!$B:$B,0)),0)</f>
        <v>0</v>
      </c>
      <c r="CP9" s="153">
        <f t="array" ref="CP9">IF(CP$3&lt;=INDEX(Inputs!$C:$C,MATCH("End Year",Inputs!$B:$B,0))*12,-CP8*INDEX(Inputs!$E:$E,MATCH("*Vacancy*",Inputs!$B:$B,0)),0)</f>
        <v>0</v>
      </c>
      <c r="CQ9" s="153">
        <f t="array" ref="CQ9">IF(CQ$3&lt;=INDEX(Inputs!$C:$C,MATCH("End Year",Inputs!$B:$B,0))*12,-CQ8*INDEX(Inputs!$E:$E,MATCH("*Vacancy*",Inputs!$B:$B,0)),0)</f>
        <v>0</v>
      </c>
      <c r="CR9" s="153">
        <f t="array" ref="CR9">IF(CR$3&lt;=INDEX(Inputs!$C:$C,MATCH("End Year",Inputs!$B:$B,0))*12,-CR8*INDEX(Inputs!$E:$E,MATCH("*Vacancy*",Inputs!$B:$B,0)),0)</f>
        <v>0</v>
      </c>
      <c r="CS9" s="153">
        <f t="array" ref="CS9">IF(CS$3&lt;=INDEX(Inputs!$C:$C,MATCH("End Year",Inputs!$B:$B,0))*12,-CS8*INDEX(Inputs!$E:$E,MATCH("*Vacancy*",Inputs!$B:$B,0)),0)</f>
        <v>0</v>
      </c>
      <c r="CT9" s="153">
        <f t="array" ref="CT9">IF(CT$3&lt;=INDEX(Inputs!$C:$C,MATCH("End Year",Inputs!$B:$B,0))*12,-CT8*INDEX(Inputs!$E:$E,MATCH("*Vacancy*",Inputs!$B:$B,0)),0)</f>
        <v>0</v>
      </c>
      <c r="CU9" s="153">
        <f t="array" ref="CU9">IF(CU$3&lt;=INDEX(Inputs!$C:$C,MATCH("End Year",Inputs!$B:$B,0))*12,-CU8*INDEX(Inputs!$E:$E,MATCH("*Vacancy*",Inputs!$B:$B,0)),0)</f>
        <v>0</v>
      </c>
      <c r="CV9" s="153">
        <f t="array" ref="CV9">IF(CV$3&lt;=INDEX(Inputs!$C:$C,MATCH("End Year",Inputs!$B:$B,0))*12,-CV8*INDEX(Inputs!$E:$E,MATCH("*Vacancy*",Inputs!$B:$B,0)),0)</f>
        <v>0</v>
      </c>
      <c r="CW9" s="153">
        <f t="array" ref="CW9">IF(CW$3&lt;=INDEX(Inputs!$C:$C,MATCH("End Year",Inputs!$B:$B,0))*12,-CW8*INDEX(Inputs!$E:$E,MATCH("*Vacancy*",Inputs!$B:$B,0)),0)</f>
        <v>0</v>
      </c>
      <c r="CX9" s="153">
        <f t="array" ref="CX9">IF(CX$3&lt;=INDEX(Inputs!$C:$C,MATCH("End Year",Inputs!$B:$B,0))*12,-CX8*INDEX(Inputs!$E:$E,MATCH("*Vacancy*",Inputs!$B:$B,0)),0)</f>
        <v>0</v>
      </c>
      <c r="CY9" s="153">
        <f t="array" ref="CY9">IF(CY$3&lt;=INDEX(Inputs!$C:$C,MATCH("End Year",Inputs!$B:$B,0))*12,-CY8*INDEX(Inputs!$E:$E,MATCH("*Vacancy*",Inputs!$B:$B,0)),0)</f>
        <v>0</v>
      </c>
      <c r="CZ9" s="153">
        <f t="array" ref="CZ9">IF(CZ$3&lt;=INDEX(Inputs!$C:$C,MATCH("End Year",Inputs!$B:$B,0))*12,-CZ8*INDEX(Inputs!$E:$E,MATCH("*Vacancy*",Inputs!$B:$B,0)),0)</f>
        <v>0</v>
      </c>
      <c r="DA9" s="153">
        <f t="array" ref="DA9">IF(DA$3&lt;=INDEX(Inputs!$C:$C,MATCH("End Year",Inputs!$B:$B,0))*12,-DA8*INDEX(Inputs!$E:$E,MATCH("*Vacancy*",Inputs!$B:$B,0)),0)</f>
        <v>0</v>
      </c>
      <c r="DB9" s="153">
        <f t="array" ref="DB9">IF(DB$3&lt;=INDEX(Inputs!$C:$C,MATCH("End Year",Inputs!$B:$B,0))*12,-DB8*INDEX(Inputs!$E:$E,MATCH("*Vacancy*",Inputs!$B:$B,0)),0)</f>
        <v>0</v>
      </c>
      <c r="DC9" s="153">
        <f t="array" ref="DC9">IF(DC$3&lt;=INDEX(Inputs!$C:$C,MATCH("End Year",Inputs!$B:$B,0))*12,-DC8*INDEX(Inputs!$E:$E,MATCH("*Vacancy*",Inputs!$B:$B,0)),0)</f>
        <v>0</v>
      </c>
      <c r="DD9" s="153">
        <f t="array" ref="DD9">IF(DD$3&lt;=INDEX(Inputs!$C:$C,MATCH("End Year",Inputs!$B:$B,0))*12,-DD8*INDEX(Inputs!$E:$E,MATCH("*Vacancy*",Inputs!$B:$B,0)),0)</f>
        <v>0</v>
      </c>
      <c r="DE9" s="153">
        <f t="array" ref="DE9">IF(DE$3&lt;=INDEX(Inputs!$C:$C,MATCH("End Year",Inputs!$B:$B,0))*12,-DE8*INDEX(Inputs!$E:$E,MATCH("*Vacancy*",Inputs!$B:$B,0)),0)</f>
        <v>0</v>
      </c>
      <c r="DF9" s="153">
        <f t="array" ref="DF9">IF(DF$3&lt;=INDEX(Inputs!$C:$C,MATCH("End Year",Inputs!$B:$B,0))*12,-DF8*INDEX(Inputs!$E:$E,MATCH("*Vacancy*",Inputs!$B:$B,0)),0)</f>
        <v>0</v>
      </c>
      <c r="DG9" s="153">
        <f t="array" ref="DG9">IF(DG$3&lt;=INDEX(Inputs!$C:$C,MATCH("End Year",Inputs!$B:$B,0))*12,-DG8*INDEX(Inputs!$E:$E,MATCH("*Vacancy*",Inputs!$B:$B,0)),0)</f>
        <v>0</v>
      </c>
      <c r="DH9" s="153">
        <f t="array" ref="DH9">IF(DH$3&lt;=INDEX(Inputs!$C:$C,MATCH("End Year",Inputs!$B:$B,0))*12,-DH8*INDEX(Inputs!$E:$E,MATCH("*Vacancy*",Inputs!$B:$B,0)),0)</f>
        <v>0</v>
      </c>
      <c r="DI9" s="153">
        <f t="array" ref="DI9">IF(DI$3&lt;=INDEX(Inputs!$C:$C,MATCH("End Year",Inputs!$B:$B,0))*12,-DI8*INDEX(Inputs!$E:$E,MATCH("*Vacancy*",Inputs!$B:$B,0)),0)</f>
        <v>0</v>
      </c>
      <c r="DJ9" s="153">
        <f t="array" ref="DJ9">IF(DJ$3&lt;=INDEX(Inputs!$C:$C,MATCH("End Year",Inputs!$B:$B,0))*12,-DJ8*INDEX(Inputs!$E:$E,MATCH("*Vacancy*",Inputs!$B:$B,0)),0)</f>
        <v>0</v>
      </c>
      <c r="DK9" s="153">
        <f t="array" ref="DK9">IF(DK$3&lt;=INDEX(Inputs!$C:$C,MATCH("End Year",Inputs!$B:$B,0))*12,-DK8*INDEX(Inputs!$E:$E,MATCH("*Vacancy*",Inputs!$B:$B,0)),0)</f>
        <v>0</v>
      </c>
      <c r="DL9" s="153">
        <f t="array" ref="DL9">IF(DL$3&lt;=INDEX(Inputs!$C:$C,MATCH("End Year",Inputs!$B:$B,0))*12,-DL8*INDEX(Inputs!$E:$E,MATCH("*Vacancy*",Inputs!$B:$B,0)),0)</f>
        <v>0</v>
      </c>
      <c r="DM9" s="153">
        <f t="array" ref="DM9">IF(DM$3&lt;=INDEX(Inputs!$C:$C,MATCH("End Year",Inputs!$B:$B,0))*12,-DM8*INDEX(Inputs!$E:$E,MATCH("*Vacancy*",Inputs!$B:$B,0)),0)</f>
        <v>0</v>
      </c>
      <c r="DN9" s="153">
        <f t="array" ref="DN9">IF(DN$3&lt;=INDEX(Inputs!$C:$C,MATCH("End Year",Inputs!$B:$B,0))*12,-DN8*INDEX(Inputs!$E:$E,MATCH("*Vacancy*",Inputs!$B:$B,0)),0)</f>
        <v>0</v>
      </c>
      <c r="DO9" s="153">
        <f t="array" ref="DO9">IF(DO$3&lt;=INDEX(Inputs!$C:$C,MATCH("End Year",Inputs!$B:$B,0))*12,-DO8*INDEX(Inputs!$E:$E,MATCH("*Vacancy*",Inputs!$B:$B,0)),0)</f>
        <v>0</v>
      </c>
      <c r="DP9" s="153">
        <f t="array" ref="DP9">IF(DP$3&lt;=INDEX(Inputs!$C:$C,MATCH("End Year",Inputs!$B:$B,0))*12,-DP8*INDEX(Inputs!$E:$E,MATCH("*Vacancy*",Inputs!$B:$B,0)),0)</f>
        <v>0</v>
      </c>
      <c r="DQ9" s="153">
        <f t="array" ref="DQ9">IF(DQ$3&lt;=INDEX(Inputs!$C:$C,MATCH("End Year",Inputs!$B:$B,0))*12,-DQ8*INDEX(Inputs!$E:$E,MATCH("*Vacancy*",Inputs!$B:$B,0)),0)</f>
        <v>0</v>
      </c>
      <c r="DR9" s="153">
        <f t="array" ref="DR9">IF(DR$3&lt;=INDEX(Inputs!$C:$C,MATCH("End Year",Inputs!$B:$B,0))*12,-DR8*INDEX(Inputs!$E:$E,MATCH("*Vacancy*",Inputs!$B:$B,0)),0)</f>
        <v>0</v>
      </c>
      <c r="DS9" s="44">
        <f t="array" ref="DS9">IF(DS$3&lt;=INDEX(Inputs!$C:$C,MATCH("End Year",Inputs!$B:$B,0))*12,-DS8*INDEX(Inputs!$E:$E,MATCH("*Vacancy*",Inputs!$B:$B,0)),0)</f>
        <v>0</v>
      </c>
    </row>
    <row r="10" ht="15.0" customHeight="1">
      <c r="A10" s="44"/>
      <c r="B10" s="154" t="s">
        <v>317</v>
      </c>
      <c r="C10" s="155">
        <f t="array" ref="C10">IF(C$3&lt;=INDEX(Inputs!$C:$C,MATCH("End Year",Inputs!$B:$B,0))*12,-C8*INDEX(Inputs!$E:$E,MATCH("*Credit Loss*",Inputs!$B:$B,0)),0)</f>
        <v>0</v>
      </c>
      <c r="D10" s="156">
        <f t="array" ref="D10">IF(D$3&lt;=INDEX(Inputs!$C:$C,MATCH("End Year",Inputs!$B:$B,0))*12,-D8*INDEX(Inputs!$E:$E,MATCH("*Credit Loss*",Inputs!$B:$B,0)),0)</f>
        <v>0</v>
      </c>
      <c r="E10" s="156">
        <f t="array" ref="E10">IF(E$3&lt;=INDEX(Inputs!$C:$C,MATCH("End Year",Inputs!$B:$B,0))*12,-E8*INDEX(Inputs!$E:$E,MATCH("*Credit Loss*",Inputs!$B:$B,0)),0)</f>
        <v>0</v>
      </c>
      <c r="F10" s="156">
        <f t="array" ref="F10">IF(F$3&lt;=INDEX(Inputs!$C:$C,MATCH("End Year",Inputs!$B:$B,0))*12,-F8*INDEX(Inputs!$E:$E,MATCH("*Credit Loss*",Inputs!$B:$B,0)),0)</f>
        <v>0</v>
      </c>
      <c r="G10" s="156">
        <f t="array" ref="G10">IF(G$3&lt;=INDEX(Inputs!$C:$C,MATCH("End Year",Inputs!$B:$B,0))*12,-G8*INDEX(Inputs!$E:$E,MATCH("*Credit Loss*",Inputs!$B:$B,0)),0)</f>
        <v>0</v>
      </c>
      <c r="H10" s="156">
        <f t="array" ref="H10">IF(H$3&lt;=INDEX(Inputs!$C:$C,MATCH("End Year",Inputs!$B:$B,0))*12,-H8*INDEX(Inputs!$E:$E,MATCH("*Credit Loss*",Inputs!$B:$B,0)),0)</f>
        <v>0</v>
      </c>
      <c r="I10" s="156">
        <f t="array" ref="I10">IF(I$3&lt;=INDEX(Inputs!$C:$C,MATCH("End Year",Inputs!$B:$B,0))*12,-I8*INDEX(Inputs!$E:$E,MATCH("*Credit Loss*",Inputs!$B:$B,0)),0)</f>
        <v>0</v>
      </c>
      <c r="J10" s="156">
        <f t="array" ref="J10">IF(J$3&lt;=INDEX(Inputs!$C:$C,MATCH("End Year",Inputs!$B:$B,0))*12,-J8*INDEX(Inputs!$E:$E,MATCH("*Credit Loss*",Inputs!$B:$B,0)),0)</f>
        <v>0</v>
      </c>
      <c r="K10" s="156">
        <f t="array" ref="K10">IF(K$3&lt;=INDEX(Inputs!$C:$C,MATCH("End Year",Inputs!$B:$B,0))*12,-K8*INDEX(Inputs!$E:$E,MATCH("*Credit Loss*",Inputs!$B:$B,0)),0)</f>
        <v>0</v>
      </c>
      <c r="L10" s="156">
        <f t="array" ref="L10">IF(L$3&lt;=INDEX(Inputs!$C:$C,MATCH("End Year",Inputs!$B:$B,0))*12,-L8*INDEX(Inputs!$E:$E,MATCH("*Credit Loss*",Inputs!$B:$B,0)),0)</f>
        <v>0</v>
      </c>
      <c r="M10" s="156">
        <f t="array" ref="M10">IF(M$3&lt;=INDEX(Inputs!$C:$C,MATCH("End Year",Inputs!$B:$B,0))*12,-M8*INDEX(Inputs!$E:$E,MATCH("*Credit Loss*",Inputs!$B:$B,0)),0)</f>
        <v>0</v>
      </c>
      <c r="N10" s="156">
        <f t="array" ref="N10">IF(N$3&lt;=INDEX(Inputs!$C:$C,MATCH("End Year",Inputs!$B:$B,0))*12,-N8*INDEX(Inputs!$E:$E,MATCH("*Credit Loss*",Inputs!$B:$B,0)),0)</f>
        <v>0</v>
      </c>
      <c r="O10" s="156">
        <f t="array" ref="O10">IF(O$3&lt;=INDEX(Inputs!$C:$C,MATCH("End Year",Inputs!$B:$B,0))*12,-O8*INDEX(Inputs!$E:$E,MATCH("*Credit Loss*",Inputs!$B:$B,0)),0)</f>
        <v>0</v>
      </c>
      <c r="P10" s="156">
        <f t="array" ref="P10">IF(P$3&lt;=INDEX(Inputs!$C:$C,MATCH("End Year",Inputs!$B:$B,0))*12,-P8*INDEX(Inputs!$E:$E,MATCH("*Credit Loss*",Inputs!$B:$B,0)),0)</f>
        <v>0</v>
      </c>
      <c r="Q10" s="156">
        <f t="array" ref="Q10">IF(Q$3&lt;=INDEX(Inputs!$C:$C,MATCH("End Year",Inputs!$B:$B,0))*12,-Q8*INDEX(Inputs!$E:$E,MATCH("*Credit Loss*",Inputs!$B:$B,0)),0)</f>
        <v>0</v>
      </c>
      <c r="R10" s="156">
        <f t="array" ref="R10">IF(R$3&lt;=INDEX(Inputs!$C:$C,MATCH("End Year",Inputs!$B:$B,0))*12,-R8*INDEX(Inputs!$E:$E,MATCH("*Credit Loss*",Inputs!$B:$B,0)),0)</f>
        <v>0</v>
      </c>
      <c r="S10" s="156">
        <f t="array" ref="S10">IF(S$3&lt;=INDEX(Inputs!$C:$C,MATCH("End Year",Inputs!$B:$B,0))*12,-S8*INDEX(Inputs!$E:$E,MATCH("*Credit Loss*",Inputs!$B:$B,0)),0)</f>
        <v>0</v>
      </c>
      <c r="T10" s="156">
        <f t="array" ref="T10">IF(T$3&lt;=INDEX(Inputs!$C:$C,MATCH("End Year",Inputs!$B:$B,0))*12,-T8*INDEX(Inputs!$E:$E,MATCH("*Credit Loss*",Inputs!$B:$B,0)),0)</f>
        <v>0</v>
      </c>
      <c r="U10" s="156">
        <f t="array" ref="U10">IF(U$3&lt;=INDEX(Inputs!$C:$C,MATCH("End Year",Inputs!$B:$B,0))*12,-U8*INDEX(Inputs!$E:$E,MATCH("*Credit Loss*",Inputs!$B:$B,0)),0)</f>
        <v>0</v>
      </c>
      <c r="V10" s="156">
        <f t="array" ref="V10">IF(V$3&lt;=INDEX(Inputs!$C:$C,MATCH("End Year",Inputs!$B:$B,0))*12,-V8*INDEX(Inputs!$E:$E,MATCH("*Credit Loss*",Inputs!$B:$B,0)),0)</f>
        <v>0</v>
      </c>
      <c r="W10" s="156">
        <f t="array" ref="W10">IF(W$3&lt;=INDEX(Inputs!$C:$C,MATCH("End Year",Inputs!$B:$B,0))*12,-W8*INDEX(Inputs!$E:$E,MATCH("*Credit Loss*",Inputs!$B:$B,0)),0)</f>
        <v>0</v>
      </c>
      <c r="X10" s="156">
        <f t="array" ref="X10">IF(X$3&lt;=INDEX(Inputs!$C:$C,MATCH("End Year",Inputs!$B:$B,0))*12,-X8*INDEX(Inputs!$E:$E,MATCH("*Credit Loss*",Inputs!$B:$B,0)),0)</f>
        <v>0</v>
      </c>
      <c r="Y10" s="156">
        <f t="array" ref="Y10">IF(Y$3&lt;=INDEX(Inputs!$C:$C,MATCH("End Year",Inputs!$B:$B,0))*12,-Y8*INDEX(Inputs!$E:$E,MATCH("*Credit Loss*",Inputs!$B:$B,0)),0)</f>
        <v>0</v>
      </c>
      <c r="Z10" s="156">
        <f t="array" ref="Z10">IF(Z$3&lt;=INDEX(Inputs!$C:$C,MATCH("End Year",Inputs!$B:$B,0))*12,-Z8*INDEX(Inputs!$E:$E,MATCH("*Credit Loss*",Inputs!$B:$B,0)),0)</f>
        <v>0</v>
      </c>
      <c r="AA10" s="156">
        <f t="array" ref="AA10">IF(AA$3&lt;=INDEX(Inputs!$C:$C,MATCH("End Year",Inputs!$B:$B,0))*12,-AA8*INDEX(Inputs!$E:$E,MATCH("*Credit Loss*",Inputs!$B:$B,0)),0)</f>
        <v>0</v>
      </c>
      <c r="AB10" s="156">
        <f t="array" ref="AB10">IF(AB$3&lt;=INDEX(Inputs!$C:$C,MATCH("End Year",Inputs!$B:$B,0))*12,-AB8*INDEX(Inputs!$E:$E,MATCH("*Credit Loss*",Inputs!$B:$B,0)),0)</f>
        <v>0</v>
      </c>
      <c r="AC10" s="156">
        <f t="array" ref="AC10">IF(AC$3&lt;=INDEX(Inputs!$C:$C,MATCH("End Year",Inputs!$B:$B,0))*12,-AC8*INDEX(Inputs!$E:$E,MATCH("*Credit Loss*",Inputs!$B:$B,0)),0)</f>
        <v>0</v>
      </c>
      <c r="AD10" s="156">
        <f t="array" ref="AD10">IF(AD$3&lt;=INDEX(Inputs!$C:$C,MATCH("End Year",Inputs!$B:$B,0))*12,-AD8*INDEX(Inputs!$E:$E,MATCH("*Credit Loss*",Inputs!$B:$B,0)),0)</f>
        <v>0</v>
      </c>
      <c r="AE10" s="156">
        <f t="array" ref="AE10">IF(AE$3&lt;=INDEX(Inputs!$C:$C,MATCH("End Year",Inputs!$B:$B,0))*12,-AE8*INDEX(Inputs!$E:$E,MATCH("*Credit Loss*",Inputs!$B:$B,0)),0)</f>
        <v>0</v>
      </c>
      <c r="AF10" s="156">
        <f t="array" ref="AF10">IF(AF$3&lt;=INDEX(Inputs!$C:$C,MATCH("End Year",Inputs!$B:$B,0))*12,-AF8*INDEX(Inputs!$E:$E,MATCH("*Credit Loss*",Inputs!$B:$B,0)),0)</f>
        <v>0</v>
      </c>
      <c r="AG10" s="156">
        <f t="array" ref="AG10">IF(AG$3&lt;=INDEX(Inputs!$C:$C,MATCH("End Year",Inputs!$B:$B,0))*12,-AG8*INDEX(Inputs!$E:$E,MATCH("*Credit Loss*",Inputs!$B:$B,0)),0)</f>
        <v>0</v>
      </c>
      <c r="AH10" s="156">
        <f t="array" ref="AH10">IF(AH$3&lt;=INDEX(Inputs!$C:$C,MATCH("End Year",Inputs!$B:$B,0))*12,-AH8*INDEX(Inputs!$E:$E,MATCH("*Credit Loss*",Inputs!$B:$B,0)),0)</f>
        <v>0</v>
      </c>
      <c r="AI10" s="156">
        <f t="array" ref="AI10">IF(AI$3&lt;=INDEX(Inputs!$C:$C,MATCH("End Year",Inputs!$B:$B,0))*12,-AI8*INDEX(Inputs!$E:$E,MATCH("*Credit Loss*",Inputs!$B:$B,0)),0)</f>
        <v>0</v>
      </c>
      <c r="AJ10" s="156">
        <f t="array" ref="AJ10">IF(AJ$3&lt;=INDEX(Inputs!$C:$C,MATCH("End Year",Inputs!$B:$B,0))*12,-AJ8*INDEX(Inputs!$E:$E,MATCH("*Credit Loss*",Inputs!$B:$B,0)),0)</f>
        <v>0</v>
      </c>
      <c r="AK10" s="156">
        <f t="array" ref="AK10">IF(AK$3&lt;=INDEX(Inputs!$C:$C,MATCH("End Year",Inputs!$B:$B,0))*12,-AK8*INDEX(Inputs!$E:$E,MATCH("*Credit Loss*",Inputs!$B:$B,0)),0)</f>
        <v>0</v>
      </c>
      <c r="AL10" s="156">
        <f t="array" ref="AL10">IF(AL$3&lt;=INDEX(Inputs!$C:$C,MATCH("End Year",Inputs!$B:$B,0))*12,-AL8*INDEX(Inputs!$E:$E,MATCH("*Credit Loss*",Inputs!$B:$B,0)),0)</f>
        <v>0</v>
      </c>
      <c r="AM10" s="156">
        <f t="array" ref="AM10">IF(AM$3&lt;=INDEX(Inputs!$C:$C,MATCH("End Year",Inputs!$B:$B,0))*12,-AM8*INDEX(Inputs!$E:$E,MATCH("*Credit Loss*",Inputs!$B:$B,0)),0)</f>
        <v>0</v>
      </c>
      <c r="AN10" s="156">
        <f t="array" ref="AN10">IF(AN$3&lt;=INDEX(Inputs!$C:$C,MATCH("End Year",Inputs!$B:$B,0))*12,-AN8*INDEX(Inputs!$E:$E,MATCH("*Credit Loss*",Inputs!$B:$B,0)),0)</f>
        <v>0</v>
      </c>
      <c r="AO10" s="156">
        <f t="array" ref="AO10">IF(AO$3&lt;=INDEX(Inputs!$C:$C,MATCH("End Year",Inputs!$B:$B,0))*12,-AO8*INDEX(Inputs!$E:$E,MATCH("*Credit Loss*",Inputs!$B:$B,0)),0)</f>
        <v>0</v>
      </c>
      <c r="AP10" s="156">
        <f t="array" ref="AP10">IF(AP$3&lt;=INDEX(Inputs!$C:$C,MATCH("End Year",Inputs!$B:$B,0))*12,-AP8*INDEX(Inputs!$E:$E,MATCH("*Credit Loss*",Inputs!$B:$B,0)),0)</f>
        <v>0</v>
      </c>
      <c r="AQ10" s="156">
        <f t="array" ref="AQ10">IF(AQ$3&lt;=INDEX(Inputs!$C:$C,MATCH("End Year",Inputs!$B:$B,0))*12,-AQ8*INDEX(Inputs!$E:$E,MATCH("*Credit Loss*",Inputs!$B:$B,0)),0)</f>
        <v>0</v>
      </c>
      <c r="AR10" s="156">
        <f t="array" ref="AR10">IF(AR$3&lt;=INDEX(Inputs!$C:$C,MATCH("End Year",Inputs!$B:$B,0))*12,-AR8*INDEX(Inputs!$E:$E,MATCH("*Credit Loss*",Inputs!$B:$B,0)),0)</f>
        <v>0</v>
      </c>
      <c r="AS10" s="156">
        <f t="array" ref="AS10">IF(AS$3&lt;=INDEX(Inputs!$C:$C,MATCH("End Year",Inputs!$B:$B,0))*12,-AS8*INDEX(Inputs!$E:$E,MATCH("*Credit Loss*",Inputs!$B:$B,0)),0)</f>
        <v>0</v>
      </c>
      <c r="AT10" s="156">
        <f t="array" ref="AT10">IF(AT$3&lt;=INDEX(Inputs!$C:$C,MATCH("End Year",Inputs!$B:$B,0))*12,-AT8*INDEX(Inputs!$E:$E,MATCH("*Credit Loss*",Inputs!$B:$B,0)),0)</f>
        <v>0</v>
      </c>
      <c r="AU10" s="156">
        <f t="array" ref="AU10">IF(AU$3&lt;=INDEX(Inputs!$C:$C,MATCH("End Year",Inputs!$B:$B,0))*12,-AU8*INDEX(Inputs!$E:$E,MATCH("*Credit Loss*",Inputs!$B:$B,0)),0)</f>
        <v>0</v>
      </c>
      <c r="AV10" s="156">
        <f t="array" ref="AV10">IF(AV$3&lt;=INDEX(Inputs!$C:$C,MATCH("End Year",Inputs!$B:$B,0))*12,-AV8*INDEX(Inputs!$E:$E,MATCH("*Credit Loss*",Inputs!$B:$B,0)),0)</f>
        <v>0</v>
      </c>
      <c r="AW10" s="156">
        <f t="array" ref="AW10">IF(AW$3&lt;=INDEX(Inputs!$C:$C,MATCH("End Year",Inputs!$B:$B,0))*12,-AW8*INDEX(Inputs!$E:$E,MATCH("*Credit Loss*",Inputs!$B:$B,0)),0)</f>
        <v>0</v>
      </c>
      <c r="AX10" s="156">
        <f t="array" ref="AX10">IF(AX$3&lt;=INDEX(Inputs!$C:$C,MATCH("End Year",Inputs!$B:$B,0))*12,-AX8*INDEX(Inputs!$E:$E,MATCH("*Credit Loss*",Inputs!$B:$B,0)),0)</f>
        <v>0</v>
      </c>
      <c r="AY10" s="156">
        <f t="array" ref="AY10">IF(AY$3&lt;=INDEX(Inputs!$C:$C,MATCH("End Year",Inputs!$B:$B,0))*12,-AY8*INDEX(Inputs!$E:$E,MATCH("*Credit Loss*",Inputs!$B:$B,0)),0)</f>
        <v>0</v>
      </c>
      <c r="AZ10" s="156">
        <f t="array" ref="AZ10">IF(AZ$3&lt;=INDEX(Inputs!$C:$C,MATCH("End Year",Inputs!$B:$B,0))*12,-AZ8*INDEX(Inputs!$E:$E,MATCH("*Credit Loss*",Inputs!$B:$B,0)),0)</f>
        <v>0</v>
      </c>
      <c r="BA10" s="156">
        <f t="array" ref="BA10">IF(BA$3&lt;=INDEX(Inputs!$C:$C,MATCH("End Year",Inputs!$B:$B,0))*12,-BA8*INDEX(Inputs!$E:$E,MATCH("*Credit Loss*",Inputs!$B:$B,0)),0)</f>
        <v>0</v>
      </c>
      <c r="BB10" s="156">
        <f t="array" ref="BB10">IF(BB$3&lt;=INDEX(Inputs!$C:$C,MATCH("End Year",Inputs!$B:$B,0))*12,-BB8*INDEX(Inputs!$E:$E,MATCH("*Credit Loss*",Inputs!$B:$B,0)),0)</f>
        <v>0</v>
      </c>
      <c r="BC10" s="156">
        <f t="array" ref="BC10">IF(BC$3&lt;=INDEX(Inputs!$C:$C,MATCH("End Year",Inputs!$B:$B,0))*12,-BC8*INDEX(Inputs!$E:$E,MATCH("*Credit Loss*",Inputs!$B:$B,0)),0)</f>
        <v>0</v>
      </c>
      <c r="BD10" s="156">
        <f t="array" ref="BD10">IF(BD$3&lt;=INDEX(Inputs!$C:$C,MATCH("End Year",Inputs!$B:$B,0))*12,-BD8*INDEX(Inputs!$E:$E,MATCH("*Credit Loss*",Inputs!$B:$B,0)),0)</f>
        <v>0</v>
      </c>
      <c r="BE10" s="156">
        <f t="array" ref="BE10">IF(BE$3&lt;=INDEX(Inputs!$C:$C,MATCH("End Year",Inputs!$B:$B,0))*12,-BE8*INDEX(Inputs!$E:$E,MATCH("*Credit Loss*",Inputs!$B:$B,0)),0)</f>
        <v>0</v>
      </c>
      <c r="BF10" s="156">
        <f t="array" ref="BF10">IF(BF$3&lt;=INDEX(Inputs!$C:$C,MATCH("End Year",Inputs!$B:$B,0))*12,-BF8*INDEX(Inputs!$E:$E,MATCH("*Credit Loss*",Inputs!$B:$B,0)),0)</f>
        <v>0</v>
      </c>
      <c r="BG10" s="156">
        <f t="array" ref="BG10">IF(BG$3&lt;=INDEX(Inputs!$C:$C,MATCH("End Year",Inputs!$B:$B,0))*12,-BG8*INDEX(Inputs!$E:$E,MATCH("*Credit Loss*",Inputs!$B:$B,0)),0)</f>
        <v>0</v>
      </c>
      <c r="BH10" s="156">
        <f t="array" ref="BH10">IF(BH$3&lt;=INDEX(Inputs!$C:$C,MATCH("End Year",Inputs!$B:$B,0))*12,-BH8*INDEX(Inputs!$E:$E,MATCH("*Credit Loss*",Inputs!$B:$B,0)),0)</f>
        <v>0</v>
      </c>
      <c r="BI10" s="156">
        <f t="array" ref="BI10">IF(BI$3&lt;=INDEX(Inputs!$C:$C,MATCH("End Year",Inputs!$B:$B,0))*12,-BI8*INDEX(Inputs!$E:$E,MATCH("*Credit Loss*",Inputs!$B:$B,0)),0)</f>
        <v>0</v>
      </c>
      <c r="BJ10" s="156">
        <f t="array" ref="BJ10">IF(BJ$3&lt;=INDEX(Inputs!$C:$C,MATCH("End Year",Inputs!$B:$B,0))*12,-BJ8*INDEX(Inputs!$E:$E,MATCH("*Credit Loss*",Inputs!$B:$B,0)),0)</f>
        <v>0</v>
      </c>
      <c r="BK10" s="156">
        <f t="array" ref="BK10">IF(BK$3&lt;=INDEX(Inputs!$C:$C,MATCH("End Year",Inputs!$B:$B,0))*12,-BK8*INDEX(Inputs!$E:$E,MATCH("*Credit Loss*",Inputs!$B:$B,0)),0)</f>
        <v>0</v>
      </c>
      <c r="BL10" s="156">
        <f t="array" ref="BL10">IF(BL$3&lt;=INDEX(Inputs!$C:$C,MATCH("End Year",Inputs!$B:$B,0))*12,-BL8*INDEX(Inputs!$E:$E,MATCH("*Credit Loss*",Inputs!$B:$B,0)),0)</f>
        <v>0</v>
      </c>
      <c r="BM10" s="156">
        <f t="array" ref="BM10">IF(BM$3&lt;=INDEX(Inputs!$C:$C,MATCH("End Year",Inputs!$B:$B,0))*12,-BM8*INDEX(Inputs!$E:$E,MATCH("*Credit Loss*",Inputs!$B:$B,0)),0)</f>
        <v>0</v>
      </c>
      <c r="BN10" s="156">
        <f t="array" ref="BN10">IF(BN$3&lt;=INDEX(Inputs!$C:$C,MATCH("End Year",Inputs!$B:$B,0))*12,-BN8*INDEX(Inputs!$E:$E,MATCH("*Credit Loss*",Inputs!$B:$B,0)),0)</f>
        <v>0</v>
      </c>
      <c r="BO10" s="156">
        <f t="array" ref="BO10">IF(BO$3&lt;=INDEX(Inputs!$C:$C,MATCH("End Year",Inputs!$B:$B,0))*12,-BO8*INDEX(Inputs!$E:$E,MATCH("*Credit Loss*",Inputs!$B:$B,0)),0)</f>
        <v>0</v>
      </c>
      <c r="BP10" s="156">
        <f t="array" ref="BP10">IF(BP$3&lt;=INDEX(Inputs!$C:$C,MATCH("End Year",Inputs!$B:$B,0))*12,-BP8*INDEX(Inputs!$E:$E,MATCH("*Credit Loss*",Inputs!$B:$B,0)),0)</f>
        <v>0</v>
      </c>
      <c r="BQ10" s="156">
        <f t="array" ref="BQ10">IF(BQ$3&lt;=INDEX(Inputs!$C:$C,MATCH("End Year",Inputs!$B:$B,0))*12,-BQ8*INDEX(Inputs!$E:$E,MATCH("*Credit Loss*",Inputs!$B:$B,0)),0)</f>
        <v>0</v>
      </c>
      <c r="BR10" s="156">
        <f t="array" ref="BR10">IF(BR$3&lt;=INDEX(Inputs!$C:$C,MATCH("End Year",Inputs!$B:$B,0))*12,-BR8*INDEX(Inputs!$E:$E,MATCH("*Credit Loss*",Inputs!$B:$B,0)),0)</f>
        <v>0</v>
      </c>
      <c r="BS10" s="156">
        <f t="array" ref="BS10">IF(BS$3&lt;=INDEX(Inputs!$C:$C,MATCH("End Year",Inputs!$B:$B,0))*12,-BS8*INDEX(Inputs!$E:$E,MATCH("*Credit Loss*",Inputs!$B:$B,0)),0)</f>
        <v>0</v>
      </c>
      <c r="BT10" s="156">
        <f t="array" ref="BT10">IF(BT$3&lt;=INDEX(Inputs!$C:$C,MATCH("End Year",Inputs!$B:$B,0))*12,-BT8*INDEX(Inputs!$E:$E,MATCH("*Credit Loss*",Inputs!$B:$B,0)),0)</f>
        <v>0</v>
      </c>
      <c r="BU10" s="156">
        <f t="array" ref="BU10">IF(BU$3&lt;=INDEX(Inputs!$C:$C,MATCH("End Year",Inputs!$B:$B,0))*12,-BU8*INDEX(Inputs!$E:$E,MATCH("*Credit Loss*",Inputs!$B:$B,0)),0)</f>
        <v>0</v>
      </c>
      <c r="BV10" s="156">
        <f t="array" ref="BV10">IF(BV$3&lt;=INDEX(Inputs!$C:$C,MATCH("End Year",Inputs!$B:$B,0))*12,-BV8*INDEX(Inputs!$E:$E,MATCH("*Credit Loss*",Inputs!$B:$B,0)),0)</f>
        <v>0</v>
      </c>
      <c r="BW10" s="156">
        <f t="array" ref="BW10">IF(BW$3&lt;=INDEX(Inputs!$C:$C,MATCH("End Year",Inputs!$B:$B,0))*12,-BW8*INDEX(Inputs!$E:$E,MATCH("*Credit Loss*",Inputs!$B:$B,0)),0)</f>
        <v>0</v>
      </c>
      <c r="BX10" s="156">
        <f t="array" ref="BX10">IF(BX$3&lt;=INDEX(Inputs!$C:$C,MATCH("End Year",Inputs!$B:$B,0))*12,-BX8*INDEX(Inputs!$E:$E,MATCH("*Credit Loss*",Inputs!$B:$B,0)),0)</f>
        <v>0</v>
      </c>
      <c r="BY10" s="156">
        <f t="array" ref="BY10">IF(BY$3&lt;=INDEX(Inputs!$C:$C,MATCH("End Year",Inputs!$B:$B,0))*12,-BY8*INDEX(Inputs!$E:$E,MATCH("*Credit Loss*",Inputs!$B:$B,0)),0)</f>
        <v>0</v>
      </c>
      <c r="BZ10" s="156">
        <f t="array" ref="BZ10">IF(BZ$3&lt;=INDEX(Inputs!$C:$C,MATCH("End Year",Inputs!$B:$B,0))*12,-BZ8*INDEX(Inputs!$E:$E,MATCH("*Credit Loss*",Inputs!$B:$B,0)),0)</f>
        <v>0</v>
      </c>
      <c r="CA10" s="156">
        <f t="array" ref="CA10">IF(CA$3&lt;=INDEX(Inputs!$C:$C,MATCH("End Year",Inputs!$B:$B,0))*12,-CA8*INDEX(Inputs!$E:$E,MATCH("*Credit Loss*",Inputs!$B:$B,0)),0)</f>
        <v>0</v>
      </c>
      <c r="CB10" s="156">
        <f t="array" ref="CB10">IF(CB$3&lt;=INDEX(Inputs!$C:$C,MATCH("End Year",Inputs!$B:$B,0))*12,-CB8*INDEX(Inputs!$E:$E,MATCH("*Credit Loss*",Inputs!$B:$B,0)),0)</f>
        <v>0</v>
      </c>
      <c r="CC10" s="156">
        <f t="array" ref="CC10">IF(CC$3&lt;=INDEX(Inputs!$C:$C,MATCH("End Year",Inputs!$B:$B,0))*12,-CC8*INDEX(Inputs!$E:$E,MATCH("*Credit Loss*",Inputs!$B:$B,0)),0)</f>
        <v>0</v>
      </c>
      <c r="CD10" s="156">
        <f t="array" ref="CD10">IF(CD$3&lt;=INDEX(Inputs!$C:$C,MATCH("End Year",Inputs!$B:$B,0))*12,-CD8*INDEX(Inputs!$E:$E,MATCH("*Credit Loss*",Inputs!$B:$B,0)),0)</f>
        <v>0</v>
      </c>
      <c r="CE10" s="156">
        <f t="array" ref="CE10">IF(CE$3&lt;=INDEX(Inputs!$C:$C,MATCH("End Year",Inputs!$B:$B,0))*12,-CE8*INDEX(Inputs!$E:$E,MATCH("*Credit Loss*",Inputs!$B:$B,0)),0)</f>
        <v>0</v>
      </c>
      <c r="CF10" s="156">
        <f t="array" ref="CF10">IF(CF$3&lt;=INDEX(Inputs!$C:$C,MATCH("End Year",Inputs!$B:$B,0))*12,-CF8*INDEX(Inputs!$E:$E,MATCH("*Credit Loss*",Inputs!$B:$B,0)),0)</f>
        <v>0</v>
      </c>
      <c r="CG10" s="156">
        <f t="array" ref="CG10">IF(CG$3&lt;=INDEX(Inputs!$C:$C,MATCH("End Year",Inputs!$B:$B,0))*12,-CG8*INDEX(Inputs!$E:$E,MATCH("*Credit Loss*",Inputs!$B:$B,0)),0)</f>
        <v>0</v>
      </c>
      <c r="CH10" s="156">
        <f t="array" ref="CH10">IF(CH$3&lt;=INDEX(Inputs!$C:$C,MATCH("End Year",Inputs!$B:$B,0))*12,-CH8*INDEX(Inputs!$E:$E,MATCH("*Credit Loss*",Inputs!$B:$B,0)),0)</f>
        <v>0</v>
      </c>
      <c r="CI10" s="156">
        <f t="array" ref="CI10">IF(CI$3&lt;=INDEX(Inputs!$C:$C,MATCH("End Year",Inputs!$B:$B,0))*12,-CI8*INDEX(Inputs!$E:$E,MATCH("*Credit Loss*",Inputs!$B:$B,0)),0)</f>
        <v>0</v>
      </c>
      <c r="CJ10" s="156">
        <f t="array" ref="CJ10">IF(CJ$3&lt;=INDEX(Inputs!$C:$C,MATCH("End Year",Inputs!$B:$B,0))*12,-CJ8*INDEX(Inputs!$E:$E,MATCH("*Credit Loss*",Inputs!$B:$B,0)),0)</f>
        <v>0</v>
      </c>
      <c r="CK10" s="156">
        <f t="array" ref="CK10">IF(CK$3&lt;=INDEX(Inputs!$C:$C,MATCH("End Year",Inputs!$B:$B,0))*12,-CK8*INDEX(Inputs!$E:$E,MATCH("*Credit Loss*",Inputs!$B:$B,0)),0)</f>
        <v>0</v>
      </c>
      <c r="CL10" s="156">
        <f t="array" ref="CL10">IF(CL$3&lt;=INDEX(Inputs!$C:$C,MATCH("End Year",Inputs!$B:$B,0))*12,-CL8*INDEX(Inputs!$E:$E,MATCH("*Credit Loss*",Inputs!$B:$B,0)),0)</f>
        <v>0</v>
      </c>
      <c r="CM10" s="156">
        <f t="array" ref="CM10">IF(CM$3&lt;=INDEX(Inputs!$C:$C,MATCH("End Year",Inputs!$B:$B,0))*12,-CM8*INDEX(Inputs!$E:$E,MATCH("*Credit Loss*",Inputs!$B:$B,0)),0)</f>
        <v>0</v>
      </c>
      <c r="CN10" s="156">
        <f t="array" ref="CN10">IF(CN$3&lt;=INDEX(Inputs!$C:$C,MATCH("End Year",Inputs!$B:$B,0))*12,-CN8*INDEX(Inputs!$E:$E,MATCH("*Credit Loss*",Inputs!$B:$B,0)),0)</f>
        <v>0</v>
      </c>
      <c r="CO10" s="156">
        <f t="array" ref="CO10">IF(CO$3&lt;=INDEX(Inputs!$C:$C,MATCH("End Year",Inputs!$B:$B,0))*12,-CO8*INDEX(Inputs!$E:$E,MATCH("*Credit Loss*",Inputs!$B:$B,0)),0)</f>
        <v>0</v>
      </c>
      <c r="CP10" s="156">
        <f t="array" ref="CP10">IF(CP$3&lt;=INDEX(Inputs!$C:$C,MATCH("End Year",Inputs!$B:$B,0))*12,-CP8*INDEX(Inputs!$E:$E,MATCH("*Credit Loss*",Inputs!$B:$B,0)),0)</f>
        <v>0</v>
      </c>
      <c r="CQ10" s="156">
        <f t="array" ref="CQ10">IF(CQ$3&lt;=INDEX(Inputs!$C:$C,MATCH("End Year",Inputs!$B:$B,0))*12,-CQ8*INDEX(Inputs!$E:$E,MATCH("*Credit Loss*",Inputs!$B:$B,0)),0)</f>
        <v>0</v>
      </c>
      <c r="CR10" s="156">
        <f t="array" ref="CR10">IF(CR$3&lt;=INDEX(Inputs!$C:$C,MATCH("End Year",Inputs!$B:$B,0))*12,-CR8*INDEX(Inputs!$E:$E,MATCH("*Credit Loss*",Inputs!$B:$B,0)),0)</f>
        <v>0</v>
      </c>
      <c r="CS10" s="156">
        <f t="array" ref="CS10">IF(CS$3&lt;=INDEX(Inputs!$C:$C,MATCH("End Year",Inputs!$B:$B,0))*12,-CS8*INDEX(Inputs!$E:$E,MATCH("*Credit Loss*",Inputs!$B:$B,0)),0)</f>
        <v>0</v>
      </c>
      <c r="CT10" s="156">
        <f t="array" ref="CT10">IF(CT$3&lt;=INDEX(Inputs!$C:$C,MATCH("End Year",Inputs!$B:$B,0))*12,-CT8*INDEX(Inputs!$E:$E,MATCH("*Credit Loss*",Inputs!$B:$B,0)),0)</f>
        <v>0</v>
      </c>
      <c r="CU10" s="156">
        <f t="array" ref="CU10">IF(CU$3&lt;=INDEX(Inputs!$C:$C,MATCH("End Year",Inputs!$B:$B,0))*12,-CU8*INDEX(Inputs!$E:$E,MATCH("*Credit Loss*",Inputs!$B:$B,0)),0)</f>
        <v>0</v>
      </c>
      <c r="CV10" s="156">
        <f t="array" ref="CV10">IF(CV$3&lt;=INDEX(Inputs!$C:$C,MATCH("End Year",Inputs!$B:$B,0))*12,-CV8*INDEX(Inputs!$E:$E,MATCH("*Credit Loss*",Inputs!$B:$B,0)),0)</f>
        <v>0</v>
      </c>
      <c r="CW10" s="156">
        <f t="array" ref="CW10">IF(CW$3&lt;=INDEX(Inputs!$C:$C,MATCH("End Year",Inputs!$B:$B,0))*12,-CW8*INDEX(Inputs!$E:$E,MATCH("*Credit Loss*",Inputs!$B:$B,0)),0)</f>
        <v>0</v>
      </c>
      <c r="CX10" s="156">
        <f t="array" ref="CX10">IF(CX$3&lt;=INDEX(Inputs!$C:$C,MATCH("End Year",Inputs!$B:$B,0))*12,-CX8*INDEX(Inputs!$E:$E,MATCH("*Credit Loss*",Inputs!$B:$B,0)),0)</f>
        <v>0</v>
      </c>
      <c r="CY10" s="156">
        <f t="array" ref="CY10">IF(CY$3&lt;=INDEX(Inputs!$C:$C,MATCH("End Year",Inputs!$B:$B,0))*12,-CY8*INDEX(Inputs!$E:$E,MATCH("*Credit Loss*",Inputs!$B:$B,0)),0)</f>
        <v>0</v>
      </c>
      <c r="CZ10" s="156">
        <f t="array" ref="CZ10">IF(CZ$3&lt;=INDEX(Inputs!$C:$C,MATCH("End Year",Inputs!$B:$B,0))*12,-CZ8*INDEX(Inputs!$E:$E,MATCH("*Credit Loss*",Inputs!$B:$B,0)),0)</f>
        <v>0</v>
      </c>
      <c r="DA10" s="156">
        <f t="array" ref="DA10">IF(DA$3&lt;=INDEX(Inputs!$C:$C,MATCH("End Year",Inputs!$B:$B,0))*12,-DA8*INDEX(Inputs!$E:$E,MATCH("*Credit Loss*",Inputs!$B:$B,0)),0)</f>
        <v>0</v>
      </c>
      <c r="DB10" s="156">
        <f t="array" ref="DB10">IF(DB$3&lt;=INDEX(Inputs!$C:$C,MATCH("End Year",Inputs!$B:$B,0))*12,-DB8*INDEX(Inputs!$E:$E,MATCH("*Credit Loss*",Inputs!$B:$B,0)),0)</f>
        <v>0</v>
      </c>
      <c r="DC10" s="156">
        <f t="array" ref="DC10">IF(DC$3&lt;=INDEX(Inputs!$C:$C,MATCH("End Year",Inputs!$B:$B,0))*12,-DC8*INDEX(Inputs!$E:$E,MATCH("*Credit Loss*",Inputs!$B:$B,0)),0)</f>
        <v>0</v>
      </c>
      <c r="DD10" s="156">
        <f t="array" ref="DD10">IF(DD$3&lt;=INDEX(Inputs!$C:$C,MATCH("End Year",Inputs!$B:$B,0))*12,-DD8*INDEX(Inputs!$E:$E,MATCH("*Credit Loss*",Inputs!$B:$B,0)),0)</f>
        <v>0</v>
      </c>
      <c r="DE10" s="156">
        <f t="array" ref="DE10">IF(DE$3&lt;=INDEX(Inputs!$C:$C,MATCH("End Year",Inputs!$B:$B,0))*12,-DE8*INDEX(Inputs!$E:$E,MATCH("*Credit Loss*",Inputs!$B:$B,0)),0)</f>
        <v>0</v>
      </c>
      <c r="DF10" s="156">
        <f t="array" ref="DF10">IF(DF$3&lt;=INDEX(Inputs!$C:$C,MATCH("End Year",Inputs!$B:$B,0))*12,-DF8*INDEX(Inputs!$E:$E,MATCH("*Credit Loss*",Inputs!$B:$B,0)),0)</f>
        <v>0</v>
      </c>
      <c r="DG10" s="156">
        <f t="array" ref="DG10">IF(DG$3&lt;=INDEX(Inputs!$C:$C,MATCH("End Year",Inputs!$B:$B,0))*12,-DG8*INDEX(Inputs!$E:$E,MATCH("*Credit Loss*",Inputs!$B:$B,0)),0)</f>
        <v>0</v>
      </c>
      <c r="DH10" s="156">
        <f t="array" ref="DH10">IF(DH$3&lt;=INDEX(Inputs!$C:$C,MATCH("End Year",Inputs!$B:$B,0))*12,-DH8*INDEX(Inputs!$E:$E,MATCH("*Credit Loss*",Inputs!$B:$B,0)),0)</f>
        <v>0</v>
      </c>
      <c r="DI10" s="156">
        <f t="array" ref="DI10">IF(DI$3&lt;=INDEX(Inputs!$C:$C,MATCH("End Year",Inputs!$B:$B,0))*12,-DI8*INDEX(Inputs!$E:$E,MATCH("*Credit Loss*",Inputs!$B:$B,0)),0)</f>
        <v>0</v>
      </c>
      <c r="DJ10" s="156">
        <f t="array" ref="DJ10">IF(DJ$3&lt;=INDEX(Inputs!$C:$C,MATCH("End Year",Inputs!$B:$B,0))*12,-DJ8*INDEX(Inputs!$E:$E,MATCH("*Credit Loss*",Inputs!$B:$B,0)),0)</f>
        <v>0</v>
      </c>
      <c r="DK10" s="156">
        <f t="array" ref="DK10">IF(DK$3&lt;=INDEX(Inputs!$C:$C,MATCH("End Year",Inputs!$B:$B,0))*12,-DK8*INDEX(Inputs!$E:$E,MATCH("*Credit Loss*",Inputs!$B:$B,0)),0)</f>
        <v>0</v>
      </c>
      <c r="DL10" s="156">
        <f t="array" ref="DL10">IF(DL$3&lt;=INDEX(Inputs!$C:$C,MATCH("End Year",Inputs!$B:$B,0))*12,-DL8*INDEX(Inputs!$E:$E,MATCH("*Credit Loss*",Inputs!$B:$B,0)),0)</f>
        <v>0</v>
      </c>
      <c r="DM10" s="156">
        <f t="array" ref="DM10">IF(DM$3&lt;=INDEX(Inputs!$C:$C,MATCH("End Year",Inputs!$B:$B,0))*12,-DM8*INDEX(Inputs!$E:$E,MATCH("*Credit Loss*",Inputs!$B:$B,0)),0)</f>
        <v>0</v>
      </c>
      <c r="DN10" s="156">
        <f t="array" ref="DN10">IF(DN$3&lt;=INDEX(Inputs!$C:$C,MATCH("End Year",Inputs!$B:$B,0))*12,-DN8*INDEX(Inputs!$E:$E,MATCH("*Credit Loss*",Inputs!$B:$B,0)),0)</f>
        <v>0</v>
      </c>
      <c r="DO10" s="156">
        <f t="array" ref="DO10">IF(DO$3&lt;=INDEX(Inputs!$C:$C,MATCH("End Year",Inputs!$B:$B,0))*12,-DO8*INDEX(Inputs!$E:$E,MATCH("*Credit Loss*",Inputs!$B:$B,0)),0)</f>
        <v>0</v>
      </c>
      <c r="DP10" s="156">
        <f t="array" ref="DP10">IF(DP$3&lt;=INDEX(Inputs!$C:$C,MATCH("End Year",Inputs!$B:$B,0))*12,-DP8*INDEX(Inputs!$E:$E,MATCH("*Credit Loss*",Inputs!$B:$B,0)),0)</f>
        <v>0</v>
      </c>
      <c r="DQ10" s="156">
        <f t="array" ref="DQ10">IF(DQ$3&lt;=INDEX(Inputs!$C:$C,MATCH("End Year",Inputs!$B:$B,0))*12,-DQ8*INDEX(Inputs!$E:$E,MATCH("*Credit Loss*",Inputs!$B:$B,0)),0)</f>
        <v>0</v>
      </c>
      <c r="DR10" s="156">
        <f t="array" ref="DR10">IF(DR$3&lt;=INDEX(Inputs!$C:$C,MATCH("End Year",Inputs!$B:$B,0))*12,-DR8*INDEX(Inputs!$E:$E,MATCH("*Credit Loss*",Inputs!$B:$B,0)),0)</f>
        <v>0</v>
      </c>
      <c r="DS10" s="44">
        <f t="array" ref="DS10">IF(DS$3&lt;=INDEX(Inputs!$C:$C,MATCH("End Year",Inputs!$B:$B,0))*12,-DS8*INDEX(Inputs!$E:$E,MATCH("*Credit Loss*",Inputs!$B:$B,0)),0)</f>
        <v>0</v>
      </c>
    </row>
    <row r="11" ht="15.75" customHeight="1">
      <c r="A11" s="44"/>
      <c r="B11" s="101" t="s">
        <v>318</v>
      </c>
      <c r="C11" s="157">
        <f t="shared" ref="C11:DR11" si="1">C8+C9+C10</f>
        <v>0</v>
      </c>
      <c r="D11" s="157">
        <f t="shared" si="1"/>
        <v>0</v>
      </c>
      <c r="E11" s="157">
        <f t="shared" si="1"/>
        <v>0</v>
      </c>
      <c r="F11" s="157">
        <f t="shared" si="1"/>
        <v>0</v>
      </c>
      <c r="G11" s="157">
        <f t="shared" si="1"/>
        <v>0</v>
      </c>
      <c r="H11" s="157">
        <f t="shared" si="1"/>
        <v>0</v>
      </c>
      <c r="I11" s="157">
        <f t="shared" si="1"/>
        <v>0</v>
      </c>
      <c r="J11" s="157">
        <f t="shared" si="1"/>
        <v>0</v>
      </c>
      <c r="K11" s="157">
        <f t="shared" si="1"/>
        <v>0</v>
      </c>
      <c r="L11" s="157">
        <f t="shared" si="1"/>
        <v>0</v>
      </c>
      <c r="M11" s="157">
        <f t="shared" si="1"/>
        <v>0</v>
      </c>
      <c r="N11" s="157">
        <f t="shared" si="1"/>
        <v>0</v>
      </c>
      <c r="O11" s="157">
        <f t="shared" si="1"/>
        <v>0</v>
      </c>
      <c r="P11" s="157">
        <f t="shared" si="1"/>
        <v>0</v>
      </c>
      <c r="Q11" s="157">
        <f t="shared" si="1"/>
        <v>0</v>
      </c>
      <c r="R11" s="157">
        <f t="shared" si="1"/>
        <v>0</v>
      </c>
      <c r="S11" s="157">
        <f t="shared" si="1"/>
        <v>0</v>
      </c>
      <c r="T11" s="157">
        <f t="shared" si="1"/>
        <v>0</v>
      </c>
      <c r="U11" s="157">
        <f t="shared" si="1"/>
        <v>0</v>
      </c>
      <c r="V11" s="157">
        <f t="shared" si="1"/>
        <v>0</v>
      </c>
      <c r="W11" s="157">
        <f t="shared" si="1"/>
        <v>0</v>
      </c>
      <c r="X11" s="157">
        <f t="shared" si="1"/>
        <v>0</v>
      </c>
      <c r="Y11" s="157">
        <f t="shared" si="1"/>
        <v>0</v>
      </c>
      <c r="Z11" s="157">
        <f t="shared" si="1"/>
        <v>0</v>
      </c>
      <c r="AA11" s="157">
        <f t="shared" si="1"/>
        <v>0</v>
      </c>
      <c r="AB11" s="157">
        <f t="shared" si="1"/>
        <v>0</v>
      </c>
      <c r="AC11" s="157">
        <f t="shared" si="1"/>
        <v>0</v>
      </c>
      <c r="AD11" s="157">
        <f t="shared" si="1"/>
        <v>0</v>
      </c>
      <c r="AE11" s="157">
        <f t="shared" si="1"/>
        <v>0</v>
      </c>
      <c r="AF11" s="157">
        <f t="shared" si="1"/>
        <v>0</v>
      </c>
      <c r="AG11" s="157">
        <f t="shared" si="1"/>
        <v>0</v>
      </c>
      <c r="AH11" s="157">
        <f t="shared" si="1"/>
        <v>0</v>
      </c>
      <c r="AI11" s="157">
        <f t="shared" si="1"/>
        <v>0</v>
      </c>
      <c r="AJ11" s="157">
        <f t="shared" si="1"/>
        <v>0</v>
      </c>
      <c r="AK11" s="157">
        <f t="shared" si="1"/>
        <v>0</v>
      </c>
      <c r="AL11" s="157">
        <f t="shared" si="1"/>
        <v>0</v>
      </c>
      <c r="AM11" s="157">
        <f t="shared" si="1"/>
        <v>0</v>
      </c>
      <c r="AN11" s="157">
        <f t="shared" si="1"/>
        <v>0</v>
      </c>
      <c r="AO11" s="157">
        <f t="shared" si="1"/>
        <v>0</v>
      </c>
      <c r="AP11" s="157">
        <f t="shared" si="1"/>
        <v>0</v>
      </c>
      <c r="AQ11" s="157">
        <f t="shared" si="1"/>
        <v>0</v>
      </c>
      <c r="AR11" s="157">
        <f t="shared" si="1"/>
        <v>0</v>
      </c>
      <c r="AS11" s="157">
        <f t="shared" si="1"/>
        <v>0</v>
      </c>
      <c r="AT11" s="157">
        <f t="shared" si="1"/>
        <v>0</v>
      </c>
      <c r="AU11" s="157">
        <f t="shared" si="1"/>
        <v>0</v>
      </c>
      <c r="AV11" s="157">
        <f t="shared" si="1"/>
        <v>0</v>
      </c>
      <c r="AW11" s="157">
        <f t="shared" si="1"/>
        <v>0</v>
      </c>
      <c r="AX11" s="157">
        <f t="shared" si="1"/>
        <v>0</v>
      </c>
      <c r="AY11" s="157">
        <f t="shared" si="1"/>
        <v>0</v>
      </c>
      <c r="AZ11" s="157">
        <f t="shared" si="1"/>
        <v>0</v>
      </c>
      <c r="BA11" s="157">
        <f t="shared" si="1"/>
        <v>0</v>
      </c>
      <c r="BB11" s="157">
        <f t="shared" si="1"/>
        <v>0</v>
      </c>
      <c r="BC11" s="157">
        <f t="shared" si="1"/>
        <v>0</v>
      </c>
      <c r="BD11" s="157">
        <f t="shared" si="1"/>
        <v>0</v>
      </c>
      <c r="BE11" s="157">
        <f t="shared" si="1"/>
        <v>0</v>
      </c>
      <c r="BF11" s="157">
        <f t="shared" si="1"/>
        <v>0</v>
      </c>
      <c r="BG11" s="157">
        <f t="shared" si="1"/>
        <v>0</v>
      </c>
      <c r="BH11" s="157">
        <f t="shared" si="1"/>
        <v>0</v>
      </c>
      <c r="BI11" s="157">
        <f t="shared" si="1"/>
        <v>0</v>
      </c>
      <c r="BJ11" s="157">
        <f t="shared" si="1"/>
        <v>0</v>
      </c>
      <c r="BK11" s="157">
        <f t="shared" si="1"/>
        <v>0</v>
      </c>
      <c r="BL11" s="157">
        <f t="shared" si="1"/>
        <v>0</v>
      </c>
      <c r="BM11" s="157">
        <f t="shared" si="1"/>
        <v>0</v>
      </c>
      <c r="BN11" s="157">
        <f t="shared" si="1"/>
        <v>0</v>
      </c>
      <c r="BO11" s="157">
        <f t="shared" si="1"/>
        <v>0</v>
      </c>
      <c r="BP11" s="157">
        <f t="shared" si="1"/>
        <v>0</v>
      </c>
      <c r="BQ11" s="157">
        <f t="shared" si="1"/>
        <v>0</v>
      </c>
      <c r="BR11" s="157">
        <f t="shared" si="1"/>
        <v>0</v>
      </c>
      <c r="BS11" s="157">
        <f t="shared" si="1"/>
        <v>0</v>
      </c>
      <c r="BT11" s="157">
        <f t="shared" si="1"/>
        <v>0</v>
      </c>
      <c r="BU11" s="157">
        <f t="shared" si="1"/>
        <v>0</v>
      </c>
      <c r="BV11" s="157">
        <f t="shared" si="1"/>
        <v>0</v>
      </c>
      <c r="BW11" s="157">
        <f t="shared" si="1"/>
        <v>0</v>
      </c>
      <c r="BX11" s="157">
        <f t="shared" si="1"/>
        <v>0</v>
      </c>
      <c r="BY11" s="157">
        <f t="shared" si="1"/>
        <v>0</v>
      </c>
      <c r="BZ11" s="157">
        <f t="shared" si="1"/>
        <v>0</v>
      </c>
      <c r="CA11" s="157">
        <f t="shared" si="1"/>
        <v>0</v>
      </c>
      <c r="CB11" s="157">
        <f t="shared" si="1"/>
        <v>0</v>
      </c>
      <c r="CC11" s="157">
        <f t="shared" si="1"/>
        <v>0</v>
      </c>
      <c r="CD11" s="157">
        <f t="shared" si="1"/>
        <v>0</v>
      </c>
      <c r="CE11" s="157">
        <f t="shared" si="1"/>
        <v>0</v>
      </c>
      <c r="CF11" s="157">
        <f t="shared" si="1"/>
        <v>0</v>
      </c>
      <c r="CG11" s="157">
        <f t="shared" si="1"/>
        <v>0</v>
      </c>
      <c r="CH11" s="157">
        <f t="shared" si="1"/>
        <v>0</v>
      </c>
      <c r="CI11" s="157">
        <f t="shared" si="1"/>
        <v>0</v>
      </c>
      <c r="CJ11" s="157">
        <f t="shared" si="1"/>
        <v>0</v>
      </c>
      <c r="CK11" s="157">
        <f t="shared" si="1"/>
        <v>0</v>
      </c>
      <c r="CL11" s="157">
        <f t="shared" si="1"/>
        <v>0</v>
      </c>
      <c r="CM11" s="157">
        <f t="shared" si="1"/>
        <v>0</v>
      </c>
      <c r="CN11" s="157">
        <f t="shared" si="1"/>
        <v>0</v>
      </c>
      <c r="CO11" s="157">
        <f t="shared" si="1"/>
        <v>0</v>
      </c>
      <c r="CP11" s="157">
        <f t="shared" si="1"/>
        <v>0</v>
      </c>
      <c r="CQ11" s="157">
        <f t="shared" si="1"/>
        <v>0</v>
      </c>
      <c r="CR11" s="157">
        <f t="shared" si="1"/>
        <v>0</v>
      </c>
      <c r="CS11" s="157">
        <f t="shared" si="1"/>
        <v>0</v>
      </c>
      <c r="CT11" s="157">
        <f t="shared" si="1"/>
        <v>0</v>
      </c>
      <c r="CU11" s="157">
        <f t="shared" si="1"/>
        <v>0</v>
      </c>
      <c r="CV11" s="157">
        <f t="shared" si="1"/>
        <v>0</v>
      </c>
      <c r="CW11" s="157">
        <f t="shared" si="1"/>
        <v>0</v>
      </c>
      <c r="CX11" s="157">
        <f t="shared" si="1"/>
        <v>0</v>
      </c>
      <c r="CY11" s="157">
        <f t="shared" si="1"/>
        <v>0</v>
      </c>
      <c r="CZ11" s="157">
        <f t="shared" si="1"/>
        <v>0</v>
      </c>
      <c r="DA11" s="157">
        <f t="shared" si="1"/>
        <v>0</v>
      </c>
      <c r="DB11" s="157">
        <f t="shared" si="1"/>
        <v>0</v>
      </c>
      <c r="DC11" s="157">
        <f t="shared" si="1"/>
        <v>0</v>
      </c>
      <c r="DD11" s="157">
        <f t="shared" si="1"/>
        <v>0</v>
      </c>
      <c r="DE11" s="157">
        <f t="shared" si="1"/>
        <v>0</v>
      </c>
      <c r="DF11" s="157">
        <f t="shared" si="1"/>
        <v>0</v>
      </c>
      <c r="DG11" s="157">
        <f t="shared" si="1"/>
        <v>0</v>
      </c>
      <c r="DH11" s="157">
        <f t="shared" si="1"/>
        <v>0</v>
      </c>
      <c r="DI11" s="157">
        <f t="shared" si="1"/>
        <v>0</v>
      </c>
      <c r="DJ11" s="157">
        <f t="shared" si="1"/>
        <v>0</v>
      </c>
      <c r="DK11" s="157">
        <f t="shared" si="1"/>
        <v>0</v>
      </c>
      <c r="DL11" s="157">
        <f t="shared" si="1"/>
        <v>0</v>
      </c>
      <c r="DM11" s="157">
        <f t="shared" si="1"/>
        <v>0</v>
      </c>
      <c r="DN11" s="157">
        <f t="shared" si="1"/>
        <v>0</v>
      </c>
      <c r="DO11" s="157">
        <f t="shared" si="1"/>
        <v>0</v>
      </c>
      <c r="DP11" s="157">
        <f t="shared" si="1"/>
        <v>0</v>
      </c>
      <c r="DQ11" s="157">
        <f t="shared" si="1"/>
        <v>0</v>
      </c>
      <c r="DR11" s="157">
        <f t="shared" si="1"/>
        <v>0</v>
      </c>
      <c r="DS11" s="44"/>
    </row>
    <row r="12" ht="15.0" customHeight="1">
      <c r="A12" s="44"/>
      <c r="B12" s="46" t="s">
        <v>319</v>
      </c>
      <c r="C12" s="152">
        <f t="array" ref="C12">IF($B12="",0,IF(AND(C$3&gt;=INDEX(Inputs!$C:$C,MATCH("*Revenue Start Month*",Inputs!$B:$B,0)),C$3&lt;=INDEX(Inputs!$C:$C,MATCH("End Year",Inputs!$B:$B,0))*12),IncomeExpenses!$C$47/12*(1+INDEX(Inputs!$C:$C,MATCH("*Annual Revenue Growth Rate*",Inputs!$B:$B,0)))^(C$5-1),0))</f>
        <v>0</v>
      </c>
      <c r="D12" s="152">
        <f t="array" ref="D12">IF($B12="",0,IF(AND(D$3&gt;=INDEX(Inputs!$C:$C,MATCH("*Revenue Start Month*",Inputs!$B:$B,0)),D$3&lt;=INDEX(Inputs!$C:$C,MATCH("End Year",Inputs!$B:$B,0))*12),IncomeExpenses!$C$47/12*(1+INDEX(Inputs!$C:$C,MATCH("*Annual Revenue Growth Rate*",Inputs!$B:$B,0)))^(D$5-1),0))</f>
        <v>0</v>
      </c>
      <c r="E12" s="152">
        <f t="array" ref="E12">IF($B12="",0,IF(AND(E$3&gt;=INDEX(Inputs!$C:$C,MATCH("*Revenue Start Month*",Inputs!$B:$B,0)),E$3&lt;=INDEX(Inputs!$C:$C,MATCH("End Year",Inputs!$B:$B,0))*12),IncomeExpenses!$C$47/12*(1+INDEX(Inputs!$C:$C,MATCH("*Annual Revenue Growth Rate*",Inputs!$B:$B,0)))^(E$5-1),0))</f>
        <v>0</v>
      </c>
      <c r="F12" s="152">
        <f t="array" ref="F12">IF($B12="",0,IF(AND(F$3&gt;=INDEX(Inputs!$C:$C,MATCH("*Revenue Start Month*",Inputs!$B:$B,0)),F$3&lt;=INDEX(Inputs!$C:$C,MATCH("End Year",Inputs!$B:$B,0))*12),IncomeExpenses!$C$47/12*(1+INDEX(Inputs!$C:$C,MATCH("*Annual Revenue Growth Rate*",Inputs!$B:$B,0)))^(F$5-1),0))</f>
        <v>0</v>
      </c>
      <c r="G12" s="152">
        <f t="array" ref="G12">IF($B12="",0,IF(AND(G$3&gt;=INDEX(Inputs!$C:$C,MATCH("*Revenue Start Month*",Inputs!$B:$B,0)),G$3&lt;=INDEX(Inputs!$C:$C,MATCH("End Year",Inputs!$B:$B,0))*12),IncomeExpenses!$C$47/12*(1+INDEX(Inputs!$C:$C,MATCH("*Annual Revenue Growth Rate*",Inputs!$B:$B,0)))^(G$5-1),0))</f>
        <v>0</v>
      </c>
      <c r="H12" s="152">
        <f t="array" ref="H12">IF($B12="",0,IF(AND(H$3&gt;=INDEX(Inputs!$C:$C,MATCH("*Revenue Start Month*",Inputs!$B:$B,0)),H$3&lt;=INDEX(Inputs!$C:$C,MATCH("End Year",Inputs!$B:$B,0))*12),IncomeExpenses!$C$47/12*(1+INDEX(Inputs!$C:$C,MATCH("*Annual Revenue Growth Rate*",Inputs!$B:$B,0)))^(H$5-1),0))</f>
        <v>0</v>
      </c>
      <c r="I12" s="152">
        <f t="array" ref="I12">IF($B12="",0,IF(AND(I$3&gt;=INDEX(Inputs!$C:$C,MATCH("*Revenue Start Month*",Inputs!$B:$B,0)),I$3&lt;=INDEX(Inputs!$C:$C,MATCH("End Year",Inputs!$B:$B,0))*12),IncomeExpenses!$C$47/12*(1+INDEX(Inputs!$C:$C,MATCH("*Annual Revenue Growth Rate*",Inputs!$B:$B,0)))^(I$5-1),0))</f>
        <v>0</v>
      </c>
      <c r="J12" s="152">
        <f t="array" ref="J12">IF($B12="",0,IF(AND(J$3&gt;=INDEX(Inputs!$C:$C,MATCH("*Revenue Start Month*",Inputs!$B:$B,0)),J$3&lt;=INDEX(Inputs!$C:$C,MATCH("End Year",Inputs!$B:$B,0))*12),IncomeExpenses!$C$47/12*(1+INDEX(Inputs!$C:$C,MATCH("*Annual Revenue Growth Rate*",Inputs!$B:$B,0)))^(J$5-1),0))</f>
        <v>0</v>
      </c>
      <c r="K12" s="152">
        <f t="array" ref="K12">IF($B12="",0,IF(AND(K$3&gt;=INDEX(Inputs!$C:$C,MATCH("*Revenue Start Month*",Inputs!$B:$B,0)),K$3&lt;=INDEX(Inputs!$C:$C,MATCH("End Year",Inputs!$B:$B,0))*12),IncomeExpenses!$C$47/12*(1+INDEX(Inputs!$C:$C,MATCH("*Annual Revenue Growth Rate*",Inputs!$B:$B,0)))^(K$5-1),0))</f>
        <v>0</v>
      </c>
      <c r="L12" s="152">
        <f t="array" ref="L12">IF($B12="",0,IF(AND(L$3&gt;=INDEX(Inputs!$C:$C,MATCH("*Revenue Start Month*",Inputs!$B:$B,0)),L$3&lt;=INDEX(Inputs!$C:$C,MATCH("End Year",Inputs!$B:$B,0))*12),IncomeExpenses!$C$47/12*(1+INDEX(Inputs!$C:$C,MATCH("*Annual Revenue Growth Rate*",Inputs!$B:$B,0)))^(L$5-1),0))</f>
        <v>0</v>
      </c>
      <c r="M12" s="152">
        <f t="array" ref="M12">IF($B12="",0,IF(AND(M$3&gt;=INDEX(Inputs!$C:$C,MATCH("*Revenue Start Month*",Inputs!$B:$B,0)),M$3&lt;=INDEX(Inputs!$C:$C,MATCH("End Year",Inputs!$B:$B,0))*12),IncomeExpenses!$C$47/12*(1+INDEX(Inputs!$C:$C,MATCH("*Annual Revenue Growth Rate*",Inputs!$B:$B,0)))^(M$5-1),0))</f>
        <v>0</v>
      </c>
      <c r="N12" s="152">
        <f t="array" ref="N12">IF($B12="",0,IF(AND(N$3&gt;=INDEX(Inputs!$C:$C,MATCH("*Revenue Start Month*",Inputs!$B:$B,0)),N$3&lt;=INDEX(Inputs!$C:$C,MATCH("End Year",Inputs!$B:$B,0))*12),IncomeExpenses!$C$47/12*(1+INDEX(Inputs!$C:$C,MATCH("*Annual Revenue Growth Rate*",Inputs!$B:$B,0)))^(N$5-1),0))</f>
        <v>0</v>
      </c>
      <c r="O12" s="152">
        <f t="array" ref="O12">IF($B12="",0,IF(AND(O$3&gt;=INDEX(Inputs!$C:$C,MATCH("*Revenue Start Month*",Inputs!$B:$B,0)),O$3&lt;=INDEX(Inputs!$C:$C,MATCH("End Year",Inputs!$B:$B,0))*12),IncomeExpenses!$C$47/12*(1+INDEX(Inputs!$C:$C,MATCH("*Annual Revenue Growth Rate*",Inputs!$B:$B,0)))^(O$5-1),0))</f>
        <v>0</v>
      </c>
      <c r="P12" s="152">
        <f t="array" ref="P12">IF($B12="",0,IF(AND(P$3&gt;=INDEX(Inputs!$C:$C,MATCH("*Revenue Start Month*",Inputs!$B:$B,0)),P$3&lt;=INDEX(Inputs!$C:$C,MATCH("End Year",Inputs!$B:$B,0))*12),IncomeExpenses!$C$47/12*(1+INDEX(Inputs!$C:$C,MATCH("*Annual Revenue Growth Rate*",Inputs!$B:$B,0)))^(P$5-1),0))</f>
        <v>0</v>
      </c>
      <c r="Q12" s="152">
        <f t="array" ref="Q12">IF($B12="",0,IF(AND(Q$3&gt;=INDEX(Inputs!$C:$C,MATCH("*Revenue Start Month*",Inputs!$B:$B,0)),Q$3&lt;=INDEX(Inputs!$C:$C,MATCH("End Year",Inputs!$B:$B,0))*12),IncomeExpenses!$C$47/12*(1+INDEX(Inputs!$C:$C,MATCH("*Annual Revenue Growth Rate*",Inputs!$B:$B,0)))^(Q$5-1),0))</f>
        <v>0</v>
      </c>
      <c r="R12" s="152">
        <f t="array" ref="R12">IF($B12="",0,IF(AND(R$3&gt;=INDEX(Inputs!$C:$C,MATCH("*Revenue Start Month*",Inputs!$B:$B,0)),R$3&lt;=INDEX(Inputs!$C:$C,MATCH("End Year",Inputs!$B:$B,0))*12),IncomeExpenses!$C$47/12*(1+INDEX(Inputs!$C:$C,MATCH("*Annual Revenue Growth Rate*",Inputs!$B:$B,0)))^(R$5-1),0))</f>
        <v>0</v>
      </c>
      <c r="S12" s="152">
        <f t="array" ref="S12">IF($B12="",0,IF(AND(S$3&gt;=INDEX(Inputs!$C:$C,MATCH("*Revenue Start Month*",Inputs!$B:$B,0)),S$3&lt;=INDEX(Inputs!$C:$C,MATCH("End Year",Inputs!$B:$B,0))*12),IncomeExpenses!$C$47/12*(1+INDEX(Inputs!$C:$C,MATCH("*Annual Revenue Growth Rate*",Inputs!$B:$B,0)))^(S$5-1),0))</f>
        <v>0</v>
      </c>
      <c r="T12" s="152">
        <f t="array" ref="T12">IF($B12="",0,IF(AND(T$3&gt;=INDEX(Inputs!$C:$C,MATCH("*Revenue Start Month*",Inputs!$B:$B,0)),T$3&lt;=INDEX(Inputs!$C:$C,MATCH("End Year",Inputs!$B:$B,0))*12),IncomeExpenses!$C$47/12*(1+INDEX(Inputs!$C:$C,MATCH("*Annual Revenue Growth Rate*",Inputs!$B:$B,0)))^(T$5-1),0))</f>
        <v>0</v>
      </c>
      <c r="U12" s="152">
        <f t="array" ref="U12">IF($B12="",0,IF(AND(U$3&gt;=INDEX(Inputs!$C:$C,MATCH("*Revenue Start Month*",Inputs!$B:$B,0)),U$3&lt;=INDEX(Inputs!$C:$C,MATCH("End Year",Inputs!$B:$B,0))*12),IncomeExpenses!$C$47/12*(1+INDEX(Inputs!$C:$C,MATCH("*Annual Revenue Growth Rate*",Inputs!$B:$B,0)))^(U$5-1),0))</f>
        <v>0</v>
      </c>
      <c r="V12" s="152">
        <f t="array" ref="V12">IF($B12="",0,IF(AND(V$3&gt;=INDEX(Inputs!$C:$C,MATCH("*Revenue Start Month*",Inputs!$B:$B,0)),V$3&lt;=INDEX(Inputs!$C:$C,MATCH("End Year",Inputs!$B:$B,0))*12),IncomeExpenses!$C$47/12*(1+INDEX(Inputs!$C:$C,MATCH("*Annual Revenue Growth Rate*",Inputs!$B:$B,0)))^(V$5-1),0))</f>
        <v>0</v>
      </c>
      <c r="W12" s="152">
        <f t="array" ref="W12">IF($B12="",0,IF(AND(W$3&gt;=INDEX(Inputs!$C:$C,MATCH("*Revenue Start Month*",Inputs!$B:$B,0)),W$3&lt;=INDEX(Inputs!$C:$C,MATCH("End Year",Inputs!$B:$B,0))*12),IncomeExpenses!$C$47/12*(1+INDEX(Inputs!$C:$C,MATCH("*Annual Revenue Growth Rate*",Inputs!$B:$B,0)))^(W$5-1),0))</f>
        <v>0</v>
      </c>
      <c r="X12" s="152">
        <f t="array" ref="X12">IF($B12="",0,IF(AND(X$3&gt;=INDEX(Inputs!$C:$C,MATCH("*Revenue Start Month*",Inputs!$B:$B,0)),X$3&lt;=INDEX(Inputs!$C:$C,MATCH("End Year",Inputs!$B:$B,0))*12),IncomeExpenses!$C$47/12*(1+INDEX(Inputs!$C:$C,MATCH("*Annual Revenue Growth Rate*",Inputs!$B:$B,0)))^(X$5-1),0))</f>
        <v>0</v>
      </c>
      <c r="Y12" s="152">
        <f t="array" ref="Y12">IF($B12="",0,IF(AND(Y$3&gt;=INDEX(Inputs!$C:$C,MATCH("*Revenue Start Month*",Inputs!$B:$B,0)),Y$3&lt;=INDEX(Inputs!$C:$C,MATCH("End Year",Inputs!$B:$B,0))*12),IncomeExpenses!$C$47/12*(1+INDEX(Inputs!$C:$C,MATCH("*Annual Revenue Growth Rate*",Inputs!$B:$B,0)))^(Y$5-1),0))</f>
        <v>0</v>
      </c>
      <c r="Z12" s="152">
        <f t="array" ref="Z12">IF($B12="",0,IF(AND(Z$3&gt;=INDEX(Inputs!$C:$C,MATCH("*Revenue Start Month*",Inputs!$B:$B,0)),Z$3&lt;=INDEX(Inputs!$C:$C,MATCH("End Year",Inputs!$B:$B,0))*12),IncomeExpenses!$C$47/12*(1+INDEX(Inputs!$C:$C,MATCH("*Annual Revenue Growth Rate*",Inputs!$B:$B,0)))^(Z$5-1),0))</f>
        <v>0</v>
      </c>
      <c r="AA12" s="152">
        <f t="array" ref="AA12">IF($B12="",0,IF(AND(AA$3&gt;=INDEX(Inputs!$C:$C,MATCH("*Revenue Start Month*",Inputs!$B:$B,0)),AA$3&lt;=INDEX(Inputs!$C:$C,MATCH("End Year",Inputs!$B:$B,0))*12),IncomeExpenses!$C$47/12*(1+INDEX(Inputs!$C:$C,MATCH("*Annual Revenue Growth Rate*",Inputs!$B:$B,0)))^(AA$5-1),0))</f>
        <v>0</v>
      </c>
      <c r="AB12" s="152">
        <f t="array" ref="AB12">IF($B12="",0,IF(AND(AB$3&gt;=INDEX(Inputs!$C:$C,MATCH("*Revenue Start Month*",Inputs!$B:$B,0)),AB$3&lt;=INDEX(Inputs!$C:$C,MATCH("End Year",Inputs!$B:$B,0))*12),IncomeExpenses!$C$47/12*(1+INDEX(Inputs!$C:$C,MATCH("*Annual Revenue Growth Rate*",Inputs!$B:$B,0)))^(AB$5-1),0))</f>
        <v>0</v>
      </c>
      <c r="AC12" s="152">
        <f t="array" ref="AC12">IF($B12="",0,IF(AND(AC$3&gt;=INDEX(Inputs!$C:$C,MATCH("*Revenue Start Month*",Inputs!$B:$B,0)),AC$3&lt;=INDEX(Inputs!$C:$C,MATCH("End Year",Inputs!$B:$B,0))*12),IncomeExpenses!$C$47/12*(1+INDEX(Inputs!$C:$C,MATCH("*Annual Revenue Growth Rate*",Inputs!$B:$B,0)))^(AC$5-1),0))</f>
        <v>0</v>
      </c>
      <c r="AD12" s="152">
        <f t="array" ref="AD12">IF($B12="",0,IF(AND(AD$3&gt;=INDEX(Inputs!$C:$C,MATCH("*Revenue Start Month*",Inputs!$B:$B,0)),AD$3&lt;=INDEX(Inputs!$C:$C,MATCH("End Year",Inputs!$B:$B,0))*12),IncomeExpenses!$C$47/12*(1+INDEX(Inputs!$C:$C,MATCH("*Annual Revenue Growth Rate*",Inputs!$B:$B,0)))^(AD$5-1),0))</f>
        <v>0</v>
      </c>
      <c r="AE12" s="152">
        <f t="array" ref="AE12">IF($B12="",0,IF(AND(AE$3&gt;=INDEX(Inputs!$C:$C,MATCH("*Revenue Start Month*",Inputs!$B:$B,0)),AE$3&lt;=INDEX(Inputs!$C:$C,MATCH("End Year",Inputs!$B:$B,0))*12),IncomeExpenses!$C$47/12*(1+INDEX(Inputs!$C:$C,MATCH("*Annual Revenue Growth Rate*",Inputs!$B:$B,0)))^(AE$5-1),0))</f>
        <v>0</v>
      </c>
      <c r="AF12" s="152">
        <f t="array" ref="AF12">IF($B12="",0,IF(AND(AF$3&gt;=INDEX(Inputs!$C:$C,MATCH("*Revenue Start Month*",Inputs!$B:$B,0)),AF$3&lt;=INDEX(Inputs!$C:$C,MATCH("End Year",Inputs!$B:$B,0))*12),IncomeExpenses!$C$47/12*(1+INDEX(Inputs!$C:$C,MATCH("*Annual Revenue Growth Rate*",Inputs!$B:$B,0)))^(AF$5-1),0))</f>
        <v>0</v>
      </c>
      <c r="AG12" s="152">
        <f t="array" ref="AG12">IF($B12="",0,IF(AND(AG$3&gt;=INDEX(Inputs!$C:$C,MATCH("*Revenue Start Month*",Inputs!$B:$B,0)),AG$3&lt;=INDEX(Inputs!$C:$C,MATCH("End Year",Inputs!$B:$B,0))*12),IncomeExpenses!$C$47/12*(1+INDEX(Inputs!$C:$C,MATCH("*Annual Revenue Growth Rate*",Inputs!$B:$B,0)))^(AG$5-1),0))</f>
        <v>0</v>
      </c>
      <c r="AH12" s="152">
        <f t="array" ref="AH12">IF($B12="",0,IF(AND(AH$3&gt;=INDEX(Inputs!$C:$C,MATCH("*Revenue Start Month*",Inputs!$B:$B,0)),AH$3&lt;=INDEX(Inputs!$C:$C,MATCH("End Year",Inputs!$B:$B,0))*12),IncomeExpenses!$C$47/12*(1+INDEX(Inputs!$C:$C,MATCH("*Annual Revenue Growth Rate*",Inputs!$B:$B,0)))^(AH$5-1),0))</f>
        <v>0</v>
      </c>
      <c r="AI12" s="152">
        <f t="array" ref="AI12">IF($B12="",0,IF(AND(AI$3&gt;=INDEX(Inputs!$C:$C,MATCH("*Revenue Start Month*",Inputs!$B:$B,0)),AI$3&lt;=INDEX(Inputs!$C:$C,MATCH("End Year",Inputs!$B:$B,0))*12),IncomeExpenses!$C$47/12*(1+INDEX(Inputs!$C:$C,MATCH("*Annual Revenue Growth Rate*",Inputs!$B:$B,0)))^(AI$5-1),0))</f>
        <v>0</v>
      </c>
      <c r="AJ12" s="152">
        <f t="array" ref="AJ12">IF($B12="",0,IF(AND(AJ$3&gt;=INDEX(Inputs!$C:$C,MATCH("*Revenue Start Month*",Inputs!$B:$B,0)),AJ$3&lt;=INDEX(Inputs!$C:$C,MATCH("End Year",Inputs!$B:$B,0))*12),IncomeExpenses!$C$47/12*(1+INDEX(Inputs!$C:$C,MATCH("*Annual Revenue Growth Rate*",Inputs!$B:$B,0)))^(AJ$5-1),0))</f>
        <v>0</v>
      </c>
      <c r="AK12" s="152">
        <f t="array" ref="AK12">IF($B12="",0,IF(AND(AK$3&gt;=INDEX(Inputs!$C:$C,MATCH("*Revenue Start Month*",Inputs!$B:$B,0)),AK$3&lt;=INDEX(Inputs!$C:$C,MATCH("End Year",Inputs!$B:$B,0))*12),IncomeExpenses!$C$47/12*(1+INDEX(Inputs!$C:$C,MATCH("*Annual Revenue Growth Rate*",Inputs!$B:$B,0)))^(AK$5-1),0))</f>
        <v>0</v>
      </c>
      <c r="AL12" s="152">
        <f t="array" ref="AL12">IF($B12="",0,IF(AND(AL$3&gt;=INDEX(Inputs!$C:$C,MATCH("*Revenue Start Month*",Inputs!$B:$B,0)),AL$3&lt;=INDEX(Inputs!$C:$C,MATCH("End Year",Inputs!$B:$B,0))*12),IncomeExpenses!$C$47/12*(1+INDEX(Inputs!$C:$C,MATCH("*Annual Revenue Growth Rate*",Inputs!$B:$B,0)))^(AL$5-1),0))</f>
        <v>0</v>
      </c>
      <c r="AM12" s="152">
        <f t="array" ref="AM12">IF($B12="",0,IF(AND(AM$3&gt;=INDEX(Inputs!$C:$C,MATCH("*Revenue Start Month*",Inputs!$B:$B,0)),AM$3&lt;=INDEX(Inputs!$C:$C,MATCH("End Year",Inputs!$B:$B,0))*12),IncomeExpenses!$C$47/12*(1+INDEX(Inputs!$C:$C,MATCH("*Annual Revenue Growth Rate*",Inputs!$B:$B,0)))^(AM$5-1),0))</f>
        <v>0</v>
      </c>
      <c r="AN12" s="152">
        <f t="array" ref="AN12">IF($B12="",0,IF(AND(AN$3&gt;=INDEX(Inputs!$C:$C,MATCH("*Revenue Start Month*",Inputs!$B:$B,0)),AN$3&lt;=INDEX(Inputs!$C:$C,MATCH("End Year",Inputs!$B:$B,0))*12),IncomeExpenses!$C$47/12*(1+INDEX(Inputs!$C:$C,MATCH("*Annual Revenue Growth Rate*",Inputs!$B:$B,0)))^(AN$5-1),0))</f>
        <v>0</v>
      </c>
      <c r="AO12" s="152">
        <f t="array" ref="AO12">IF($B12="",0,IF(AND(AO$3&gt;=INDEX(Inputs!$C:$C,MATCH("*Revenue Start Month*",Inputs!$B:$B,0)),AO$3&lt;=INDEX(Inputs!$C:$C,MATCH("End Year",Inputs!$B:$B,0))*12),IncomeExpenses!$C$47/12*(1+INDEX(Inputs!$C:$C,MATCH("*Annual Revenue Growth Rate*",Inputs!$B:$B,0)))^(AO$5-1),0))</f>
        <v>0</v>
      </c>
      <c r="AP12" s="152">
        <f t="array" ref="AP12">IF($B12="",0,IF(AND(AP$3&gt;=INDEX(Inputs!$C:$C,MATCH("*Revenue Start Month*",Inputs!$B:$B,0)),AP$3&lt;=INDEX(Inputs!$C:$C,MATCH("End Year",Inputs!$B:$B,0))*12),IncomeExpenses!$C$47/12*(1+INDEX(Inputs!$C:$C,MATCH("*Annual Revenue Growth Rate*",Inputs!$B:$B,0)))^(AP$5-1),0))</f>
        <v>0</v>
      </c>
      <c r="AQ12" s="152">
        <f t="array" ref="AQ12">IF($B12="",0,IF(AND(AQ$3&gt;=INDEX(Inputs!$C:$C,MATCH("*Revenue Start Month*",Inputs!$B:$B,0)),AQ$3&lt;=INDEX(Inputs!$C:$C,MATCH("End Year",Inputs!$B:$B,0))*12),IncomeExpenses!$C$47/12*(1+INDEX(Inputs!$C:$C,MATCH("*Annual Revenue Growth Rate*",Inputs!$B:$B,0)))^(AQ$5-1),0))</f>
        <v>0</v>
      </c>
      <c r="AR12" s="152">
        <f t="array" ref="AR12">IF($B12="",0,IF(AND(AR$3&gt;=INDEX(Inputs!$C:$C,MATCH("*Revenue Start Month*",Inputs!$B:$B,0)),AR$3&lt;=INDEX(Inputs!$C:$C,MATCH("End Year",Inputs!$B:$B,0))*12),IncomeExpenses!$C$47/12*(1+INDEX(Inputs!$C:$C,MATCH("*Annual Revenue Growth Rate*",Inputs!$B:$B,0)))^(AR$5-1),0))</f>
        <v>0</v>
      </c>
      <c r="AS12" s="152">
        <f t="array" ref="AS12">IF($B12="",0,IF(AND(AS$3&gt;=INDEX(Inputs!$C:$C,MATCH("*Revenue Start Month*",Inputs!$B:$B,0)),AS$3&lt;=INDEX(Inputs!$C:$C,MATCH("End Year",Inputs!$B:$B,0))*12),IncomeExpenses!$C$47/12*(1+INDEX(Inputs!$C:$C,MATCH("*Annual Revenue Growth Rate*",Inputs!$B:$B,0)))^(AS$5-1),0))</f>
        <v>0</v>
      </c>
      <c r="AT12" s="152">
        <f t="array" ref="AT12">IF($B12="",0,IF(AND(AT$3&gt;=INDEX(Inputs!$C:$C,MATCH("*Revenue Start Month*",Inputs!$B:$B,0)),AT$3&lt;=INDEX(Inputs!$C:$C,MATCH("End Year",Inputs!$B:$B,0))*12),IncomeExpenses!$C$47/12*(1+INDEX(Inputs!$C:$C,MATCH("*Annual Revenue Growth Rate*",Inputs!$B:$B,0)))^(AT$5-1),0))</f>
        <v>0</v>
      </c>
      <c r="AU12" s="152">
        <f t="array" ref="AU12">IF($B12="",0,IF(AND(AU$3&gt;=INDEX(Inputs!$C:$C,MATCH("*Revenue Start Month*",Inputs!$B:$B,0)),AU$3&lt;=INDEX(Inputs!$C:$C,MATCH("End Year",Inputs!$B:$B,0))*12),IncomeExpenses!$C$47/12*(1+INDEX(Inputs!$C:$C,MATCH("*Annual Revenue Growth Rate*",Inputs!$B:$B,0)))^(AU$5-1),0))</f>
        <v>0</v>
      </c>
      <c r="AV12" s="152">
        <f t="array" ref="AV12">IF($B12="",0,IF(AND(AV$3&gt;=INDEX(Inputs!$C:$C,MATCH("*Revenue Start Month*",Inputs!$B:$B,0)),AV$3&lt;=INDEX(Inputs!$C:$C,MATCH("End Year",Inputs!$B:$B,0))*12),IncomeExpenses!$C$47/12*(1+INDEX(Inputs!$C:$C,MATCH("*Annual Revenue Growth Rate*",Inputs!$B:$B,0)))^(AV$5-1),0))</f>
        <v>0</v>
      </c>
      <c r="AW12" s="152">
        <f t="array" ref="AW12">IF($B12="",0,IF(AND(AW$3&gt;=INDEX(Inputs!$C:$C,MATCH("*Revenue Start Month*",Inputs!$B:$B,0)),AW$3&lt;=INDEX(Inputs!$C:$C,MATCH("End Year",Inputs!$B:$B,0))*12),IncomeExpenses!$C$47/12*(1+INDEX(Inputs!$C:$C,MATCH("*Annual Revenue Growth Rate*",Inputs!$B:$B,0)))^(AW$5-1),0))</f>
        <v>0</v>
      </c>
      <c r="AX12" s="152">
        <f t="array" ref="AX12">IF($B12="",0,IF(AND(AX$3&gt;=INDEX(Inputs!$C:$C,MATCH("*Revenue Start Month*",Inputs!$B:$B,0)),AX$3&lt;=INDEX(Inputs!$C:$C,MATCH("End Year",Inputs!$B:$B,0))*12),IncomeExpenses!$C$47/12*(1+INDEX(Inputs!$C:$C,MATCH("*Annual Revenue Growth Rate*",Inputs!$B:$B,0)))^(AX$5-1),0))</f>
        <v>0</v>
      </c>
      <c r="AY12" s="152">
        <f t="array" ref="AY12">IF($B12="",0,IF(AND(AY$3&gt;=INDEX(Inputs!$C:$C,MATCH("*Revenue Start Month*",Inputs!$B:$B,0)),AY$3&lt;=INDEX(Inputs!$C:$C,MATCH("End Year",Inputs!$B:$B,0))*12),IncomeExpenses!$C$47/12*(1+INDEX(Inputs!$C:$C,MATCH("*Annual Revenue Growth Rate*",Inputs!$B:$B,0)))^(AY$5-1),0))</f>
        <v>0</v>
      </c>
      <c r="AZ12" s="152">
        <f t="array" ref="AZ12">IF($B12="",0,IF(AND(AZ$3&gt;=INDEX(Inputs!$C:$C,MATCH("*Revenue Start Month*",Inputs!$B:$B,0)),AZ$3&lt;=INDEX(Inputs!$C:$C,MATCH("End Year",Inputs!$B:$B,0))*12),IncomeExpenses!$C$47/12*(1+INDEX(Inputs!$C:$C,MATCH("*Annual Revenue Growth Rate*",Inputs!$B:$B,0)))^(AZ$5-1),0))</f>
        <v>0</v>
      </c>
      <c r="BA12" s="152">
        <f t="array" ref="BA12">IF($B12="",0,IF(AND(BA$3&gt;=INDEX(Inputs!$C:$C,MATCH("*Revenue Start Month*",Inputs!$B:$B,0)),BA$3&lt;=INDEX(Inputs!$C:$C,MATCH("End Year",Inputs!$B:$B,0))*12),IncomeExpenses!$C$47/12*(1+INDEX(Inputs!$C:$C,MATCH("*Annual Revenue Growth Rate*",Inputs!$B:$B,0)))^(BA$5-1),0))</f>
        <v>0</v>
      </c>
      <c r="BB12" s="152">
        <f t="array" ref="BB12">IF($B12="",0,IF(AND(BB$3&gt;=INDEX(Inputs!$C:$C,MATCH("*Revenue Start Month*",Inputs!$B:$B,0)),BB$3&lt;=INDEX(Inputs!$C:$C,MATCH("End Year",Inputs!$B:$B,0))*12),IncomeExpenses!$C$47/12*(1+INDEX(Inputs!$C:$C,MATCH("*Annual Revenue Growth Rate*",Inputs!$B:$B,0)))^(BB$5-1),0))</f>
        <v>0</v>
      </c>
      <c r="BC12" s="152">
        <f t="array" ref="BC12">IF($B12="",0,IF(AND(BC$3&gt;=INDEX(Inputs!$C:$C,MATCH("*Revenue Start Month*",Inputs!$B:$B,0)),BC$3&lt;=INDEX(Inputs!$C:$C,MATCH("End Year",Inputs!$B:$B,0))*12),IncomeExpenses!$C$47/12*(1+INDEX(Inputs!$C:$C,MATCH("*Annual Revenue Growth Rate*",Inputs!$B:$B,0)))^(BC$5-1),0))</f>
        <v>0</v>
      </c>
      <c r="BD12" s="152">
        <f t="array" ref="BD12">IF($B12="",0,IF(AND(BD$3&gt;=INDEX(Inputs!$C:$C,MATCH("*Revenue Start Month*",Inputs!$B:$B,0)),BD$3&lt;=INDEX(Inputs!$C:$C,MATCH("End Year",Inputs!$B:$B,0))*12),IncomeExpenses!$C$47/12*(1+INDEX(Inputs!$C:$C,MATCH("*Annual Revenue Growth Rate*",Inputs!$B:$B,0)))^(BD$5-1),0))</f>
        <v>0</v>
      </c>
      <c r="BE12" s="152">
        <f t="array" ref="BE12">IF($B12="",0,IF(AND(BE$3&gt;=INDEX(Inputs!$C:$C,MATCH("*Revenue Start Month*",Inputs!$B:$B,0)),BE$3&lt;=INDEX(Inputs!$C:$C,MATCH("End Year",Inputs!$B:$B,0))*12),IncomeExpenses!$C$47/12*(1+INDEX(Inputs!$C:$C,MATCH("*Annual Revenue Growth Rate*",Inputs!$B:$B,0)))^(BE$5-1),0))</f>
        <v>0</v>
      </c>
      <c r="BF12" s="152">
        <f t="array" ref="BF12">IF($B12="",0,IF(AND(BF$3&gt;=INDEX(Inputs!$C:$C,MATCH("*Revenue Start Month*",Inputs!$B:$B,0)),BF$3&lt;=INDEX(Inputs!$C:$C,MATCH("End Year",Inputs!$B:$B,0))*12),IncomeExpenses!$C$47/12*(1+INDEX(Inputs!$C:$C,MATCH("*Annual Revenue Growth Rate*",Inputs!$B:$B,0)))^(BF$5-1),0))</f>
        <v>0</v>
      </c>
      <c r="BG12" s="152">
        <f t="array" ref="BG12">IF($B12="",0,IF(AND(BG$3&gt;=INDEX(Inputs!$C:$C,MATCH("*Revenue Start Month*",Inputs!$B:$B,0)),BG$3&lt;=INDEX(Inputs!$C:$C,MATCH("End Year",Inputs!$B:$B,0))*12),IncomeExpenses!$C$47/12*(1+INDEX(Inputs!$C:$C,MATCH("*Annual Revenue Growth Rate*",Inputs!$B:$B,0)))^(BG$5-1),0))</f>
        <v>0</v>
      </c>
      <c r="BH12" s="152">
        <f t="array" ref="BH12">IF($B12="",0,IF(AND(BH$3&gt;=INDEX(Inputs!$C:$C,MATCH("*Revenue Start Month*",Inputs!$B:$B,0)),BH$3&lt;=INDEX(Inputs!$C:$C,MATCH("End Year",Inputs!$B:$B,0))*12),IncomeExpenses!$C$47/12*(1+INDEX(Inputs!$C:$C,MATCH("*Annual Revenue Growth Rate*",Inputs!$B:$B,0)))^(BH$5-1),0))</f>
        <v>0</v>
      </c>
      <c r="BI12" s="152">
        <f t="array" ref="BI12">IF($B12="",0,IF(AND(BI$3&gt;=INDEX(Inputs!$C:$C,MATCH("*Revenue Start Month*",Inputs!$B:$B,0)),BI$3&lt;=INDEX(Inputs!$C:$C,MATCH("End Year",Inputs!$B:$B,0))*12),IncomeExpenses!$C$47/12*(1+INDEX(Inputs!$C:$C,MATCH("*Annual Revenue Growth Rate*",Inputs!$B:$B,0)))^(BI$5-1),0))</f>
        <v>0</v>
      </c>
      <c r="BJ12" s="152">
        <f t="array" ref="BJ12">IF($B12="",0,IF(AND(BJ$3&gt;=INDEX(Inputs!$C:$C,MATCH("*Revenue Start Month*",Inputs!$B:$B,0)),BJ$3&lt;=INDEX(Inputs!$C:$C,MATCH("End Year",Inputs!$B:$B,0))*12),IncomeExpenses!$C$47/12*(1+INDEX(Inputs!$C:$C,MATCH("*Annual Revenue Growth Rate*",Inputs!$B:$B,0)))^(BJ$5-1),0))</f>
        <v>0</v>
      </c>
      <c r="BK12" s="152">
        <f t="array" ref="BK12">IF($B12="",0,IF(AND(BK$3&gt;=INDEX(Inputs!$C:$C,MATCH("*Revenue Start Month*",Inputs!$B:$B,0)),BK$3&lt;=INDEX(Inputs!$C:$C,MATCH("End Year",Inputs!$B:$B,0))*12),IncomeExpenses!$C$47/12*(1+INDEX(Inputs!$C:$C,MATCH("*Annual Revenue Growth Rate*",Inputs!$B:$B,0)))^(BK$5-1),0))</f>
        <v>0</v>
      </c>
      <c r="BL12" s="152">
        <f t="array" ref="BL12">IF($B12="",0,IF(AND(BL$3&gt;=INDEX(Inputs!$C:$C,MATCH("*Revenue Start Month*",Inputs!$B:$B,0)),BL$3&lt;=INDEX(Inputs!$C:$C,MATCH("End Year",Inputs!$B:$B,0))*12),IncomeExpenses!$C$47/12*(1+INDEX(Inputs!$C:$C,MATCH("*Annual Revenue Growth Rate*",Inputs!$B:$B,0)))^(BL$5-1),0))</f>
        <v>0</v>
      </c>
      <c r="BM12" s="152">
        <f t="array" ref="BM12">IF($B12="",0,IF(AND(BM$3&gt;=INDEX(Inputs!$C:$C,MATCH("*Revenue Start Month*",Inputs!$B:$B,0)),BM$3&lt;=INDEX(Inputs!$C:$C,MATCH("End Year",Inputs!$B:$B,0))*12),IncomeExpenses!$C$47/12*(1+INDEX(Inputs!$C:$C,MATCH("*Annual Revenue Growth Rate*",Inputs!$B:$B,0)))^(BM$5-1),0))</f>
        <v>0</v>
      </c>
      <c r="BN12" s="152">
        <f t="array" ref="BN12">IF($B12="",0,IF(AND(BN$3&gt;=INDEX(Inputs!$C:$C,MATCH("*Revenue Start Month*",Inputs!$B:$B,0)),BN$3&lt;=INDEX(Inputs!$C:$C,MATCH("End Year",Inputs!$B:$B,0))*12),IncomeExpenses!$C$47/12*(1+INDEX(Inputs!$C:$C,MATCH("*Annual Revenue Growth Rate*",Inputs!$B:$B,0)))^(BN$5-1),0))</f>
        <v>0</v>
      </c>
      <c r="BO12" s="152">
        <f t="array" ref="BO12">IF($B12="",0,IF(AND(BO$3&gt;=INDEX(Inputs!$C:$C,MATCH("*Revenue Start Month*",Inputs!$B:$B,0)),BO$3&lt;=INDEX(Inputs!$C:$C,MATCH("End Year",Inputs!$B:$B,0))*12),IncomeExpenses!$C$47/12*(1+INDEX(Inputs!$C:$C,MATCH("*Annual Revenue Growth Rate*",Inputs!$B:$B,0)))^(BO$5-1),0))</f>
        <v>0</v>
      </c>
      <c r="BP12" s="152">
        <f t="array" ref="BP12">IF($B12="",0,IF(AND(BP$3&gt;=INDEX(Inputs!$C:$C,MATCH("*Revenue Start Month*",Inputs!$B:$B,0)),BP$3&lt;=INDEX(Inputs!$C:$C,MATCH("End Year",Inputs!$B:$B,0))*12),IncomeExpenses!$C$47/12*(1+INDEX(Inputs!$C:$C,MATCH("*Annual Revenue Growth Rate*",Inputs!$B:$B,0)))^(BP$5-1),0))</f>
        <v>0</v>
      </c>
      <c r="BQ12" s="152">
        <f t="array" ref="BQ12">IF($B12="",0,IF(AND(BQ$3&gt;=INDEX(Inputs!$C:$C,MATCH("*Revenue Start Month*",Inputs!$B:$B,0)),BQ$3&lt;=INDEX(Inputs!$C:$C,MATCH("End Year",Inputs!$B:$B,0))*12),IncomeExpenses!$C$47/12*(1+INDEX(Inputs!$C:$C,MATCH("*Annual Revenue Growth Rate*",Inputs!$B:$B,0)))^(BQ$5-1),0))</f>
        <v>0</v>
      </c>
      <c r="BR12" s="152">
        <f t="array" ref="BR12">IF($B12="",0,IF(AND(BR$3&gt;=INDEX(Inputs!$C:$C,MATCH("*Revenue Start Month*",Inputs!$B:$B,0)),BR$3&lt;=INDEX(Inputs!$C:$C,MATCH("End Year",Inputs!$B:$B,0))*12),IncomeExpenses!$C$47/12*(1+INDEX(Inputs!$C:$C,MATCH("*Annual Revenue Growth Rate*",Inputs!$B:$B,0)))^(BR$5-1),0))</f>
        <v>0</v>
      </c>
      <c r="BS12" s="152">
        <f t="array" ref="BS12">IF($B12="",0,IF(AND(BS$3&gt;=INDEX(Inputs!$C:$C,MATCH("*Revenue Start Month*",Inputs!$B:$B,0)),BS$3&lt;=INDEX(Inputs!$C:$C,MATCH("End Year",Inputs!$B:$B,0))*12),IncomeExpenses!$C$47/12*(1+INDEX(Inputs!$C:$C,MATCH("*Annual Revenue Growth Rate*",Inputs!$B:$B,0)))^(BS$5-1),0))</f>
        <v>0</v>
      </c>
      <c r="BT12" s="152">
        <f t="array" ref="BT12">IF($B12="",0,IF(AND(BT$3&gt;=INDEX(Inputs!$C:$C,MATCH("*Revenue Start Month*",Inputs!$B:$B,0)),BT$3&lt;=INDEX(Inputs!$C:$C,MATCH("End Year",Inputs!$B:$B,0))*12),IncomeExpenses!$C$47/12*(1+INDEX(Inputs!$C:$C,MATCH("*Annual Revenue Growth Rate*",Inputs!$B:$B,0)))^(BT$5-1),0))</f>
        <v>0</v>
      </c>
      <c r="BU12" s="152">
        <f t="array" ref="BU12">IF($B12="",0,IF(AND(BU$3&gt;=INDEX(Inputs!$C:$C,MATCH("*Revenue Start Month*",Inputs!$B:$B,0)),BU$3&lt;=INDEX(Inputs!$C:$C,MATCH("End Year",Inputs!$B:$B,0))*12),IncomeExpenses!$C$47/12*(1+INDEX(Inputs!$C:$C,MATCH("*Annual Revenue Growth Rate*",Inputs!$B:$B,0)))^(BU$5-1),0))</f>
        <v>0</v>
      </c>
      <c r="BV12" s="152">
        <f t="array" ref="BV12">IF($B12="",0,IF(AND(BV$3&gt;=INDEX(Inputs!$C:$C,MATCH("*Revenue Start Month*",Inputs!$B:$B,0)),BV$3&lt;=INDEX(Inputs!$C:$C,MATCH("End Year",Inputs!$B:$B,0))*12),IncomeExpenses!$C$47/12*(1+INDEX(Inputs!$C:$C,MATCH("*Annual Revenue Growth Rate*",Inputs!$B:$B,0)))^(BV$5-1),0))</f>
        <v>0</v>
      </c>
      <c r="BW12" s="152">
        <f t="array" ref="BW12">IF($B12="",0,IF(AND(BW$3&gt;=INDEX(Inputs!$C:$C,MATCH("*Revenue Start Month*",Inputs!$B:$B,0)),BW$3&lt;=INDEX(Inputs!$C:$C,MATCH("End Year",Inputs!$B:$B,0))*12),IncomeExpenses!$C$47/12*(1+INDEX(Inputs!$C:$C,MATCH("*Annual Revenue Growth Rate*",Inputs!$B:$B,0)))^(BW$5-1),0))</f>
        <v>0</v>
      </c>
      <c r="BX12" s="152">
        <f t="array" ref="BX12">IF($B12="",0,IF(AND(BX$3&gt;=INDEX(Inputs!$C:$C,MATCH("*Revenue Start Month*",Inputs!$B:$B,0)),BX$3&lt;=INDEX(Inputs!$C:$C,MATCH("End Year",Inputs!$B:$B,0))*12),IncomeExpenses!$C$47/12*(1+INDEX(Inputs!$C:$C,MATCH("*Annual Revenue Growth Rate*",Inputs!$B:$B,0)))^(BX$5-1),0))</f>
        <v>0</v>
      </c>
      <c r="BY12" s="152">
        <f t="array" ref="BY12">IF($B12="",0,IF(AND(BY$3&gt;=INDEX(Inputs!$C:$C,MATCH("*Revenue Start Month*",Inputs!$B:$B,0)),BY$3&lt;=INDEX(Inputs!$C:$C,MATCH("End Year",Inputs!$B:$B,0))*12),IncomeExpenses!$C$47/12*(1+INDEX(Inputs!$C:$C,MATCH("*Annual Revenue Growth Rate*",Inputs!$B:$B,0)))^(BY$5-1),0))</f>
        <v>0</v>
      </c>
      <c r="BZ12" s="152">
        <f t="array" ref="BZ12">IF($B12="",0,IF(AND(BZ$3&gt;=INDEX(Inputs!$C:$C,MATCH("*Revenue Start Month*",Inputs!$B:$B,0)),BZ$3&lt;=INDEX(Inputs!$C:$C,MATCH("End Year",Inputs!$B:$B,0))*12),IncomeExpenses!$C$47/12*(1+INDEX(Inputs!$C:$C,MATCH("*Annual Revenue Growth Rate*",Inputs!$B:$B,0)))^(BZ$5-1),0))</f>
        <v>0</v>
      </c>
      <c r="CA12" s="152">
        <f t="array" ref="CA12">IF($B12="",0,IF(AND(CA$3&gt;=INDEX(Inputs!$C:$C,MATCH("*Revenue Start Month*",Inputs!$B:$B,0)),CA$3&lt;=INDEX(Inputs!$C:$C,MATCH("End Year",Inputs!$B:$B,0))*12),IncomeExpenses!$C$47/12*(1+INDEX(Inputs!$C:$C,MATCH("*Annual Revenue Growth Rate*",Inputs!$B:$B,0)))^(CA$5-1),0))</f>
        <v>0</v>
      </c>
      <c r="CB12" s="152">
        <f t="array" ref="CB12">IF($B12="",0,IF(AND(CB$3&gt;=INDEX(Inputs!$C:$C,MATCH("*Revenue Start Month*",Inputs!$B:$B,0)),CB$3&lt;=INDEX(Inputs!$C:$C,MATCH("End Year",Inputs!$B:$B,0))*12),IncomeExpenses!$C$47/12*(1+INDEX(Inputs!$C:$C,MATCH("*Annual Revenue Growth Rate*",Inputs!$B:$B,0)))^(CB$5-1),0))</f>
        <v>0</v>
      </c>
      <c r="CC12" s="152">
        <f t="array" ref="CC12">IF($B12="",0,IF(AND(CC$3&gt;=INDEX(Inputs!$C:$C,MATCH("*Revenue Start Month*",Inputs!$B:$B,0)),CC$3&lt;=INDEX(Inputs!$C:$C,MATCH("End Year",Inputs!$B:$B,0))*12),IncomeExpenses!$C$47/12*(1+INDEX(Inputs!$C:$C,MATCH("*Annual Revenue Growth Rate*",Inputs!$B:$B,0)))^(CC$5-1),0))</f>
        <v>0</v>
      </c>
      <c r="CD12" s="152">
        <f t="array" ref="CD12">IF($B12="",0,IF(AND(CD$3&gt;=INDEX(Inputs!$C:$C,MATCH("*Revenue Start Month*",Inputs!$B:$B,0)),CD$3&lt;=INDEX(Inputs!$C:$C,MATCH("End Year",Inputs!$B:$B,0))*12),IncomeExpenses!$C$47/12*(1+INDEX(Inputs!$C:$C,MATCH("*Annual Revenue Growth Rate*",Inputs!$B:$B,0)))^(CD$5-1),0))</f>
        <v>0</v>
      </c>
      <c r="CE12" s="152">
        <f t="array" ref="CE12">IF($B12="",0,IF(AND(CE$3&gt;=INDEX(Inputs!$C:$C,MATCH("*Revenue Start Month*",Inputs!$B:$B,0)),CE$3&lt;=INDEX(Inputs!$C:$C,MATCH("End Year",Inputs!$B:$B,0))*12),IncomeExpenses!$C$47/12*(1+INDEX(Inputs!$C:$C,MATCH("*Annual Revenue Growth Rate*",Inputs!$B:$B,0)))^(CE$5-1),0))</f>
        <v>0</v>
      </c>
      <c r="CF12" s="152">
        <f t="array" ref="CF12">IF($B12="",0,IF(AND(CF$3&gt;=INDEX(Inputs!$C:$C,MATCH("*Revenue Start Month*",Inputs!$B:$B,0)),CF$3&lt;=INDEX(Inputs!$C:$C,MATCH("End Year",Inputs!$B:$B,0))*12),IncomeExpenses!$C$47/12*(1+INDEX(Inputs!$C:$C,MATCH("*Annual Revenue Growth Rate*",Inputs!$B:$B,0)))^(CF$5-1),0))</f>
        <v>0</v>
      </c>
      <c r="CG12" s="152">
        <f t="array" ref="CG12">IF($B12="",0,IF(AND(CG$3&gt;=INDEX(Inputs!$C:$C,MATCH("*Revenue Start Month*",Inputs!$B:$B,0)),CG$3&lt;=INDEX(Inputs!$C:$C,MATCH("End Year",Inputs!$B:$B,0))*12),IncomeExpenses!$C$47/12*(1+INDEX(Inputs!$C:$C,MATCH("*Annual Revenue Growth Rate*",Inputs!$B:$B,0)))^(CG$5-1),0))</f>
        <v>0</v>
      </c>
      <c r="CH12" s="152">
        <f t="array" ref="CH12">IF($B12="",0,IF(AND(CH$3&gt;=INDEX(Inputs!$C:$C,MATCH("*Revenue Start Month*",Inputs!$B:$B,0)),CH$3&lt;=INDEX(Inputs!$C:$C,MATCH("End Year",Inputs!$B:$B,0))*12),IncomeExpenses!$C$47/12*(1+INDEX(Inputs!$C:$C,MATCH("*Annual Revenue Growth Rate*",Inputs!$B:$B,0)))^(CH$5-1),0))</f>
        <v>0</v>
      </c>
      <c r="CI12" s="152">
        <f t="array" ref="CI12">IF($B12="",0,IF(AND(CI$3&gt;=INDEX(Inputs!$C:$C,MATCH("*Revenue Start Month*",Inputs!$B:$B,0)),CI$3&lt;=INDEX(Inputs!$C:$C,MATCH("End Year",Inputs!$B:$B,0))*12),IncomeExpenses!$C$47/12*(1+INDEX(Inputs!$C:$C,MATCH("*Annual Revenue Growth Rate*",Inputs!$B:$B,0)))^(CI$5-1),0))</f>
        <v>0</v>
      </c>
      <c r="CJ12" s="152">
        <f t="array" ref="CJ12">IF($B12="",0,IF(AND(CJ$3&gt;=INDEX(Inputs!$C:$C,MATCH("*Revenue Start Month*",Inputs!$B:$B,0)),CJ$3&lt;=INDEX(Inputs!$C:$C,MATCH("End Year",Inputs!$B:$B,0))*12),IncomeExpenses!$C$47/12*(1+INDEX(Inputs!$C:$C,MATCH("*Annual Revenue Growth Rate*",Inputs!$B:$B,0)))^(CJ$5-1),0))</f>
        <v>0</v>
      </c>
      <c r="CK12" s="152">
        <f t="array" ref="CK12">IF($B12="",0,IF(AND(CK$3&gt;=INDEX(Inputs!$C:$C,MATCH("*Revenue Start Month*",Inputs!$B:$B,0)),CK$3&lt;=INDEX(Inputs!$C:$C,MATCH("End Year",Inputs!$B:$B,0))*12),IncomeExpenses!$C$47/12*(1+INDEX(Inputs!$C:$C,MATCH("*Annual Revenue Growth Rate*",Inputs!$B:$B,0)))^(CK$5-1),0))</f>
        <v>0</v>
      </c>
      <c r="CL12" s="152">
        <f t="array" ref="CL12">IF($B12="",0,IF(AND(CL$3&gt;=INDEX(Inputs!$C:$C,MATCH("*Revenue Start Month*",Inputs!$B:$B,0)),CL$3&lt;=INDEX(Inputs!$C:$C,MATCH("End Year",Inputs!$B:$B,0))*12),IncomeExpenses!$C$47/12*(1+INDEX(Inputs!$C:$C,MATCH("*Annual Revenue Growth Rate*",Inputs!$B:$B,0)))^(CL$5-1),0))</f>
        <v>0</v>
      </c>
      <c r="CM12" s="152">
        <f t="array" ref="CM12">IF($B12="",0,IF(AND(CM$3&gt;=INDEX(Inputs!$C:$C,MATCH("*Revenue Start Month*",Inputs!$B:$B,0)),CM$3&lt;=INDEX(Inputs!$C:$C,MATCH("End Year",Inputs!$B:$B,0))*12),IncomeExpenses!$C$47/12*(1+INDEX(Inputs!$C:$C,MATCH("*Annual Revenue Growth Rate*",Inputs!$B:$B,0)))^(CM$5-1),0))</f>
        <v>0</v>
      </c>
      <c r="CN12" s="152">
        <f t="array" ref="CN12">IF($B12="",0,IF(AND(CN$3&gt;=INDEX(Inputs!$C:$C,MATCH("*Revenue Start Month*",Inputs!$B:$B,0)),CN$3&lt;=INDEX(Inputs!$C:$C,MATCH("End Year",Inputs!$B:$B,0))*12),IncomeExpenses!$C$47/12*(1+INDEX(Inputs!$C:$C,MATCH("*Annual Revenue Growth Rate*",Inputs!$B:$B,0)))^(CN$5-1),0))</f>
        <v>0</v>
      </c>
      <c r="CO12" s="152">
        <f t="array" ref="CO12">IF($B12="",0,IF(AND(CO$3&gt;=INDEX(Inputs!$C:$C,MATCH("*Revenue Start Month*",Inputs!$B:$B,0)),CO$3&lt;=INDEX(Inputs!$C:$C,MATCH("End Year",Inputs!$B:$B,0))*12),IncomeExpenses!$C$47/12*(1+INDEX(Inputs!$C:$C,MATCH("*Annual Revenue Growth Rate*",Inputs!$B:$B,0)))^(CO$5-1),0))</f>
        <v>0</v>
      </c>
      <c r="CP12" s="152">
        <f t="array" ref="CP12">IF($B12="",0,IF(AND(CP$3&gt;=INDEX(Inputs!$C:$C,MATCH("*Revenue Start Month*",Inputs!$B:$B,0)),CP$3&lt;=INDEX(Inputs!$C:$C,MATCH("End Year",Inputs!$B:$B,0))*12),IncomeExpenses!$C$47/12*(1+INDEX(Inputs!$C:$C,MATCH("*Annual Revenue Growth Rate*",Inputs!$B:$B,0)))^(CP$5-1),0))</f>
        <v>0</v>
      </c>
      <c r="CQ12" s="152">
        <f t="array" ref="CQ12">IF($B12="",0,IF(AND(CQ$3&gt;=INDEX(Inputs!$C:$C,MATCH("*Revenue Start Month*",Inputs!$B:$B,0)),CQ$3&lt;=INDEX(Inputs!$C:$C,MATCH("End Year",Inputs!$B:$B,0))*12),IncomeExpenses!$C$47/12*(1+INDEX(Inputs!$C:$C,MATCH("*Annual Revenue Growth Rate*",Inputs!$B:$B,0)))^(CQ$5-1),0))</f>
        <v>0</v>
      </c>
      <c r="CR12" s="152">
        <f t="array" ref="CR12">IF($B12="",0,IF(AND(CR$3&gt;=INDEX(Inputs!$C:$C,MATCH("*Revenue Start Month*",Inputs!$B:$B,0)),CR$3&lt;=INDEX(Inputs!$C:$C,MATCH("End Year",Inputs!$B:$B,0))*12),IncomeExpenses!$C$47/12*(1+INDEX(Inputs!$C:$C,MATCH("*Annual Revenue Growth Rate*",Inputs!$B:$B,0)))^(CR$5-1),0))</f>
        <v>0</v>
      </c>
      <c r="CS12" s="152">
        <f t="array" ref="CS12">IF($B12="",0,IF(AND(CS$3&gt;=INDEX(Inputs!$C:$C,MATCH("*Revenue Start Month*",Inputs!$B:$B,0)),CS$3&lt;=INDEX(Inputs!$C:$C,MATCH("End Year",Inputs!$B:$B,0))*12),IncomeExpenses!$C$47/12*(1+INDEX(Inputs!$C:$C,MATCH("*Annual Revenue Growth Rate*",Inputs!$B:$B,0)))^(CS$5-1),0))</f>
        <v>0</v>
      </c>
      <c r="CT12" s="152">
        <f t="array" ref="CT12">IF($B12="",0,IF(AND(CT$3&gt;=INDEX(Inputs!$C:$C,MATCH("*Revenue Start Month*",Inputs!$B:$B,0)),CT$3&lt;=INDEX(Inputs!$C:$C,MATCH("End Year",Inputs!$B:$B,0))*12),IncomeExpenses!$C$47/12*(1+INDEX(Inputs!$C:$C,MATCH("*Annual Revenue Growth Rate*",Inputs!$B:$B,0)))^(CT$5-1),0))</f>
        <v>0</v>
      </c>
      <c r="CU12" s="152">
        <f t="array" ref="CU12">IF($B12="",0,IF(AND(CU$3&gt;=INDEX(Inputs!$C:$C,MATCH("*Revenue Start Month*",Inputs!$B:$B,0)),CU$3&lt;=INDEX(Inputs!$C:$C,MATCH("End Year",Inputs!$B:$B,0))*12),IncomeExpenses!$C$47/12*(1+INDEX(Inputs!$C:$C,MATCH("*Annual Revenue Growth Rate*",Inputs!$B:$B,0)))^(CU$5-1),0))</f>
        <v>0</v>
      </c>
      <c r="CV12" s="152">
        <f t="array" ref="CV12">IF($B12="",0,IF(AND(CV$3&gt;=INDEX(Inputs!$C:$C,MATCH("*Revenue Start Month*",Inputs!$B:$B,0)),CV$3&lt;=INDEX(Inputs!$C:$C,MATCH("End Year",Inputs!$B:$B,0))*12),IncomeExpenses!$C$47/12*(1+INDEX(Inputs!$C:$C,MATCH("*Annual Revenue Growth Rate*",Inputs!$B:$B,0)))^(CV$5-1),0))</f>
        <v>0</v>
      </c>
      <c r="CW12" s="152">
        <f t="array" ref="CW12">IF($B12="",0,IF(AND(CW$3&gt;=INDEX(Inputs!$C:$C,MATCH("*Revenue Start Month*",Inputs!$B:$B,0)),CW$3&lt;=INDEX(Inputs!$C:$C,MATCH("End Year",Inputs!$B:$B,0))*12),IncomeExpenses!$C$47/12*(1+INDEX(Inputs!$C:$C,MATCH("*Annual Revenue Growth Rate*",Inputs!$B:$B,0)))^(CW$5-1),0))</f>
        <v>0</v>
      </c>
      <c r="CX12" s="152">
        <f t="array" ref="CX12">IF($B12="",0,IF(AND(CX$3&gt;=INDEX(Inputs!$C:$C,MATCH("*Revenue Start Month*",Inputs!$B:$B,0)),CX$3&lt;=INDEX(Inputs!$C:$C,MATCH("End Year",Inputs!$B:$B,0))*12),IncomeExpenses!$C$47/12*(1+INDEX(Inputs!$C:$C,MATCH("*Annual Revenue Growth Rate*",Inputs!$B:$B,0)))^(CX$5-1),0))</f>
        <v>0</v>
      </c>
      <c r="CY12" s="152">
        <f t="array" ref="CY12">IF($B12="",0,IF(AND(CY$3&gt;=INDEX(Inputs!$C:$C,MATCH("*Revenue Start Month*",Inputs!$B:$B,0)),CY$3&lt;=INDEX(Inputs!$C:$C,MATCH("End Year",Inputs!$B:$B,0))*12),IncomeExpenses!$C$47/12*(1+INDEX(Inputs!$C:$C,MATCH("*Annual Revenue Growth Rate*",Inputs!$B:$B,0)))^(CY$5-1),0))</f>
        <v>0</v>
      </c>
      <c r="CZ12" s="152">
        <f t="array" ref="CZ12">IF($B12="",0,IF(AND(CZ$3&gt;=INDEX(Inputs!$C:$C,MATCH("*Revenue Start Month*",Inputs!$B:$B,0)),CZ$3&lt;=INDEX(Inputs!$C:$C,MATCH("End Year",Inputs!$B:$B,0))*12),IncomeExpenses!$C$47/12*(1+INDEX(Inputs!$C:$C,MATCH("*Annual Revenue Growth Rate*",Inputs!$B:$B,0)))^(CZ$5-1),0))</f>
        <v>0</v>
      </c>
      <c r="DA12" s="152">
        <f t="array" ref="DA12">IF($B12="",0,IF(AND(DA$3&gt;=INDEX(Inputs!$C:$C,MATCH("*Revenue Start Month*",Inputs!$B:$B,0)),DA$3&lt;=INDEX(Inputs!$C:$C,MATCH("End Year",Inputs!$B:$B,0))*12),IncomeExpenses!$C$47/12*(1+INDEX(Inputs!$C:$C,MATCH("*Annual Revenue Growth Rate*",Inputs!$B:$B,0)))^(DA$5-1),0))</f>
        <v>0</v>
      </c>
      <c r="DB12" s="152">
        <f t="array" ref="DB12">IF($B12="",0,IF(AND(DB$3&gt;=INDEX(Inputs!$C:$C,MATCH("*Revenue Start Month*",Inputs!$B:$B,0)),DB$3&lt;=INDEX(Inputs!$C:$C,MATCH("End Year",Inputs!$B:$B,0))*12),IncomeExpenses!$C$47/12*(1+INDEX(Inputs!$C:$C,MATCH("*Annual Revenue Growth Rate*",Inputs!$B:$B,0)))^(DB$5-1),0))</f>
        <v>0</v>
      </c>
      <c r="DC12" s="152">
        <f t="array" ref="DC12">IF($B12="",0,IF(AND(DC$3&gt;=INDEX(Inputs!$C:$C,MATCH("*Revenue Start Month*",Inputs!$B:$B,0)),DC$3&lt;=INDEX(Inputs!$C:$C,MATCH("End Year",Inputs!$B:$B,0))*12),IncomeExpenses!$C$47/12*(1+INDEX(Inputs!$C:$C,MATCH("*Annual Revenue Growth Rate*",Inputs!$B:$B,0)))^(DC$5-1),0))</f>
        <v>0</v>
      </c>
      <c r="DD12" s="152">
        <f t="array" ref="DD12">IF($B12="",0,IF(AND(DD$3&gt;=INDEX(Inputs!$C:$C,MATCH("*Revenue Start Month*",Inputs!$B:$B,0)),DD$3&lt;=INDEX(Inputs!$C:$C,MATCH("End Year",Inputs!$B:$B,0))*12),IncomeExpenses!$C$47/12*(1+INDEX(Inputs!$C:$C,MATCH("*Annual Revenue Growth Rate*",Inputs!$B:$B,0)))^(DD$5-1),0))</f>
        <v>0</v>
      </c>
      <c r="DE12" s="152">
        <f t="array" ref="DE12">IF($B12="",0,IF(AND(DE$3&gt;=INDEX(Inputs!$C:$C,MATCH("*Revenue Start Month*",Inputs!$B:$B,0)),DE$3&lt;=INDEX(Inputs!$C:$C,MATCH("End Year",Inputs!$B:$B,0))*12),IncomeExpenses!$C$47/12*(1+INDEX(Inputs!$C:$C,MATCH("*Annual Revenue Growth Rate*",Inputs!$B:$B,0)))^(DE$5-1),0))</f>
        <v>0</v>
      </c>
      <c r="DF12" s="152">
        <f t="array" ref="DF12">IF($B12="",0,IF(AND(DF$3&gt;=INDEX(Inputs!$C:$C,MATCH("*Revenue Start Month*",Inputs!$B:$B,0)),DF$3&lt;=INDEX(Inputs!$C:$C,MATCH("End Year",Inputs!$B:$B,0))*12),IncomeExpenses!$C$47/12*(1+INDEX(Inputs!$C:$C,MATCH("*Annual Revenue Growth Rate*",Inputs!$B:$B,0)))^(DF$5-1),0))</f>
        <v>0</v>
      </c>
      <c r="DG12" s="152">
        <f t="array" ref="DG12">IF($B12="",0,IF(AND(DG$3&gt;=INDEX(Inputs!$C:$C,MATCH("*Revenue Start Month*",Inputs!$B:$B,0)),DG$3&lt;=INDEX(Inputs!$C:$C,MATCH("End Year",Inputs!$B:$B,0))*12),IncomeExpenses!$C$47/12*(1+INDEX(Inputs!$C:$C,MATCH("*Annual Revenue Growth Rate*",Inputs!$B:$B,0)))^(DG$5-1),0))</f>
        <v>0</v>
      </c>
      <c r="DH12" s="152">
        <f t="array" ref="DH12">IF($B12="",0,IF(AND(DH$3&gt;=INDEX(Inputs!$C:$C,MATCH("*Revenue Start Month*",Inputs!$B:$B,0)),DH$3&lt;=INDEX(Inputs!$C:$C,MATCH("End Year",Inputs!$B:$B,0))*12),IncomeExpenses!$C$47/12*(1+INDEX(Inputs!$C:$C,MATCH("*Annual Revenue Growth Rate*",Inputs!$B:$B,0)))^(DH$5-1),0))</f>
        <v>0</v>
      </c>
      <c r="DI12" s="152">
        <f t="array" ref="DI12">IF($B12="",0,IF(AND(DI$3&gt;=INDEX(Inputs!$C:$C,MATCH("*Revenue Start Month*",Inputs!$B:$B,0)),DI$3&lt;=INDEX(Inputs!$C:$C,MATCH("End Year",Inputs!$B:$B,0))*12),IncomeExpenses!$C$47/12*(1+INDEX(Inputs!$C:$C,MATCH("*Annual Revenue Growth Rate*",Inputs!$B:$B,0)))^(DI$5-1),0))</f>
        <v>0</v>
      </c>
      <c r="DJ12" s="152">
        <f t="array" ref="DJ12">IF($B12="",0,IF(AND(DJ$3&gt;=INDEX(Inputs!$C:$C,MATCH("*Revenue Start Month*",Inputs!$B:$B,0)),DJ$3&lt;=INDEX(Inputs!$C:$C,MATCH("End Year",Inputs!$B:$B,0))*12),IncomeExpenses!$C$47/12*(1+INDEX(Inputs!$C:$C,MATCH("*Annual Revenue Growth Rate*",Inputs!$B:$B,0)))^(DJ$5-1),0))</f>
        <v>0</v>
      </c>
      <c r="DK12" s="152">
        <f t="array" ref="DK12">IF($B12="",0,IF(AND(DK$3&gt;=INDEX(Inputs!$C:$C,MATCH("*Revenue Start Month*",Inputs!$B:$B,0)),DK$3&lt;=INDEX(Inputs!$C:$C,MATCH("End Year",Inputs!$B:$B,0))*12),IncomeExpenses!$C$47/12*(1+INDEX(Inputs!$C:$C,MATCH("*Annual Revenue Growth Rate*",Inputs!$B:$B,0)))^(DK$5-1),0))</f>
        <v>0</v>
      </c>
      <c r="DL12" s="152">
        <f t="array" ref="DL12">IF($B12="",0,IF(AND(DL$3&gt;=INDEX(Inputs!$C:$C,MATCH("*Revenue Start Month*",Inputs!$B:$B,0)),DL$3&lt;=INDEX(Inputs!$C:$C,MATCH("End Year",Inputs!$B:$B,0))*12),IncomeExpenses!$C$47/12*(1+INDEX(Inputs!$C:$C,MATCH("*Annual Revenue Growth Rate*",Inputs!$B:$B,0)))^(DL$5-1),0))</f>
        <v>0</v>
      </c>
      <c r="DM12" s="152">
        <f t="array" ref="DM12">IF($B12="",0,IF(AND(DM$3&gt;=INDEX(Inputs!$C:$C,MATCH("*Revenue Start Month*",Inputs!$B:$B,0)),DM$3&lt;=INDEX(Inputs!$C:$C,MATCH("End Year",Inputs!$B:$B,0))*12),IncomeExpenses!$C$47/12*(1+INDEX(Inputs!$C:$C,MATCH("*Annual Revenue Growth Rate*",Inputs!$B:$B,0)))^(DM$5-1),0))</f>
        <v>0</v>
      </c>
      <c r="DN12" s="152">
        <f t="array" ref="DN12">IF($B12="",0,IF(AND(DN$3&gt;=INDEX(Inputs!$C:$C,MATCH("*Revenue Start Month*",Inputs!$B:$B,0)),DN$3&lt;=INDEX(Inputs!$C:$C,MATCH("End Year",Inputs!$B:$B,0))*12),IncomeExpenses!$C$47/12*(1+INDEX(Inputs!$C:$C,MATCH("*Annual Revenue Growth Rate*",Inputs!$B:$B,0)))^(DN$5-1),0))</f>
        <v>0</v>
      </c>
      <c r="DO12" s="152">
        <f t="array" ref="DO12">IF($B12="",0,IF(AND(DO$3&gt;=INDEX(Inputs!$C:$C,MATCH("*Revenue Start Month*",Inputs!$B:$B,0)),DO$3&lt;=INDEX(Inputs!$C:$C,MATCH("End Year",Inputs!$B:$B,0))*12),IncomeExpenses!$C$47/12*(1+INDEX(Inputs!$C:$C,MATCH("*Annual Revenue Growth Rate*",Inputs!$B:$B,0)))^(DO$5-1),0))</f>
        <v>0</v>
      </c>
      <c r="DP12" s="152">
        <f t="array" ref="DP12">IF($B12="",0,IF(AND(DP$3&gt;=INDEX(Inputs!$C:$C,MATCH("*Revenue Start Month*",Inputs!$B:$B,0)),DP$3&lt;=INDEX(Inputs!$C:$C,MATCH("End Year",Inputs!$B:$B,0))*12),IncomeExpenses!$C$47/12*(1+INDEX(Inputs!$C:$C,MATCH("*Annual Revenue Growth Rate*",Inputs!$B:$B,0)))^(DP$5-1),0))</f>
        <v>0</v>
      </c>
      <c r="DQ12" s="152">
        <f t="array" ref="DQ12">IF($B12="",0,IF(AND(DQ$3&gt;=INDEX(Inputs!$C:$C,MATCH("*Revenue Start Month*",Inputs!$B:$B,0)),DQ$3&lt;=INDEX(Inputs!$C:$C,MATCH("End Year",Inputs!$B:$B,0))*12),IncomeExpenses!$C$47/12*(1+INDEX(Inputs!$C:$C,MATCH("*Annual Revenue Growth Rate*",Inputs!$B:$B,0)))^(DQ$5-1),0))</f>
        <v>0</v>
      </c>
      <c r="DR12" s="152">
        <f t="array" ref="DR12">IF($B12="",0,IF(AND(DR$3&gt;=INDEX(Inputs!$C:$C,MATCH("*Revenue Start Month*",Inputs!$B:$B,0)),DR$3&lt;=INDEX(Inputs!$C:$C,MATCH("End Year",Inputs!$B:$B,0))*12),IncomeExpenses!$C$47/12*(1+INDEX(Inputs!$C:$C,MATCH("*Annual Revenue Growth Rate*",Inputs!$B:$B,0)))^(DR$5-1),0))</f>
        <v>0</v>
      </c>
      <c r="DS12" s="44">
        <f t="array" ref="DS12">IF($B12="",0,IF(AND(DS$3&gt;=INDEX(Inputs!$C:$C,MATCH("*Revenue Start Month*",Inputs!$B:$B,0)),DS$3&lt;=INDEX(Inputs!$C:$C,MATCH("End Year",Inputs!$B:$B,0))*12),IncomeExpenses!$C$47/12*(1+INDEX(Inputs!$C:$C,MATCH("*Annual Revenue Growth Rate*",Inputs!$B:$B,0)))^(DS$5-1),0))</f>
        <v>0</v>
      </c>
    </row>
    <row r="13">
      <c r="A13" s="44"/>
      <c r="B13" s="158" t="s">
        <v>320</v>
      </c>
      <c r="C13" s="159">
        <f t="shared" ref="C13:DS13" si="2">C11+SUM(C12)</f>
        <v>0</v>
      </c>
      <c r="D13" s="160">
        <f t="shared" si="2"/>
        <v>0</v>
      </c>
      <c r="E13" s="160">
        <f t="shared" si="2"/>
        <v>0</v>
      </c>
      <c r="F13" s="160">
        <f t="shared" si="2"/>
        <v>0</v>
      </c>
      <c r="G13" s="160">
        <f t="shared" si="2"/>
        <v>0</v>
      </c>
      <c r="H13" s="160">
        <f t="shared" si="2"/>
        <v>0</v>
      </c>
      <c r="I13" s="160">
        <f t="shared" si="2"/>
        <v>0</v>
      </c>
      <c r="J13" s="160">
        <f t="shared" si="2"/>
        <v>0</v>
      </c>
      <c r="K13" s="160">
        <f t="shared" si="2"/>
        <v>0</v>
      </c>
      <c r="L13" s="160">
        <f t="shared" si="2"/>
        <v>0</v>
      </c>
      <c r="M13" s="160">
        <f t="shared" si="2"/>
        <v>0</v>
      </c>
      <c r="N13" s="160">
        <f t="shared" si="2"/>
        <v>0</v>
      </c>
      <c r="O13" s="160">
        <f t="shared" si="2"/>
        <v>0</v>
      </c>
      <c r="P13" s="160">
        <f t="shared" si="2"/>
        <v>0</v>
      </c>
      <c r="Q13" s="160">
        <f t="shared" si="2"/>
        <v>0</v>
      </c>
      <c r="R13" s="160">
        <f t="shared" si="2"/>
        <v>0</v>
      </c>
      <c r="S13" s="160">
        <f t="shared" si="2"/>
        <v>0</v>
      </c>
      <c r="T13" s="160">
        <f t="shared" si="2"/>
        <v>0</v>
      </c>
      <c r="U13" s="160">
        <f t="shared" si="2"/>
        <v>0</v>
      </c>
      <c r="V13" s="160">
        <f t="shared" si="2"/>
        <v>0</v>
      </c>
      <c r="W13" s="160">
        <f t="shared" si="2"/>
        <v>0</v>
      </c>
      <c r="X13" s="160">
        <f t="shared" si="2"/>
        <v>0</v>
      </c>
      <c r="Y13" s="160">
        <f t="shared" si="2"/>
        <v>0</v>
      </c>
      <c r="Z13" s="160">
        <f t="shared" si="2"/>
        <v>0</v>
      </c>
      <c r="AA13" s="160">
        <f t="shared" si="2"/>
        <v>0</v>
      </c>
      <c r="AB13" s="160">
        <f t="shared" si="2"/>
        <v>0</v>
      </c>
      <c r="AC13" s="160">
        <f t="shared" si="2"/>
        <v>0</v>
      </c>
      <c r="AD13" s="160">
        <f t="shared" si="2"/>
        <v>0</v>
      </c>
      <c r="AE13" s="160">
        <f t="shared" si="2"/>
        <v>0</v>
      </c>
      <c r="AF13" s="160">
        <f t="shared" si="2"/>
        <v>0</v>
      </c>
      <c r="AG13" s="160">
        <f t="shared" si="2"/>
        <v>0</v>
      </c>
      <c r="AH13" s="160">
        <f t="shared" si="2"/>
        <v>0</v>
      </c>
      <c r="AI13" s="160">
        <f t="shared" si="2"/>
        <v>0</v>
      </c>
      <c r="AJ13" s="160">
        <f t="shared" si="2"/>
        <v>0</v>
      </c>
      <c r="AK13" s="160">
        <f t="shared" si="2"/>
        <v>0</v>
      </c>
      <c r="AL13" s="160">
        <f t="shared" si="2"/>
        <v>0</v>
      </c>
      <c r="AM13" s="160">
        <f t="shared" si="2"/>
        <v>0</v>
      </c>
      <c r="AN13" s="160">
        <f t="shared" si="2"/>
        <v>0</v>
      </c>
      <c r="AO13" s="160">
        <f t="shared" si="2"/>
        <v>0</v>
      </c>
      <c r="AP13" s="160">
        <f t="shared" si="2"/>
        <v>0</v>
      </c>
      <c r="AQ13" s="160">
        <f t="shared" si="2"/>
        <v>0</v>
      </c>
      <c r="AR13" s="160">
        <f t="shared" si="2"/>
        <v>0</v>
      </c>
      <c r="AS13" s="160">
        <f t="shared" si="2"/>
        <v>0</v>
      </c>
      <c r="AT13" s="160">
        <f t="shared" si="2"/>
        <v>0</v>
      </c>
      <c r="AU13" s="160">
        <f t="shared" si="2"/>
        <v>0</v>
      </c>
      <c r="AV13" s="160">
        <f t="shared" si="2"/>
        <v>0</v>
      </c>
      <c r="AW13" s="160">
        <f t="shared" si="2"/>
        <v>0</v>
      </c>
      <c r="AX13" s="160">
        <f t="shared" si="2"/>
        <v>0</v>
      </c>
      <c r="AY13" s="160">
        <f t="shared" si="2"/>
        <v>0</v>
      </c>
      <c r="AZ13" s="160">
        <f t="shared" si="2"/>
        <v>0</v>
      </c>
      <c r="BA13" s="160">
        <f t="shared" si="2"/>
        <v>0</v>
      </c>
      <c r="BB13" s="160">
        <f t="shared" si="2"/>
        <v>0</v>
      </c>
      <c r="BC13" s="160">
        <f t="shared" si="2"/>
        <v>0</v>
      </c>
      <c r="BD13" s="160">
        <f t="shared" si="2"/>
        <v>0</v>
      </c>
      <c r="BE13" s="160">
        <f t="shared" si="2"/>
        <v>0</v>
      </c>
      <c r="BF13" s="160">
        <f t="shared" si="2"/>
        <v>0</v>
      </c>
      <c r="BG13" s="160">
        <f t="shared" si="2"/>
        <v>0</v>
      </c>
      <c r="BH13" s="160">
        <f t="shared" si="2"/>
        <v>0</v>
      </c>
      <c r="BI13" s="160">
        <f t="shared" si="2"/>
        <v>0</v>
      </c>
      <c r="BJ13" s="160">
        <f t="shared" si="2"/>
        <v>0</v>
      </c>
      <c r="BK13" s="160">
        <f t="shared" si="2"/>
        <v>0</v>
      </c>
      <c r="BL13" s="160">
        <f t="shared" si="2"/>
        <v>0</v>
      </c>
      <c r="BM13" s="160">
        <f t="shared" si="2"/>
        <v>0</v>
      </c>
      <c r="BN13" s="160">
        <f t="shared" si="2"/>
        <v>0</v>
      </c>
      <c r="BO13" s="160">
        <f t="shared" si="2"/>
        <v>0</v>
      </c>
      <c r="BP13" s="160">
        <f t="shared" si="2"/>
        <v>0</v>
      </c>
      <c r="BQ13" s="160">
        <f t="shared" si="2"/>
        <v>0</v>
      </c>
      <c r="BR13" s="160">
        <f t="shared" si="2"/>
        <v>0</v>
      </c>
      <c r="BS13" s="160">
        <f t="shared" si="2"/>
        <v>0</v>
      </c>
      <c r="BT13" s="160">
        <f t="shared" si="2"/>
        <v>0</v>
      </c>
      <c r="BU13" s="160">
        <f t="shared" si="2"/>
        <v>0</v>
      </c>
      <c r="BV13" s="160">
        <f t="shared" si="2"/>
        <v>0</v>
      </c>
      <c r="BW13" s="160">
        <f t="shared" si="2"/>
        <v>0</v>
      </c>
      <c r="BX13" s="160">
        <f t="shared" si="2"/>
        <v>0</v>
      </c>
      <c r="BY13" s="160">
        <f t="shared" si="2"/>
        <v>0</v>
      </c>
      <c r="BZ13" s="160">
        <f t="shared" si="2"/>
        <v>0</v>
      </c>
      <c r="CA13" s="160">
        <f t="shared" si="2"/>
        <v>0</v>
      </c>
      <c r="CB13" s="160">
        <f t="shared" si="2"/>
        <v>0</v>
      </c>
      <c r="CC13" s="160">
        <f t="shared" si="2"/>
        <v>0</v>
      </c>
      <c r="CD13" s="160">
        <f t="shared" si="2"/>
        <v>0</v>
      </c>
      <c r="CE13" s="160">
        <f t="shared" si="2"/>
        <v>0</v>
      </c>
      <c r="CF13" s="160">
        <f t="shared" si="2"/>
        <v>0</v>
      </c>
      <c r="CG13" s="160">
        <f t="shared" si="2"/>
        <v>0</v>
      </c>
      <c r="CH13" s="160">
        <f t="shared" si="2"/>
        <v>0</v>
      </c>
      <c r="CI13" s="160">
        <f t="shared" si="2"/>
        <v>0</v>
      </c>
      <c r="CJ13" s="160">
        <f t="shared" si="2"/>
        <v>0</v>
      </c>
      <c r="CK13" s="160">
        <f t="shared" si="2"/>
        <v>0</v>
      </c>
      <c r="CL13" s="160">
        <f t="shared" si="2"/>
        <v>0</v>
      </c>
      <c r="CM13" s="160">
        <f t="shared" si="2"/>
        <v>0</v>
      </c>
      <c r="CN13" s="160">
        <f t="shared" si="2"/>
        <v>0</v>
      </c>
      <c r="CO13" s="160">
        <f t="shared" si="2"/>
        <v>0</v>
      </c>
      <c r="CP13" s="160">
        <f t="shared" si="2"/>
        <v>0</v>
      </c>
      <c r="CQ13" s="160">
        <f t="shared" si="2"/>
        <v>0</v>
      </c>
      <c r="CR13" s="160">
        <f t="shared" si="2"/>
        <v>0</v>
      </c>
      <c r="CS13" s="160">
        <f t="shared" si="2"/>
        <v>0</v>
      </c>
      <c r="CT13" s="160">
        <f t="shared" si="2"/>
        <v>0</v>
      </c>
      <c r="CU13" s="160">
        <f t="shared" si="2"/>
        <v>0</v>
      </c>
      <c r="CV13" s="160">
        <f t="shared" si="2"/>
        <v>0</v>
      </c>
      <c r="CW13" s="160">
        <f t="shared" si="2"/>
        <v>0</v>
      </c>
      <c r="CX13" s="160">
        <f t="shared" si="2"/>
        <v>0</v>
      </c>
      <c r="CY13" s="160">
        <f t="shared" si="2"/>
        <v>0</v>
      </c>
      <c r="CZ13" s="160">
        <f t="shared" si="2"/>
        <v>0</v>
      </c>
      <c r="DA13" s="160">
        <f t="shared" si="2"/>
        <v>0</v>
      </c>
      <c r="DB13" s="160">
        <f t="shared" si="2"/>
        <v>0</v>
      </c>
      <c r="DC13" s="160">
        <f t="shared" si="2"/>
        <v>0</v>
      </c>
      <c r="DD13" s="160">
        <f t="shared" si="2"/>
        <v>0</v>
      </c>
      <c r="DE13" s="160">
        <f t="shared" si="2"/>
        <v>0</v>
      </c>
      <c r="DF13" s="160">
        <f t="shared" si="2"/>
        <v>0</v>
      </c>
      <c r="DG13" s="160">
        <f t="shared" si="2"/>
        <v>0</v>
      </c>
      <c r="DH13" s="160">
        <f t="shared" si="2"/>
        <v>0</v>
      </c>
      <c r="DI13" s="160">
        <f t="shared" si="2"/>
        <v>0</v>
      </c>
      <c r="DJ13" s="160">
        <f t="shared" si="2"/>
        <v>0</v>
      </c>
      <c r="DK13" s="160">
        <f t="shared" si="2"/>
        <v>0</v>
      </c>
      <c r="DL13" s="160">
        <f t="shared" si="2"/>
        <v>0</v>
      </c>
      <c r="DM13" s="160">
        <f t="shared" si="2"/>
        <v>0</v>
      </c>
      <c r="DN13" s="160">
        <f t="shared" si="2"/>
        <v>0</v>
      </c>
      <c r="DO13" s="160">
        <f t="shared" si="2"/>
        <v>0</v>
      </c>
      <c r="DP13" s="160">
        <f t="shared" si="2"/>
        <v>0</v>
      </c>
      <c r="DQ13" s="160">
        <f t="shared" si="2"/>
        <v>0</v>
      </c>
      <c r="DR13" s="160">
        <f t="shared" si="2"/>
        <v>0</v>
      </c>
      <c r="DS13" s="44">
        <f t="shared" si="2"/>
        <v>0</v>
      </c>
    </row>
    <row r="14" ht="16.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</row>
    <row r="15" ht="15.0" customHeight="1">
      <c r="A15" s="44"/>
      <c r="B15" s="45" t="s">
        <v>321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44"/>
    </row>
    <row r="16" ht="16.5" customHeight="1">
      <c r="A16" s="44"/>
      <c r="B16" s="46" t="s">
        <v>322</v>
      </c>
      <c r="C16" s="152">
        <f t="array" ref="C16">IF($B16="",0,IF(AND(C$3&gt;=INDEX(Inputs!$C:$C,MATCH("*Expense Start Month*",Inputs!$B:$B,0)),C$3&lt;=INDEX(Inputs!$C:$C,MATCH("End Year",Inputs!$B:$B,0))*12),IF($B16="Property Management Fee (%EGI)",-C11*Inputs!$C$28,-IncomeExpenses!$C$90/12*(1+INDEX(Inputs!$C:$C,MATCH("*Annual Expense Growth Rate*",Inputs!$B:$B,0)))^(C$5-1)),0))</f>
        <v>0</v>
      </c>
      <c r="D16" s="152">
        <f t="array" ref="D16">IF($B16="",0,IF(AND(D$3&gt;=INDEX(Inputs!$C:$C,MATCH("*Expense Start Month*",Inputs!$B:$B,0)),D$3&lt;=INDEX(Inputs!$C:$C,MATCH("End Year",Inputs!$B:$B,0))*12),IF($B16="Property Management Fee (%EGI)",-D11*Inputs!$C$28,-IncomeExpenses!$C$90/12*(1+INDEX(Inputs!$C:$C,MATCH("*Annual Expense Growth Rate*",Inputs!$B:$B,0)))^(D$5-1)),0))</f>
        <v>0</v>
      </c>
      <c r="E16" s="152">
        <f t="array" ref="E16">IF($B16="",0,IF(AND(E$3&gt;=INDEX(Inputs!$C:$C,MATCH("*Expense Start Month*",Inputs!$B:$B,0)),E$3&lt;=INDEX(Inputs!$C:$C,MATCH("End Year",Inputs!$B:$B,0))*12),IF($B16="Property Management Fee (%EGI)",-E11*Inputs!$C$28,-IncomeExpenses!$C$90/12*(1+INDEX(Inputs!$C:$C,MATCH("*Annual Expense Growth Rate*",Inputs!$B:$B,0)))^(E$5-1)),0))</f>
        <v>0</v>
      </c>
      <c r="F16" s="152">
        <f t="array" ref="F16">IF($B16="",0,IF(AND(F$3&gt;=INDEX(Inputs!$C:$C,MATCH("*Expense Start Month*",Inputs!$B:$B,0)),F$3&lt;=INDEX(Inputs!$C:$C,MATCH("End Year",Inputs!$B:$B,0))*12),IF($B16="Property Management Fee (%EGI)",-F11*Inputs!$C$28,-IncomeExpenses!$C$90/12*(1+INDEX(Inputs!$C:$C,MATCH("*Annual Expense Growth Rate*",Inputs!$B:$B,0)))^(F$5-1)),0))</f>
        <v>0</v>
      </c>
      <c r="G16" s="152">
        <f t="array" ref="G16">IF($B16="",0,IF(AND(G$3&gt;=INDEX(Inputs!$C:$C,MATCH("*Expense Start Month*",Inputs!$B:$B,0)),G$3&lt;=INDEX(Inputs!$C:$C,MATCH("End Year",Inputs!$B:$B,0))*12),IF($B16="Property Management Fee (%EGI)",-G11*Inputs!$C$28,-IncomeExpenses!$C$90/12*(1+INDEX(Inputs!$C:$C,MATCH("*Annual Expense Growth Rate*",Inputs!$B:$B,0)))^(G$5-1)),0))</f>
        <v>0</v>
      </c>
      <c r="H16" s="152">
        <f t="array" ref="H16">IF($B16="",0,IF(AND(H$3&gt;=INDEX(Inputs!$C:$C,MATCH("*Expense Start Month*",Inputs!$B:$B,0)),H$3&lt;=INDEX(Inputs!$C:$C,MATCH("End Year",Inputs!$B:$B,0))*12),IF($B16="Property Management Fee (%EGI)",-H11*Inputs!$C$28,-IncomeExpenses!$C$90/12*(1+INDEX(Inputs!$C:$C,MATCH("*Annual Expense Growth Rate*",Inputs!$B:$B,0)))^(H$5-1)),0))</f>
        <v>0</v>
      </c>
      <c r="I16" s="152">
        <f t="array" ref="I16">IF($B16="",0,IF(AND(I$3&gt;=INDEX(Inputs!$C:$C,MATCH("*Expense Start Month*",Inputs!$B:$B,0)),I$3&lt;=INDEX(Inputs!$C:$C,MATCH("End Year",Inputs!$B:$B,0))*12),IF($B16="Property Management Fee (%EGI)",-I11*Inputs!$C$28,-IncomeExpenses!$C$90/12*(1+INDEX(Inputs!$C:$C,MATCH("*Annual Expense Growth Rate*",Inputs!$B:$B,0)))^(I$5-1)),0))</f>
        <v>0</v>
      </c>
      <c r="J16" s="152">
        <f t="array" ref="J16">IF($B16="",0,IF(AND(J$3&gt;=INDEX(Inputs!$C:$C,MATCH("*Expense Start Month*",Inputs!$B:$B,0)),J$3&lt;=INDEX(Inputs!$C:$C,MATCH("End Year",Inputs!$B:$B,0))*12),IF($B16="Property Management Fee (%EGI)",-J11*Inputs!$C$28,-IncomeExpenses!$C$90/12*(1+INDEX(Inputs!$C:$C,MATCH("*Annual Expense Growth Rate*",Inputs!$B:$B,0)))^(J$5-1)),0))</f>
        <v>0</v>
      </c>
      <c r="K16" s="152">
        <f t="array" ref="K16">IF($B16="",0,IF(AND(K$3&gt;=INDEX(Inputs!$C:$C,MATCH("*Expense Start Month*",Inputs!$B:$B,0)),K$3&lt;=INDEX(Inputs!$C:$C,MATCH("End Year",Inputs!$B:$B,0))*12),IF($B16="Property Management Fee (%EGI)",-K11*Inputs!$C$28,-IncomeExpenses!$C$90/12*(1+INDEX(Inputs!$C:$C,MATCH("*Annual Expense Growth Rate*",Inputs!$B:$B,0)))^(K$5-1)),0))</f>
        <v>0</v>
      </c>
      <c r="L16" s="152">
        <f t="array" ref="L16">IF($B16="",0,IF(AND(L$3&gt;=INDEX(Inputs!$C:$C,MATCH("*Expense Start Month*",Inputs!$B:$B,0)),L$3&lt;=INDEX(Inputs!$C:$C,MATCH("End Year",Inputs!$B:$B,0))*12),IF($B16="Property Management Fee (%EGI)",-L11*Inputs!$C$28,-IncomeExpenses!$C$90/12*(1+INDEX(Inputs!$C:$C,MATCH("*Annual Expense Growth Rate*",Inputs!$B:$B,0)))^(L$5-1)),0))</f>
        <v>0</v>
      </c>
      <c r="M16" s="152">
        <f t="array" ref="M16">IF($B16="",0,IF(AND(M$3&gt;=INDEX(Inputs!$C:$C,MATCH("*Expense Start Month*",Inputs!$B:$B,0)),M$3&lt;=INDEX(Inputs!$C:$C,MATCH("End Year",Inputs!$B:$B,0))*12),IF($B16="Property Management Fee (%EGI)",-M11*Inputs!$C$28,-IncomeExpenses!$C$90/12*(1+INDEX(Inputs!$C:$C,MATCH("*Annual Expense Growth Rate*",Inputs!$B:$B,0)))^(M$5-1)),0))</f>
        <v>0</v>
      </c>
      <c r="N16" s="152">
        <f t="array" ref="N16">IF($B16="",0,IF(AND(N$3&gt;=INDEX(Inputs!$C:$C,MATCH("*Expense Start Month*",Inputs!$B:$B,0)),N$3&lt;=INDEX(Inputs!$C:$C,MATCH("End Year",Inputs!$B:$B,0))*12),IF($B16="Property Management Fee (%EGI)",-N11*Inputs!$C$28,-IncomeExpenses!$C$90/12*(1+INDEX(Inputs!$C:$C,MATCH("*Annual Expense Growth Rate*",Inputs!$B:$B,0)))^(N$5-1)),0))</f>
        <v>0</v>
      </c>
      <c r="O16" s="152">
        <f t="array" ref="O16">IF($B16="",0,IF(AND(O$3&gt;=INDEX(Inputs!$C:$C,MATCH("*Expense Start Month*",Inputs!$B:$B,0)),O$3&lt;=INDEX(Inputs!$C:$C,MATCH("End Year",Inputs!$B:$B,0))*12),IF($B16="Property Management Fee (%EGI)",-O11*Inputs!$C$28,-IncomeExpenses!$C$90/12*(1+INDEX(Inputs!$C:$C,MATCH("*Annual Expense Growth Rate*",Inputs!$B:$B,0)))^(O$5-1)),0))</f>
        <v>0</v>
      </c>
      <c r="P16" s="152">
        <f t="array" ref="P16">IF($B16="",0,IF(AND(P$3&gt;=INDEX(Inputs!$C:$C,MATCH("*Expense Start Month*",Inputs!$B:$B,0)),P$3&lt;=INDEX(Inputs!$C:$C,MATCH("End Year",Inputs!$B:$B,0))*12),IF($B16="Property Management Fee (%EGI)",-P11*Inputs!$C$28,-IncomeExpenses!$C$90/12*(1+INDEX(Inputs!$C:$C,MATCH("*Annual Expense Growth Rate*",Inputs!$B:$B,0)))^(P$5-1)),0))</f>
        <v>0</v>
      </c>
      <c r="Q16" s="152">
        <f t="array" ref="Q16">IF($B16="",0,IF(AND(Q$3&gt;=INDEX(Inputs!$C:$C,MATCH("*Expense Start Month*",Inputs!$B:$B,0)),Q$3&lt;=INDEX(Inputs!$C:$C,MATCH("End Year",Inputs!$B:$B,0))*12),IF($B16="Property Management Fee (%EGI)",-Q11*Inputs!$C$28,-IncomeExpenses!$C$90/12*(1+INDEX(Inputs!$C:$C,MATCH("*Annual Expense Growth Rate*",Inputs!$B:$B,0)))^(Q$5-1)),0))</f>
        <v>0</v>
      </c>
      <c r="R16" s="152">
        <f t="array" ref="R16">IF($B16="",0,IF(AND(R$3&gt;=INDEX(Inputs!$C:$C,MATCH("*Expense Start Month*",Inputs!$B:$B,0)),R$3&lt;=INDEX(Inputs!$C:$C,MATCH("End Year",Inputs!$B:$B,0))*12),IF($B16="Property Management Fee (%EGI)",-R11*Inputs!$C$28,-IncomeExpenses!$C$90/12*(1+INDEX(Inputs!$C:$C,MATCH("*Annual Expense Growth Rate*",Inputs!$B:$B,0)))^(R$5-1)),0))</f>
        <v>0</v>
      </c>
      <c r="S16" s="152">
        <f t="array" ref="S16">IF($B16="",0,IF(AND(S$3&gt;=INDEX(Inputs!$C:$C,MATCH("*Expense Start Month*",Inputs!$B:$B,0)),S$3&lt;=INDEX(Inputs!$C:$C,MATCH("End Year",Inputs!$B:$B,0))*12),IF($B16="Property Management Fee (%EGI)",-S11*Inputs!$C$28,-IncomeExpenses!$C$90/12*(1+INDEX(Inputs!$C:$C,MATCH("*Annual Expense Growth Rate*",Inputs!$B:$B,0)))^(S$5-1)),0))</f>
        <v>0</v>
      </c>
      <c r="T16" s="152">
        <f t="array" ref="T16">IF($B16="",0,IF(AND(T$3&gt;=INDEX(Inputs!$C:$C,MATCH("*Expense Start Month*",Inputs!$B:$B,0)),T$3&lt;=INDEX(Inputs!$C:$C,MATCH("End Year",Inputs!$B:$B,0))*12),IF($B16="Property Management Fee (%EGI)",-T11*Inputs!$C$28,-IncomeExpenses!$C$90/12*(1+INDEX(Inputs!$C:$C,MATCH("*Annual Expense Growth Rate*",Inputs!$B:$B,0)))^(T$5-1)),0))</f>
        <v>0</v>
      </c>
      <c r="U16" s="152">
        <f t="array" ref="U16">IF($B16="",0,IF(AND(U$3&gt;=INDEX(Inputs!$C:$C,MATCH("*Expense Start Month*",Inputs!$B:$B,0)),U$3&lt;=INDEX(Inputs!$C:$C,MATCH("End Year",Inputs!$B:$B,0))*12),IF($B16="Property Management Fee (%EGI)",-U11*Inputs!$C$28,-IncomeExpenses!$C$90/12*(1+INDEX(Inputs!$C:$C,MATCH("*Annual Expense Growth Rate*",Inputs!$B:$B,0)))^(U$5-1)),0))</f>
        <v>0</v>
      </c>
      <c r="V16" s="152">
        <f t="array" ref="V16">IF($B16="",0,IF(AND(V$3&gt;=INDEX(Inputs!$C:$C,MATCH("*Expense Start Month*",Inputs!$B:$B,0)),V$3&lt;=INDEX(Inputs!$C:$C,MATCH("End Year",Inputs!$B:$B,0))*12),IF($B16="Property Management Fee (%EGI)",-V11*Inputs!$C$28,-IncomeExpenses!$C$90/12*(1+INDEX(Inputs!$C:$C,MATCH("*Annual Expense Growth Rate*",Inputs!$B:$B,0)))^(V$5-1)),0))</f>
        <v>0</v>
      </c>
      <c r="W16" s="152">
        <f t="array" ref="W16">IF($B16="",0,IF(AND(W$3&gt;=INDEX(Inputs!$C:$C,MATCH("*Expense Start Month*",Inputs!$B:$B,0)),W$3&lt;=INDEX(Inputs!$C:$C,MATCH("End Year",Inputs!$B:$B,0))*12),IF($B16="Property Management Fee (%EGI)",-W11*Inputs!$C$28,-IncomeExpenses!$C$90/12*(1+INDEX(Inputs!$C:$C,MATCH("*Annual Expense Growth Rate*",Inputs!$B:$B,0)))^(W$5-1)),0))</f>
        <v>0</v>
      </c>
      <c r="X16" s="152">
        <f t="array" ref="X16">IF($B16="",0,IF(AND(X$3&gt;=INDEX(Inputs!$C:$C,MATCH("*Expense Start Month*",Inputs!$B:$B,0)),X$3&lt;=INDEX(Inputs!$C:$C,MATCH("End Year",Inputs!$B:$B,0))*12),IF($B16="Property Management Fee (%EGI)",-X11*Inputs!$C$28,-IncomeExpenses!$C$90/12*(1+INDEX(Inputs!$C:$C,MATCH("*Annual Expense Growth Rate*",Inputs!$B:$B,0)))^(X$5-1)),0))</f>
        <v>0</v>
      </c>
      <c r="Y16" s="152">
        <f t="array" ref="Y16">IF($B16="",0,IF(AND(Y$3&gt;=INDEX(Inputs!$C:$C,MATCH("*Expense Start Month*",Inputs!$B:$B,0)),Y$3&lt;=INDEX(Inputs!$C:$C,MATCH("End Year",Inputs!$B:$B,0))*12),IF($B16="Property Management Fee (%EGI)",-Y11*Inputs!$C$28,-IncomeExpenses!$C$90/12*(1+INDEX(Inputs!$C:$C,MATCH("*Annual Expense Growth Rate*",Inputs!$B:$B,0)))^(Y$5-1)),0))</f>
        <v>0</v>
      </c>
      <c r="Z16" s="152">
        <f t="array" ref="Z16">IF($B16="",0,IF(AND(Z$3&gt;=INDEX(Inputs!$C:$C,MATCH("*Expense Start Month*",Inputs!$B:$B,0)),Z$3&lt;=INDEX(Inputs!$C:$C,MATCH("End Year",Inputs!$B:$B,0))*12),IF($B16="Property Management Fee (%EGI)",-Z11*Inputs!$C$28,-IncomeExpenses!$C$90/12*(1+INDEX(Inputs!$C:$C,MATCH("*Annual Expense Growth Rate*",Inputs!$B:$B,0)))^(Z$5-1)),0))</f>
        <v>0</v>
      </c>
      <c r="AA16" s="152">
        <f t="array" ref="AA16">IF($B16="",0,IF(AND(AA$3&gt;=INDEX(Inputs!$C:$C,MATCH("*Expense Start Month*",Inputs!$B:$B,0)),AA$3&lt;=INDEX(Inputs!$C:$C,MATCH("End Year",Inputs!$B:$B,0))*12),IF($B16="Property Management Fee (%EGI)",-AA11*Inputs!$C$28,-IncomeExpenses!$C$90/12*(1+INDEX(Inputs!$C:$C,MATCH("*Annual Expense Growth Rate*",Inputs!$B:$B,0)))^(AA$5-1)),0))</f>
        <v>0</v>
      </c>
      <c r="AB16" s="152">
        <f t="array" ref="AB16">IF($B16="",0,IF(AND(AB$3&gt;=INDEX(Inputs!$C:$C,MATCH("*Expense Start Month*",Inputs!$B:$B,0)),AB$3&lt;=INDEX(Inputs!$C:$C,MATCH("End Year",Inputs!$B:$B,0))*12),IF($B16="Property Management Fee (%EGI)",-AB11*Inputs!$C$28,-IncomeExpenses!$C$90/12*(1+INDEX(Inputs!$C:$C,MATCH("*Annual Expense Growth Rate*",Inputs!$B:$B,0)))^(AB$5-1)),0))</f>
        <v>0</v>
      </c>
      <c r="AC16" s="152">
        <f t="array" ref="AC16">IF($B16="",0,IF(AND(AC$3&gt;=INDEX(Inputs!$C:$C,MATCH("*Expense Start Month*",Inputs!$B:$B,0)),AC$3&lt;=INDEX(Inputs!$C:$C,MATCH("End Year",Inputs!$B:$B,0))*12),IF($B16="Property Management Fee (%EGI)",-AC11*Inputs!$C$28,-IncomeExpenses!$C$90/12*(1+INDEX(Inputs!$C:$C,MATCH("*Annual Expense Growth Rate*",Inputs!$B:$B,0)))^(AC$5-1)),0))</f>
        <v>0</v>
      </c>
      <c r="AD16" s="152">
        <f t="array" ref="AD16">IF($B16="",0,IF(AND(AD$3&gt;=INDEX(Inputs!$C:$C,MATCH("*Expense Start Month*",Inputs!$B:$B,0)),AD$3&lt;=INDEX(Inputs!$C:$C,MATCH("End Year",Inputs!$B:$B,0))*12),IF($B16="Property Management Fee (%EGI)",-AD11*Inputs!$C$28,-IncomeExpenses!$C$90/12*(1+INDEX(Inputs!$C:$C,MATCH("*Annual Expense Growth Rate*",Inputs!$B:$B,0)))^(AD$5-1)),0))</f>
        <v>0</v>
      </c>
      <c r="AE16" s="152">
        <f t="array" ref="AE16">IF($B16="",0,IF(AND(AE$3&gt;=INDEX(Inputs!$C:$C,MATCH("*Expense Start Month*",Inputs!$B:$B,0)),AE$3&lt;=INDEX(Inputs!$C:$C,MATCH("End Year",Inputs!$B:$B,0))*12),IF($B16="Property Management Fee (%EGI)",-AE11*Inputs!$C$28,-IncomeExpenses!$C$90/12*(1+INDEX(Inputs!$C:$C,MATCH("*Annual Expense Growth Rate*",Inputs!$B:$B,0)))^(AE$5-1)),0))</f>
        <v>0</v>
      </c>
      <c r="AF16" s="152">
        <f t="array" ref="AF16">IF($B16="",0,IF(AND(AF$3&gt;=INDEX(Inputs!$C:$C,MATCH("*Expense Start Month*",Inputs!$B:$B,0)),AF$3&lt;=INDEX(Inputs!$C:$C,MATCH("End Year",Inputs!$B:$B,0))*12),IF($B16="Property Management Fee (%EGI)",-AF11*Inputs!$C$28,-IncomeExpenses!$C$90/12*(1+INDEX(Inputs!$C:$C,MATCH("*Annual Expense Growth Rate*",Inputs!$B:$B,0)))^(AF$5-1)),0))</f>
        <v>0</v>
      </c>
      <c r="AG16" s="152">
        <f t="array" ref="AG16">IF($B16="",0,IF(AND(AG$3&gt;=INDEX(Inputs!$C:$C,MATCH("*Expense Start Month*",Inputs!$B:$B,0)),AG$3&lt;=INDEX(Inputs!$C:$C,MATCH("End Year",Inputs!$B:$B,0))*12),IF($B16="Property Management Fee (%EGI)",-AG11*Inputs!$C$28,-IncomeExpenses!$C$90/12*(1+INDEX(Inputs!$C:$C,MATCH("*Annual Expense Growth Rate*",Inputs!$B:$B,0)))^(AG$5-1)),0))</f>
        <v>0</v>
      </c>
      <c r="AH16" s="152">
        <f t="array" ref="AH16">IF($B16="",0,IF(AND(AH$3&gt;=INDEX(Inputs!$C:$C,MATCH("*Expense Start Month*",Inputs!$B:$B,0)),AH$3&lt;=INDEX(Inputs!$C:$C,MATCH("End Year",Inputs!$B:$B,0))*12),IF($B16="Property Management Fee (%EGI)",-AH11*Inputs!$C$28,-IncomeExpenses!$C$90/12*(1+INDEX(Inputs!$C:$C,MATCH("*Annual Expense Growth Rate*",Inputs!$B:$B,0)))^(AH$5-1)),0))</f>
        <v>0</v>
      </c>
      <c r="AI16" s="152">
        <f t="array" ref="AI16">IF($B16="",0,IF(AND(AI$3&gt;=INDEX(Inputs!$C:$C,MATCH("*Expense Start Month*",Inputs!$B:$B,0)),AI$3&lt;=INDEX(Inputs!$C:$C,MATCH("End Year",Inputs!$B:$B,0))*12),IF($B16="Property Management Fee (%EGI)",-AI11*Inputs!$C$28,-IncomeExpenses!$C$90/12*(1+INDEX(Inputs!$C:$C,MATCH("*Annual Expense Growth Rate*",Inputs!$B:$B,0)))^(AI$5-1)),0))</f>
        <v>0</v>
      </c>
      <c r="AJ16" s="152">
        <f t="array" ref="AJ16">IF($B16="",0,IF(AND(AJ$3&gt;=INDEX(Inputs!$C:$C,MATCH("*Expense Start Month*",Inputs!$B:$B,0)),AJ$3&lt;=INDEX(Inputs!$C:$C,MATCH("End Year",Inputs!$B:$B,0))*12),IF($B16="Property Management Fee (%EGI)",-AJ11*Inputs!$C$28,-IncomeExpenses!$C$90/12*(1+INDEX(Inputs!$C:$C,MATCH("*Annual Expense Growth Rate*",Inputs!$B:$B,0)))^(AJ$5-1)),0))</f>
        <v>0</v>
      </c>
      <c r="AK16" s="152">
        <f t="array" ref="AK16">IF($B16="",0,IF(AND(AK$3&gt;=INDEX(Inputs!$C:$C,MATCH("*Expense Start Month*",Inputs!$B:$B,0)),AK$3&lt;=INDEX(Inputs!$C:$C,MATCH("End Year",Inputs!$B:$B,0))*12),IF($B16="Property Management Fee (%EGI)",-AK11*Inputs!$C$28,-IncomeExpenses!$C$90/12*(1+INDEX(Inputs!$C:$C,MATCH("*Annual Expense Growth Rate*",Inputs!$B:$B,0)))^(AK$5-1)),0))</f>
        <v>0</v>
      </c>
      <c r="AL16" s="152">
        <f t="array" ref="AL16">IF($B16="",0,IF(AND(AL$3&gt;=INDEX(Inputs!$C:$C,MATCH("*Expense Start Month*",Inputs!$B:$B,0)),AL$3&lt;=INDEX(Inputs!$C:$C,MATCH("End Year",Inputs!$B:$B,0))*12),IF($B16="Property Management Fee (%EGI)",-AL11*Inputs!$C$28,-IncomeExpenses!$C$90/12*(1+INDEX(Inputs!$C:$C,MATCH("*Annual Expense Growth Rate*",Inputs!$B:$B,0)))^(AL$5-1)),0))</f>
        <v>0</v>
      </c>
      <c r="AM16" s="152">
        <f t="array" ref="AM16">IF($B16="",0,IF(AND(AM$3&gt;=INDEX(Inputs!$C:$C,MATCH("*Expense Start Month*",Inputs!$B:$B,0)),AM$3&lt;=INDEX(Inputs!$C:$C,MATCH("End Year",Inputs!$B:$B,0))*12),IF($B16="Property Management Fee (%EGI)",-AM11*Inputs!$C$28,-IncomeExpenses!$C$90/12*(1+INDEX(Inputs!$C:$C,MATCH("*Annual Expense Growth Rate*",Inputs!$B:$B,0)))^(AM$5-1)),0))</f>
        <v>0</v>
      </c>
      <c r="AN16" s="152">
        <f t="array" ref="AN16">IF($B16="",0,IF(AND(AN$3&gt;=INDEX(Inputs!$C:$C,MATCH("*Expense Start Month*",Inputs!$B:$B,0)),AN$3&lt;=INDEX(Inputs!$C:$C,MATCH("End Year",Inputs!$B:$B,0))*12),IF($B16="Property Management Fee (%EGI)",-AN11*Inputs!$C$28,-IncomeExpenses!$C$90/12*(1+INDEX(Inputs!$C:$C,MATCH("*Annual Expense Growth Rate*",Inputs!$B:$B,0)))^(AN$5-1)),0))</f>
        <v>0</v>
      </c>
      <c r="AO16" s="152">
        <f t="array" ref="AO16">IF($B16="",0,IF(AND(AO$3&gt;=INDEX(Inputs!$C:$C,MATCH("*Expense Start Month*",Inputs!$B:$B,0)),AO$3&lt;=INDEX(Inputs!$C:$C,MATCH("End Year",Inputs!$B:$B,0))*12),IF($B16="Property Management Fee (%EGI)",-AO11*Inputs!$C$28,-IncomeExpenses!$C$90/12*(1+INDEX(Inputs!$C:$C,MATCH("*Annual Expense Growth Rate*",Inputs!$B:$B,0)))^(AO$5-1)),0))</f>
        <v>0</v>
      </c>
      <c r="AP16" s="152">
        <f t="array" ref="AP16">IF($B16="",0,IF(AND(AP$3&gt;=INDEX(Inputs!$C:$C,MATCH("*Expense Start Month*",Inputs!$B:$B,0)),AP$3&lt;=INDEX(Inputs!$C:$C,MATCH("End Year",Inputs!$B:$B,0))*12),IF($B16="Property Management Fee (%EGI)",-AP11*Inputs!$C$28,-IncomeExpenses!$C$90/12*(1+INDEX(Inputs!$C:$C,MATCH("*Annual Expense Growth Rate*",Inputs!$B:$B,0)))^(AP$5-1)),0))</f>
        <v>0</v>
      </c>
      <c r="AQ16" s="152">
        <f t="array" ref="AQ16">IF($B16="",0,IF(AND(AQ$3&gt;=INDEX(Inputs!$C:$C,MATCH("*Expense Start Month*",Inputs!$B:$B,0)),AQ$3&lt;=INDEX(Inputs!$C:$C,MATCH("End Year",Inputs!$B:$B,0))*12),IF($B16="Property Management Fee (%EGI)",-AQ11*Inputs!$C$28,-IncomeExpenses!$C$90/12*(1+INDEX(Inputs!$C:$C,MATCH("*Annual Expense Growth Rate*",Inputs!$B:$B,0)))^(AQ$5-1)),0))</f>
        <v>0</v>
      </c>
      <c r="AR16" s="152">
        <f t="array" ref="AR16">IF($B16="",0,IF(AND(AR$3&gt;=INDEX(Inputs!$C:$C,MATCH("*Expense Start Month*",Inputs!$B:$B,0)),AR$3&lt;=INDEX(Inputs!$C:$C,MATCH("End Year",Inputs!$B:$B,0))*12),IF($B16="Property Management Fee (%EGI)",-AR11*Inputs!$C$28,-IncomeExpenses!$C$90/12*(1+INDEX(Inputs!$C:$C,MATCH("*Annual Expense Growth Rate*",Inputs!$B:$B,0)))^(AR$5-1)),0))</f>
        <v>0</v>
      </c>
      <c r="AS16" s="152">
        <f t="array" ref="AS16">IF($B16="",0,IF(AND(AS$3&gt;=INDEX(Inputs!$C:$C,MATCH("*Expense Start Month*",Inputs!$B:$B,0)),AS$3&lt;=INDEX(Inputs!$C:$C,MATCH("End Year",Inputs!$B:$B,0))*12),IF($B16="Property Management Fee (%EGI)",-AS11*Inputs!$C$28,-IncomeExpenses!$C$90/12*(1+INDEX(Inputs!$C:$C,MATCH("*Annual Expense Growth Rate*",Inputs!$B:$B,0)))^(AS$5-1)),0))</f>
        <v>0</v>
      </c>
      <c r="AT16" s="152">
        <f t="array" ref="AT16">IF($B16="",0,IF(AND(AT$3&gt;=INDEX(Inputs!$C:$C,MATCH("*Expense Start Month*",Inputs!$B:$B,0)),AT$3&lt;=INDEX(Inputs!$C:$C,MATCH("End Year",Inputs!$B:$B,0))*12),IF($B16="Property Management Fee (%EGI)",-AT11*Inputs!$C$28,-IncomeExpenses!$C$90/12*(1+INDEX(Inputs!$C:$C,MATCH("*Annual Expense Growth Rate*",Inputs!$B:$B,0)))^(AT$5-1)),0))</f>
        <v>0</v>
      </c>
      <c r="AU16" s="152">
        <f t="array" ref="AU16">IF($B16="",0,IF(AND(AU$3&gt;=INDEX(Inputs!$C:$C,MATCH("*Expense Start Month*",Inputs!$B:$B,0)),AU$3&lt;=INDEX(Inputs!$C:$C,MATCH("End Year",Inputs!$B:$B,0))*12),IF($B16="Property Management Fee (%EGI)",-AU11*Inputs!$C$28,-IncomeExpenses!$C$90/12*(1+INDEX(Inputs!$C:$C,MATCH("*Annual Expense Growth Rate*",Inputs!$B:$B,0)))^(AU$5-1)),0))</f>
        <v>0</v>
      </c>
      <c r="AV16" s="152">
        <f t="array" ref="AV16">IF($B16="",0,IF(AND(AV$3&gt;=INDEX(Inputs!$C:$C,MATCH("*Expense Start Month*",Inputs!$B:$B,0)),AV$3&lt;=INDEX(Inputs!$C:$C,MATCH("End Year",Inputs!$B:$B,0))*12),IF($B16="Property Management Fee (%EGI)",-AV11*Inputs!$C$28,-IncomeExpenses!$C$90/12*(1+INDEX(Inputs!$C:$C,MATCH("*Annual Expense Growth Rate*",Inputs!$B:$B,0)))^(AV$5-1)),0))</f>
        <v>0</v>
      </c>
      <c r="AW16" s="152">
        <f t="array" ref="AW16">IF($B16="",0,IF(AND(AW$3&gt;=INDEX(Inputs!$C:$C,MATCH("*Expense Start Month*",Inputs!$B:$B,0)),AW$3&lt;=INDEX(Inputs!$C:$C,MATCH("End Year",Inputs!$B:$B,0))*12),IF($B16="Property Management Fee (%EGI)",-AW11*Inputs!$C$28,-IncomeExpenses!$C$90/12*(1+INDEX(Inputs!$C:$C,MATCH("*Annual Expense Growth Rate*",Inputs!$B:$B,0)))^(AW$5-1)),0))</f>
        <v>0</v>
      </c>
      <c r="AX16" s="152">
        <f t="array" ref="AX16">IF($B16="",0,IF(AND(AX$3&gt;=INDEX(Inputs!$C:$C,MATCH("*Expense Start Month*",Inputs!$B:$B,0)),AX$3&lt;=INDEX(Inputs!$C:$C,MATCH("End Year",Inputs!$B:$B,0))*12),IF($B16="Property Management Fee (%EGI)",-AX11*Inputs!$C$28,-IncomeExpenses!$C$90/12*(1+INDEX(Inputs!$C:$C,MATCH("*Annual Expense Growth Rate*",Inputs!$B:$B,0)))^(AX$5-1)),0))</f>
        <v>0</v>
      </c>
      <c r="AY16" s="152">
        <f t="array" ref="AY16">IF($B16="",0,IF(AND(AY$3&gt;=INDEX(Inputs!$C:$C,MATCH("*Expense Start Month*",Inputs!$B:$B,0)),AY$3&lt;=INDEX(Inputs!$C:$C,MATCH("End Year",Inputs!$B:$B,0))*12),IF($B16="Property Management Fee (%EGI)",-AY11*Inputs!$C$28,-IncomeExpenses!$C$90/12*(1+INDEX(Inputs!$C:$C,MATCH("*Annual Expense Growth Rate*",Inputs!$B:$B,0)))^(AY$5-1)),0))</f>
        <v>0</v>
      </c>
      <c r="AZ16" s="152">
        <f t="array" ref="AZ16">IF($B16="",0,IF(AND(AZ$3&gt;=INDEX(Inputs!$C:$C,MATCH("*Expense Start Month*",Inputs!$B:$B,0)),AZ$3&lt;=INDEX(Inputs!$C:$C,MATCH("End Year",Inputs!$B:$B,0))*12),IF($B16="Property Management Fee (%EGI)",-AZ11*Inputs!$C$28,-IncomeExpenses!$C$90/12*(1+INDEX(Inputs!$C:$C,MATCH("*Annual Expense Growth Rate*",Inputs!$B:$B,0)))^(AZ$5-1)),0))</f>
        <v>0</v>
      </c>
      <c r="BA16" s="152">
        <f t="array" ref="BA16">IF($B16="",0,IF(AND(BA$3&gt;=INDEX(Inputs!$C:$C,MATCH("*Expense Start Month*",Inputs!$B:$B,0)),BA$3&lt;=INDEX(Inputs!$C:$C,MATCH("End Year",Inputs!$B:$B,0))*12),IF($B16="Property Management Fee (%EGI)",-BA11*Inputs!$C$28,-IncomeExpenses!$C$90/12*(1+INDEX(Inputs!$C:$C,MATCH("*Annual Expense Growth Rate*",Inputs!$B:$B,0)))^(BA$5-1)),0))</f>
        <v>0</v>
      </c>
      <c r="BB16" s="152">
        <f t="array" ref="BB16">IF($B16="",0,IF(AND(BB$3&gt;=INDEX(Inputs!$C:$C,MATCH("*Expense Start Month*",Inputs!$B:$B,0)),BB$3&lt;=INDEX(Inputs!$C:$C,MATCH("End Year",Inputs!$B:$B,0))*12),IF($B16="Property Management Fee (%EGI)",-BB11*Inputs!$C$28,-IncomeExpenses!$C$90/12*(1+INDEX(Inputs!$C:$C,MATCH("*Annual Expense Growth Rate*",Inputs!$B:$B,0)))^(BB$5-1)),0))</f>
        <v>0</v>
      </c>
      <c r="BC16" s="152">
        <f t="array" ref="BC16">IF($B16="",0,IF(AND(BC$3&gt;=INDEX(Inputs!$C:$C,MATCH("*Expense Start Month*",Inputs!$B:$B,0)),BC$3&lt;=INDEX(Inputs!$C:$C,MATCH("End Year",Inputs!$B:$B,0))*12),IF($B16="Property Management Fee (%EGI)",-BC11*Inputs!$C$28,-IncomeExpenses!$C$90/12*(1+INDEX(Inputs!$C:$C,MATCH("*Annual Expense Growth Rate*",Inputs!$B:$B,0)))^(BC$5-1)),0))</f>
        <v>0</v>
      </c>
      <c r="BD16" s="152">
        <f t="array" ref="BD16">IF($B16="",0,IF(AND(BD$3&gt;=INDEX(Inputs!$C:$C,MATCH("*Expense Start Month*",Inputs!$B:$B,0)),BD$3&lt;=INDEX(Inputs!$C:$C,MATCH("End Year",Inputs!$B:$B,0))*12),IF($B16="Property Management Fee (%EGI)",-BD11*Inputs!$C$28,-IncomeExpenses!$C$90/12*(1+INDEX(Inputs!$C:$C,MATCH("*Annual Expense Growth Rate*",Inputs!$B:$B,0)))^(BD$5-1)),0))</f>
        <v>0</v>
      </c>
      <c r="BE16" s="152">
        <f t="array" ref="BE16">IF($B16="",0,IF(AND(BE$3&gt;=INDEX(Inputs!$C:$C,MATCH("*Expense Start Month*",Inputs!$B:$B,0)),BE$3&lt;=INDEX(Inputs!$C:$C,MATCH("End Year",Inputs!$B:$B,0))*12),IF($B16="Property Management Fee (%EGI)",-BE11*Inputs!$C$28,-IncomeExpenses!$C$90/12*(1+INDEX(Inputs!$C:$C,MATCH("*Annual Expense Growth Rate*",Inputs!$B:$B,0)))^(BE$5-1)),0))</f>
        <v>0</v>
      </c>
      <c r="BF16" s="152">
        <f t="array" ref="BF16">IF($B16="",0,IF(AND(BF$3&gt;=INDEX(Inputs!$C:$C,MATCH("*Expense Start Month*",Inputs!$B:$B,0)),BF$3&lt;=INDEX(Inputs!$C:$C,MATCH("End Year",Inputs!$B:$B,0))*12),IF($B16="Property Management Fee (%EGI)",-BF11*Inputs!$C$28,-IncomeExpenses!$C$90/12*(1+INDEX(Inputs!$C:$C,MATCH("*Annual Expense Growth Rate*",Inputs!$B:$B,0)))^(BF$5-1)),0))</f>
        <v>0</v>
      </c>
      <c r="BG16" s="152">
        <f t="array" ref="BG16">IF($B16="",0,IF(AND(BG$3&gt;=INDEX(Inputs!$C:$C,MATCH("*Expense Start Month*",Inputs!$B:$B,0)),BG$3&lt;=INDEX(Inputs!$C:$C,MATCH("End Year",Inputs!$B:$B,0))*12),IF($B16="Property Management Fee (%EGI)",-BG11*Inputs!$C$28,-IncomeExpenses!$C$90/12*(1+INDEX(Inputs!$C:$C,MATCH("*Annual Expense Growth Rate*",Inputs!$B:$B,0)))^(BG$5-1)),0))</f>
        <v>0</v>
      </c>
      <c r="BH16" s="152">
        <f t="array" ref="BH16">IF($B16="",0,IF(AND(BH$3&gt;=INDEX(Inputs!$C:$C,MATCH("*Expense Start Month*",Inputs!$B:$B,0)),BH$3&lt;=INDEX(Inputs!$C:$C,MATCH("End Year",Inputs!$B:$B,0))*12),IF($B16="Property Management Fee (%EGI)",-BH11*Inputs!$C$28,-IncomeExpenses!$C$90/12*(1+INDEX(Inputs!$C:$C,MATCH("*Annual Expense Growth Rate*",Inputs!$B:$B,0)))^(BH$5-1)),0))</f>
        <v>0</v>
      </c>
      <c r="BI16" s="152">
        <f t="array" ref="BI16">IF($B16="",0,IF(AND(BI$3&gt;=INDEX(Inputs!$C:$C,MATCH("*Expense Start Month*",Inputs!$B:$B,0)),BI$3&lt;=INDEX(Inputs!$C:$C,MATCH("End Year",Inputs!$B:$B,0))*12),IF($B16="Property Management Fee (%EGI)",-BI11*Inputs!$C$28,-IncomeExpenses!$C$90/12*(1+INDEX(Inputs!$C:$C,MATCH("*Annual Expense Growth Rate*",Inputs!$B:$B,0)))^(BI$5-1)),0))</f>
        <v>0</v>
      </c>
      <c r="BJ16" s="152">
        <f t="array" ref="BJ16">IF($B16="",0,IF(AND(BJ$3&gt;=INDEX(Inputs!$C:$C,MATCH("*Expense Start Month*",Inputs!$B:$B,0)),BJ$3&lt;=INDEX(Inputs!$C:$C,MATCH("End Year",Inputs!$B:$B,0))*12),IF($B16="Property Management Fee (%EGI)",-BJ11*Inputs!$C$28,-IncomeExpenses!$C$90/12*(1+INDEX(Inputs!$C:$C,MATCH("*Annual Expense Growth Rate*",Inputs!$B:$B,0)))^(BJ$5-1)),0))</f>
        <v>0</v>
      </c>
      <c r="BK16" s="152">
        <f t="array" ref="BK16">IF($B16="",0,IF(AND(BK$3&gt;=INDEX(Inputs!$C:$C,MATCH("*Expense Start Month*",Inputs!$B:$B,0)),BK$3&lt;=INDEX(Inputs!$C:$C,MATCH("End Year",Inputs!$B:$B,0))*12),IF($B16="Property Management Fee (%EGI)",-BK11*Inputs!$C$28,-IncomeExpenses!$C$90/12*(1+INDEX(Inputs!$C:$C,MATCH("*Annual Expense Growth Rate*",Inputs!$B:$B,0)))^(BK$5-1)),0))</f>
        <v>0</v>
      </c>
      <c r="BL16" s="152">
        <f t="array" ref="BL16">IF($B16="",0,IF(AND(BL$3&gt;=INDEX(Inputs!$C:$C,MATCH("*Expense Start Month*",Inputs!$B:$B,0)),BL$3&lt;=INDEX(Inputs!$C:$C,MATCH("End Year",Inputs!$B:$B,0))*12),IF($B16="Property Management Fee (%EGI)",-BL11*Inputs!$C$28,-IncomeExpenses!$C$90/12*(1+INDEX(Inputs!$C:$C,MATCH("*Annual Expense Growth Rate*",Inputs!$B:$B,0)))^(BL$5-1)),0))</f>
        <v>0</v>
      </c>
      <c r="BM16" s="152">
        <f t="array" ref="BM16">IF($B16="",0,IF(AND(BM$3&gt;=INDEX(Inputs!$C:$C,MATCH("*Expense Start Month*",Inputs!$B:$B,0)),BM$3&lt;=INDEX(Inputs!$C:$C,MATCH("End Year",Inputs!$B:$B,0))*12),IF($B16="Property Management Fee (%EGI)",-BM11*Inputs!$C$28,-IncomeExpenses!$C$90/12*(1+INDEX(Inputs!$C:$C,MATCH("*Annual Expense Growth Rate*",Inputs!$B:$B,0)))^(BM$5-1)),0))</f>
        <v>0</v>
      </c>
      <c r="BN16" s="152">
        <f t="array" ref="BN16">IF($B16="",0,IF(AND(BN$3&gt;=INDEX(Inputs!$C:$C,MATCH("*Expense Start Month*",Inputs!$B:$B,0)),BN$3&lt;=INDEX(Inputs!$C:$C,MATCH("End Year",Inputs!$B:$B,0))*12),IF($B16="Property Management Fee (%EGI)",-BN11*Inputs!$C$28,-IncomeExpenses!$C$90/12*(1+INDEX(Inputs!$C:$C,MATCH("*Annual Expense Growth Rate*",Inputs!$B:$B,0)))^(BN$5-1)),0))</f>
        <v>0</v>
      </c>
      <c r="BO16" s="152">
        <f t="array" ref="BO16">IF($B16="",0,IF(AND(BO$3&gt;=INDEX(Inputs!$C:$C,MATCH("*Expense Start Month*",Inputs!$B:$B,0)),BO$3&lt;=INDEX(Inputs!$C:$C,MATCH("End Year",Inputs!$B:$B,0))*12),IF($B16="Property Management Fee (%EGI)",-BO11*Inputs!$C$28,-IncomeExpenses!$C$90/12*(1+INDEX(Inputs!$C:$C,MATCH("*Annual Expense Growth Rate*",Inputs!$B:$B,0)))^(BO$5-1)),0))</f>
        <v>0</v>
      </c>
      <c r="BP16" s="152">
        <f t="array" ref="BP16">IF($B16="",0,IF(AND(BP$3&gt;=INDEX(Inputs!$C:$C,MATCH("*Expense Start Month*",Inputs!$B:$B,0)),BP$3&lt;=INDEX(Inputs!$C:$C,MATCH("End Year",Inputs!$B:$B,0))*12),IF($B16="Property Management Fee (%EGI)",-BP11*Inputs!$C$28,-IncomeExpenses!$C$90/12*(1+INDEX(Inputs!$C:$C,MATCH("*Annual Expense Growth Rate*",Inputs!$B:$B,0)))^(BP$5-1)),0))</f>
        <v>0</v>
      </c>
      <c r="BQ16" s="152">
        <f t="array" ref="BQ16">IF($B16="",0,IF(AND(BQ$3&gt;=INDEX(Inputs!$C:$C,MATCH("*Expense Start Month*",Inputs!$B:$B,0)),BQ$3&lt;=INDEX(Inputs!$C:$C,MATCH("End Year",Inputs!$B:$B,0))*12),IF($B16="Property Management Fee (%EGI)",-BQ11*Inputs!$C$28,-IncomeExpenses!$C$90/12*(1+INDEX(Inputs!$C:$C,MATCH("*Annual Expense Growth Rate*",Inputs!$B:$B,0)))^(BQ$5-1)),0))</f>
        <v>0</v>
      </c>
      <c r="BR16" s="152">
        <f t="array" ref="BR16">IF($B16="",0,IF(AND(BR$3&gt;=INDEX(Inputs!$C:$C,MATCH("*Expense Start Month*",Inputs!$B:$B,0)),BR$3&lt;=INDEX(Inputs!$C:$C,MATCH("End Year",Inputs!$B:$B,0))*12),IF($B16="Property Management Fee (%EGI)",-BR11*Inputs!$C$28,-IncomeExpenses!$C$90/12*(1+INDEX(Inputs!$C:$C,MATCH("*Annual Expense Growth Rate*",Inputs!$B:$B,0)))^(BR$5-1)),0))</f>
        <v>0</v>
      </c>
      <c r="BS16" s="152">
        <f t="array" ref="BS16">IF($B16="",0,IF(AND(BS$3&gt;=INDEX(Inputs!$C:$C,MATCH("*Expense Start Month*",Inputs!$B:$B,0)),BS$3&lt;=INDEX(Inputs!$C:$C,MATCH("End Year",Inputs!$B:$B,0))*12),IF($B16="Property Management Fee (%EGI)",-BS11*Inputs!$C$28,-IncomeExpenses!$C$90/12*(1+INDEX(Inputs!$C:$C,MATCH("*Annual Expense Growth Rate*",Inputs!$B:$B,0)))^(BS$5-1)),0))</f>
        <v>0</v>
      </c>
      <c r="BT16" s="152">
        <f t="array" ref="BT16">IF($B16="",0,IF(AND(BT$3&gt;=INDEX(Inputs!$C:$C,MATCH("*Expense Start Month*",Inputs!$B:$B,0)),BT$3&lt;=INDEX(Inputs!$C:$C,MATCH("End Year",Inputs!$B:$B,0))*12),IF($B16="Property Management Fee (%EGI)",-BT11*Inputs!$C$28,-IncomeExpenses!$C$90/12*(1+INDEX(Inputs!$C:$C,MATCH("*Annual Expense Growth Rate*",Inputs!$B:$B,0)))^(BT$5-1)),0))</f>
        <v>0</v>
      </c>
      <c r="BU16" s="152">
        <f t="array" ref="BU16">IF($B16="",0,IF(AND(BU$3&gt;=INDEX(Inputs!$C:$C,MATCH("*Expense Start Month*",Inputs!$B:$B,0)),BU$3&lt;=INDEX(Inputs!$C:$C,MATCH("End Year",Inputs!$B:$B,0))*12),IF($B16="Property Management Fee (%EGI)",-BU11*Inputs!$C$28,-IncomeExpenses!$C$90/12*(1+INDEX(Inputs!$C:$C,MATCH("*Annual Expense Growth Rate*",Inputs!$B:$B,0)))^(BU$5-1)),0))</f>
        <v>0</v>
      </c>
      <c r="BV16" s="152">
        <f t="array" ref="BV16">IF($B16="",0,IF(AND(BV$3&gt;=INDEX(Inputs!$C:$C,MATCH("*Expense Start Month*",Inputs!$B:$B,0)),BV$3&lt;=INDEX(Inputs!$C:$C,MATCH("End Year",Inputs!$B:$B,0))*12),IF($B16="Property Management Fee (%EGI)",-BV11*Inputs!$C$28,-IncomeExpenses!$C$90/12*(1+INDEX(Inputs!$C:$C,MATCH("*Annual Expense Growth Rate*",Inputs!$B:$B,0)))^(BV$5-1)),0))</f>
        <v>0</v>
      </c>
      <c r="BW16" s="152">
        <f t="array" ref="BW16">IF($B16="",0,IF(AND(BW$3&gt;=INDEX(Inputs!$C:$C,MATCH("*Expense Start Month*",Inputs!$B:$B,0)),BW$3&lt;=INDEX(Inputs!$C:$C,MATCH("End Year",Inputs!$B:$B,0))*12),IF($B16="Property Management Fee (%EGI)",-BW11*Inputs!$C$28,-IncomeExpenses!$C$90/12*(1+INDEX(Inputs!$C:$C,MATCH("*Annual Expense Growth Rate*",Inputs!$B:$B,0)))^(BW$5-1)),0))</f>
        <v>0</v>
      </c>
      <c r="BX16" s="152">
        <f t="array" ref="BX16">IF($B16="",0,IF(AND(BX$3&gt;=INDEX(Inputs!$C:$C,MATCH("*Expense Start Month*",Inputs!$B:$B,0)),BX$3&lt;=INDEX(Inputs!$C:$C,MATCH("End Year",Inputs!$B:$B,0))*12),IF($B16="Property Management Fee (%EGI)",-BX11*Inputs!$C$28,-IncomeExpenses!$C$90/12*(1+INDEX(Inputs!$C:$C,MATCH("*Annual Expense Growth Rate*",Inputs!$B:$B,0)))^(BX$5-1)),0))</f>
        <v>0</v>
      </c>
      <c r="BY16" s="152">
        <f t="array" ref="BY16">IF($B16="",0,IF(AND(BY$3&gt;=INDEX(Inputs!$C:$C,MATCH("*Expense Start Month*",Inputs!$B:$B,0)),BY$3&lt;=INDEX(Inputs!$C:$C,MATCH("End Year",Inputs!$B:$B,0))*12),IF($B16="Property Management Fee (%EGI)",-BY11*Inputs!$C$28,-IncomeExpenses!$C$90/12*(1+INDEX(Inputs!$C:$C,MATCH("*Annual Expense Growth Rate*",Inputs!$B:$B,0)))^(BY$5-1)),0))</f>
        <v>0</v>
      </c>
      <c r="BZ16" s="152">
        <f t="array" ref="BZ16">IF($B16="",0,IF(AND(BZ$3&gt;=INDEX(Inputs!$C:$C,MATCH("*Expense Start Month*",Inputs!$B:$B,0)),BZ$3&lt;=INDEX(Inputs!$C:$C,MATCH("End Year",Inputs!$B:$B,0))*12),IF($B16="Property Management Fee (%EGI)",-BZ11*Inputs!$C$28,-IncomeExpenses!$C$90/12*(1+INDEX(Inputs!$C:$C,MATCH("*Annual Expense Growth Rate*",Inputs!$B:$B,0)))^(BZ$5-1)),0))</f>
        <v>0</v>
      </c>
      <c r="CA16" s="152">
        <f t="array" ref="CA16">IF($B16="",0,IF(AND(CA$3&gt;=INDEX(Inputs!$C:$C,MATCH("*Expense Start Month*",Inputs!$B:$B,0)),CA$3&lt;=INDEX(Inputs!$C:$C,MATCH("End Year",Inputs!$B:$B,0))*12),IF($B16="Property Management Fee (%EGI)",-CA11*Inputs!$C$28,-IncomeExpenses!$C$90/12*(1+INDEX(Inputs!$C:$C,MATCH("*Annual Expense Growth Rate*",Inputs!$B:$B,0)))^(CA$5-1)),0))</f>
        <v>0</v>
      </c>
      <c r="CB16" s="152">
        <f t="array" ref="CB16">IF($B16="",0,IF(AND(CB$3&gt;=INDEX(Inputs!$C:$C,MATCH("*Expense Start Month*",Inputs!$B:$B,0)),CB$3&lt;=INDEX(Inputs!$C:$C,MATCH("End Year",Inputs!$B:$B,0))*12),IF($B16="Property Management Fee (%EGI)",-CB11*Inputs!$C$28,-IncomeExpenses!$C$90/12*(1+INDEX(Inputs!$C:$C,MATCH("*Annual Expense Growth Rate*",Inputs!$B:$B,0)))^(CB$5-1)),0))</f>
        <v>0</v>
      </c>
      <c r="CC16" s="152">
        <f t="array" ref="CC16">IF($B16="",0,IF(AND(CC$3&gt;=INDEX(Inputs!$C:$C,MATCH("*Expense Start Month*",Inputs!$B:$B,0)),CC$3&lt;=INDEX(Inputs!$C:$C,MATCH("End Year",Inputs!$B:$B,0))*12),IF($B16="Property Management Fee (%EGI)",-CC11*Inputs!$C$28,-IncomeExpenses!$C$90/12*(1+INDEX(Inputs!$C:$C,MATCH("*Annual Expense Growth Rate*",Inputs!$B:$B,0)))^(CC$5-1)),0))</f>
        <v>0</v>
      </c>
      <c r="CD16" s="152">
        <f t="array" ref="CD16">IF($B16="",0,IF(AND(CD$3&gt;=INDEX(Inputs!$C:$C,MATCH("*Expense Start Month*",Inputs!$B:$B,0)),CD$3&lt;=INDEX(Inputs!$C:$C,MATCH("End Year",Inputs!$B:$B,0))*12),IF($B16="Property Management Fee (%EGI)",-CD11*Inputs!$C$28,-IncomeExpenses!$C$90/12*(1+INDEX(Inputs!$C:$C,MATCH("*Annual Expense Growth Rate*",Inputs!$B:$B,0)))^(CD$5-1)),0))</f>
        <v>0</v>
      </c>
      <c r="CE16" s="152">
        <f t="array" ref="CE16">IF($B16="",0,IF(AND(CE$3&gt;=INDEX(Inputs!$C:$C,MATCH("*Expense Start Month*",Inputs!$B:$B,0)),CE$3&lt;=INDEX(Inputs!$C:$C,MATCH("End Year",Inputs!$B:$B,0))*12),IF($B16="Property Management Fee (%EGI)",-CE11*Inputs!$C$28,-IncomeExpenses!$C$90/12*(1+INDEX(Inputs!$C:$C,MATCH("*Annual Expense Growth Rate*",Inputs!$B:$B,0)))^(CE$5-1)),0))</f>
        <v>0</v>
      </c>
      <c r="CF16" s="152">
        <f t="array" ref="CF16">IF($B16="",0,IF(AND(CF$3&gt;=INDEX(Inputs!$C:$C,MATCH("*Expense Start Month*",Inputs!$B:$B,0)),CF$3&lt;=INDEX(Inputs!$C:$C,MATCH("End Year",Inputs!$B:$B,0))*12),IF($B16="Property Management Fee (%EGI)",-CF11*Inputs!$C$28,-IncomeExpenses!$C$90/12*(1+INDEX(Inputs!$C:$C,MATCH("*Annual Expense Growth Rate*",Inputs!$B:$B,0)))^(CF$5-1)),0))</f>
        <v>0</v>
      </c>
      <c r="CG16" s="152">
        <f t="array" ref="CG16">IF($B16="",0,IF(AND(CG$3&gt;=INDEX(Inputs!$C:$C,MATCH("*Expense Start Month*",Inputs!$B:$B,0)),CG$3&lt;=INDEX(Inputs!$C:$C,MATCH("End Year",Inputs!$B:$B,0))*12),IF($B16="Property Management Fee (%EGI)",-CG11*Inputs!$C$28,-IncomeExpenses!$C$90/12*(1+INDEX(Inputs!$C:$C,MATCH("*Annual Expense Growth Rate*",Inputs!$B:$B,0)))^(CG$5-1)),0))</f>
        <v>0</v>
      </c>
      <c r="CH16" s="152">
        <f t="array" ref="CH16">IF($B16="",0,IF(AND(CH$3&gt;=INDEX(Inputs!$C:$C,MATCH("*Expense Start Month*",Inputs!$B:$B,0)),CH$3&lt;=INDEX(Inputs!$C:$C,MATCH("End Year",Inputs!$B:$B,0))*12),IF($B16="Property Management Fee (%EGI)",-CH11*Inputs!$C$28,-IncomeExpenses!$C$90/12*(1+INDEX(Inputs!$C:$C,MATCH("*Annual Expense Growth Rate*",Inputs!$B:$B,0)))^(CH$5-1)),0))</f>
        <v>0</v>
      </c>
      <c r="CI16" s="152">
        <f t="array" ref="CI16">IF($B16="",0,IF(AND(CI$3&gt;=INDEX(Inputs!$C:$C,MATCH("*Expense Start Month*",Inputs!$B:$B,0)),CI$3&lt;=INDEX(Inputs!$C:$C,MATCH("End Year",Inputs!$B:$B,0))*12),IF($B16="Property Management Fee (%EGI)",-CI11*Inputs!$C$28,-IncomeExpenses!$C$90/12*(1+INDEX(Inputs!$C:$C,MATCH("*Annual Expense Growth Rate*",Inputs!$B:$B,0)))^(CI$5-1)),0))</f>
        <v>0</v>
      </c>
      <c r="CJ16" s="152">
        <f t="array" ref="CJ16">IF($B16="",0,IF(AND(CJ$3&gt;=INDEX(Inputs!$C:$C,MATCH("*Expense Start Month*",Inputs!$B:$B,0)),CJ$3&lt;=INDEX(Inputs!$C:$C,MATCH("End Year",Inputs!$B:$B,0))*12),IF($B16="Property Management Fee (%EGI)",-CJ11*Inputs!$C$28,-IncomeExpenses!$C$90/12*(1+INDEX(Inputs!$C:$C,MATCH("*Annual Expense Growth Rate*",Inputs!$B:$B,0)))^(CJ$5-1)),0))</f>
        <v>0</v>
      </c>
      <c r="CK16" s="152">
        <f t="array" ref="CK16">IF($B16="",0,IF(AND(CK$3&gt;=INDEX(Inputs!$C:$C,MATCH("*Expense Start Month*",Inputs!$B:$B,0)),CK$3&lt;=INDEX(Inputs!$C:$C,MATCH("End Year",Inputs!$B:$B,0))*12),IF($B16="Property Management Fee (%EGI)",-CK11*Inputs!$C$28,-IncomeExpenses!$C$90/12*(1+INDEX(Inputs!$C:$C,MATCH("*Annual Expense Growth Rate*",Inputs!$B:$B,0)))^(CK$5-1)),0))</f>
        <v>0</v>
      </c>
      <c r="CL16" s="152">
        <f t="array" ref="CL16">IF($B16="",0,IF(AND(CL$3&gt;=INDEX(Inputs!$C:$C,MATCH("*Expense Start Month*",Inputs!$B:$B,0)),CL$3&lt;=INDEX(Inputs!$C:$C,MATCH("End Year",Inputs!$B:$B,0))*12),IF($B16="Property Management Fee (%EGI)",-CL11*Inputs!$C$28,-IncomeExpenses!$C$90/12*(1+INDEX(Inputs!$C:$C,MATCH("*Annual Expense Growth Rate*",Inputs!$B:$B,0)))^(CL$5-1)),0))</f>
        <v>0</v>
      </c>
      <c r="CM16" s="152">
        <f t="array" ref="CM16">IF($B16="",0,IF(AND(CM$3&gt;=INDEX(Inputs!$C:$C,MATCH("*Expense Start Month*",Inputs!$B:$B,0)),CM$3&lt;=INDEX(Inputs!$C:$C,MATCH("End Year",Inputs!$B:$B,0))*12),IF($B16="Property Management Fee (%EGI)",-CM11*Inputs!$C$28,-IncomeExpenses!$C$90/12*(1+INDEX(Inputs!$C:$C,MATCH("*Annual Expense Growth Rate*",Inputs!$B:$B,0)))^(CM$5-1)),0))</f>
        <v>0</v>
      </c>
      <c r="CN16" s="152">
        <f t="array" ref="CN16">IF($B16="",0,IF(AND(CN$3&gt;=INDEX(Inputs!$C:$C,MATCH("*Expense Start Month*",Inputs!$B:$B,0)),CN$3&lt;=INDEX(Inputs!$C:$C,MATCH("End Year",Inputs!$B:$B,0))*12),IF($B16="Property Management Fee (%EGI)",-CN11*Inputs!$C$28,-IncomeExpenses!$C$90/12*(1+INDEX(Inputs!$C:$C,MATCH("*Annual Expense Growth Rate*",Inputs!$B:$B,0)))^(CN$5-1)),0))</f>
        <v>0</v>
      </c>
      <c r="CO16" s="152">
        <f t="array" ref="CO16">IF($B16="",0,IF(AND(CO$3&gt;=INDEX(Inputs!$C:$C,MATCH("*Expense Start Month*",Inputs!$B:$B,0)),CO$3&lt;=INDEX(Inputs!$C:$C,MATCH("End Year",Inputs!$B:$B,0))*12),IF($B16="Property Management Fee (%EGI)",-CO11*Inputs!$C$28,-IncomeExpenses!$C$90/12*(1+INDEX(Inputs!$C:$C,MATCH("*Annual Expense Growth Rate*",Inputs!$B:$B,0)))^(CO$5-1)),0))</f>
        <v>0</v>
      </c>
      <c r="CP16" s="152">
        <f t="array" ref="CP16">IF($B16="",0,IF(AND(CP$3&gt;=INDEX(Inputs!$C:$C,MATCH("*Expense Start Month*",Inputs!$B:$B,0)),CP$3&lt;=INDEX(Inputs!$C:$C,MATCH("End Year",Inputs!$B:$B,0))*12),IF($B16="Property Management Fee (%EGI)",-CP11*Inputs!$C$28,-IncomeExpenses!$C$90/12*(1+INDEX(Inputs!$C:$C,MATCH("*Annual Expense Growth Rate*",Inputs!$B:$B,0)))^(CP$5-1)),0))</f>
        <v>0</v>
      </c>
      <c r="CQ16" s="152">
        <f t="array" ref="CQ16">IF($B16="",0,IF(AND(CQ$3&gt;=INDEX(Inputs!$C:$C,MATCH("*Expense Start Month*",Inputs!$B:$B,0)),CQ$3&lt;=INDEX(Inputs!$C:$C,MATCH("End Year",Inputs!$B:$B,0))*12),IF($B16="Property Management Fee (%EGI)",-CQ11*Inputs!$C$28,-IncomeExpenses!$C$90/12*(1+INDEX(Inputs!$C:$C,MATCH("*Annual Expense Growth Rate*",Inputs!$B:$B,0)))^(CQ$5-1)),0))</f>
        <v>0</v>
      </c>
      <c r="CR16" s="152">
        <f t="array" ref="CR16">IF($B16="",0,IF(AND(CR$3&gt;=INDEX(Inputs!$C:$C,MATCH("*Expense Start Month*",Inputs!$B:$B,0)),CR$3&lt;=INDEX(Inputs!$C:$C,MATCH("End Year",Inputs!$B:$B,0))*12),IF($B16="Property Management Fee (%EGI)",-CR11*Inputs!$C$28,-IncomeExpenses!$C$90/12*(1+INDEX(Inputs!$C:$C,MATCH("*Annual Expense Growth Rate*",Inputs!$B:$B,0)))^(CR$5-1)),0))</f>
        <v>0</v>
      </c>
      <c r="CS16" s="152">
        <f t="array" ref="CS16">IF($B16="",0,IF(AND(CS$3&gt;=INDEX(Inputs!$C:$C,MATCH("*Expense Start Month*",Inputs!$B:$B,0)),CS$3&lt;=INDEX(Inputs!$C:$C,MATCH("End Year",Inputs!$B:$B,0))*12),IF($B16="Property Management Fee (%EGI)",-CS11*Inputs!$C$28,-IncomeExpenses!$C$90/12*(1+INDEX(Inputs!$C:$C,MATCH("*Annual Expense Growth Rate*",Inputs!$B:$B,0)))^(CS$5-1)),0))</f>
        <v>0</v>
      </c>
      <c r="CT16" s="152">
        <f t="array" ref="CT16">IF($B16="",0,IF(AND(CT$3&gt;=INDEX(Inputs!$C:$C,MATCH("*Expense Start Month*",Inputs!$B:$B,0)),CT$3&lt;=INDEX(Inputs!$C:$C,MATCH("End Year",Inputs!$B:$B,0))*12),IF($B16="Property Management Fee (%EGI)",-CT11*Inputs!$C$28,-IncomeExpenses!$C$90/12*(1+INDEX(Inputs!$C:$C,MATCH("*Annual Expense Growth Rate*",Inputs!$B:$B,0)))^(CT$5-1)),0))</f>
        <v>0</v>
      </c>
      <c r="CU16" s="152">
        <f t="array" ref="CU16">IF($B16="",0,IF(AND(CU$3&gt;=INDEX(Inputs!$C:$C,MATCH("*Expense Start Month*",Inputs!$B:$B,0)),CU$3&lt;=INDEX(Inputs!$C:$C,MATCH("End Year",Inputs!$B:$B,0))*12),IF($B16="Property Management Fee (%EGI)",-CU11*Inputs!$C$28,-IncomeExpenses!$C$90/12*(1+INDEX(Inputs!$C:$C,MATCH("*Annual Expense Growth Rate*",Inputs!$B:$B,0)))^(CU$5-1)),0))</f>
        <v>0</v>
      </c>
      <c r="CV16" s="152">
        <f t="array" ref="CV16">IF($B16="",0,IF(AND(CV$3&gt;=INDEX(Inputs!$C:$C,MATCH("*Expense Start Month*",Inputs!$B:$B,0)),CV$3&lt;=INDEX(Inputs!$C:$C,MATCH("End Year",Inputs!$B:$B,0))*12),IF($B16="Property Management Fee (%EGI)",-CV11*Inputs!$C$28,-IncomeExpenses!$C$90/12*(1+INDEX(Inputs!$C:$C,MATCH("*Annual Expense Growth Rate*",Inputs!$B:$B,0)))^(CV$5-1)),0))</f>
        <v>0</v>
      </c>
      <c r="CW16" s="152">
        <f t="array" ref="CW16">IF($B16="",0,IF(AND(CW$3&gt;=INDEX(Inputs!$C:$C,MATCH("*Expense Start Month*",Inputs!$B:$B,0)),CW$3&lt;=INDEX(Inputs!$C:$C,MATCH("End Year",Inputs!$B:$B,0))*12),IF($B16="Property Management Fee (%EGI)",-CW11*Inputs!$C$28,-IncomeExpenses!$C$90/12*(1+INDEX(Inputs!$C:$C,MATCH("*Annual Expense Growth Rate*",Inputs!$B:$B,0)))^(CW$5-1)),0))</f>
        <v>0</v>
      </c>
      <c r="CX16" s="152">
        <f t="array" ref="CX16">IF($B16="",0,IF(AND(CX$3&gt;=INDEX(Inputs!$C:$C,MATCH("*Expense Start Month*",Inputs!$B:$B,0)),CX$3&lt;=INDEX(Inputs!$C:$C,MATCH("End Year",Inputs!$B:$B,0))*12),IF($B16="Property Management Fee (%EGI)",-CX11*Inputs!$C$28,-IncomeExpenses!$C$90/12*(1+INDEX(Inputs!$C:$C,MATCH("*Annual Expense Growth Rate*",Inputs!$B:$B,0)))^(CX$5-1)),0))</f>
        <v>0</v>
      </c>
      <c r="CY16" s="152">
        <f t="array" ref="CY16">IF($B16="",0,IF(AND(CY$3&gt;=INDEX(Inputs!$C:$C,MATCH("*Expense Start Month*",Inputs!$B:$B,0)),CY$3&lt;=INDEX(Inputs!$C:$C,MATCH("End Year",Inputs!$B:$B,0))*12),IF($B16="Property Management Fee (%EGI)",-CY11*Inputs!$C$28,-IncomeExpenses!$C$90/12*(1+INDEX(Inputs!$C:$C,MATCH("*Annual Expense Growth Rate*",Inputs!$B:$B,0)))^(CY$5-1)),0))</f>
        <v>0</v>
      </c>
      <c r="CZ16" s="152">
        <f t="array" ref="CZ16">IF($B16="",0,IF(AND(CZ$3&gt;=INDEX(Inputs!$C:$C,MATCH("*Expense Start Month*",Inputs!$B:$B,0)),CZ$3&lt;=INDEX(Inputs!$C:$C,MATCH("End Year",Inputs!$B:$B,0))*12),IF($B16="Property Management Fee (%EGI)",-CZ11*Inputs!$C$28,-IncomeExpenses!$C$90/12*(1+INDEX(Inputs!$C:$C,MATCH("*Annual Expense Growth Rate*",Inputs!$B:$B,0)))^(CZ$5-1)),0))</f>
        <v>0</v>
      </c>
      <c r="DA16" s="152">
        <f t="array" ref="DA16">IF($B16="",0,IF(AND(DA$3&gt;=INDEX(Inputs!$C:$C,MATCH("*Expense Start Month*",Inputs!$B:$B,0)),DA$3&lt;=INDEX(Inputs!$C:$C,MATCH("End Year",Inputs!$B:$B,0))*12),IF($B16="Property Management Fee (%EGI)",-DA11*Inputs!$C$28,-IncomeExpenses!$C$90/12*(1+INDEX(Inputs!$C:$C,MATCH("*Annual Expense Growth Rate*",Inputs!$B:$B,0)))^(DA$5-1)),0))</f>
        <v>0</v>
      </c>
      <c r="DB16" s="152">
        <f t="array" ref="DB16">IF($B16="",0,IF(AND(DB$3&gt;=INDEX(Inputs!$C:$C,MATCH("*Expense Start Month*",Inputs!$B:$B,0)),DB$3&lt;=INDEX(Inputs!$C:$C,MATCH("End Year",Inputs!$B:$B,0))*12),IF($B16="Property Management Fee (%EGI)",-DB11*Inputs!$C$28,-IncomeExpenses!$C$90/12*(1+INDEX(Inputs!$C:$C,MATCH("*Annual Expense Growth Rate*",Inputs!$B:$B,0)))^(DB$5-1)),0))</f>
        <v>0</v>
      </c>
      <c r="DC16" s="152">
        <f t="array" ref="DC16">IF($B16="",0,IF(AND(DC$3&gt;=INDEX(Inputs!$C:$C,MATCH("*Expense Start Month*",Inputs!$B:$B,0)),DC$3&lt;=INDEX(Inputs!$C:$C,MATCH("End Year",Inputs!$B:$B,0))*12),IF($B16="Property Management Fee (%EGI)",-DC11*Inputs!$C$28,-IncomeExpenses!$C$90/12*(1+INDEX(Inputs!$C:$C,MATCH("*Annual Expense Growth Rate*",Inputs!$B:$B,0)))^(DC$5-1)),0))</f>
        <v>0</v>
      </c>
      <c r="DD16" s="152">
        <f t="array" ref="DD16">IF($B16="",0,IF(AND(DD$3&gt;=INDEX(Inputs!$C:$C,MATCH("*Expense Start Month*",Inputs!$B:$B,0)),DD$3&lt;=INDEX(Inputs!$C:$C,MATCH("End Year",Inputs!$B:$B,0))*12),IF($B16="Property Management Fee (%EGI)",-DD11*Inputs!$C$28,-IncomeExpenses!$C$90/12*(1+INDEX(Inputs!$C:$C,MATCH("*Annual Expense Growth Rate*",Inputs!$B:$B,0)))^(DD$5-1)),0))</f>
        <v>0</v>
      </c>
      <c r="DE16" s="152">
        <f t="array" ref="DE16">IF($B16="",0,IF(AND(DE$3&gt;=INDEX(Inputs!$C:$C,MATCH("*Expense Start Month*",Inputs!$B:$B,0)),DE$3&lt;=INDEX(Inputs!$C:$C,MATCH("End Year",Inputs!$B:$B,0))*12),IF($B16="Property Management Fee (%EGI)",-DE11*Inputs!$C$28,-IncomeExpenses!$C$90/12*(1+INDEX(Inputs!$C:$C,MATCH("*Annual Expense Growth Rate*",Inputs!$B:$B,0)))^(DE$5-1)),0))</f>
        <v>0</v>
      </c>
      <c r="DF16" s="152">
        <f t="array" ref="DF16">IF($B16="",0,IF(AND(DF$3&gt;=INDEX(Inputs!$C:$C,MATCH("*Expense Start Month*",Inputs!$B:$B,0)),DF$3&lt;=INDEX(Inputs!$C:$C,MATCH("End Year",Inputs!$B:$B,0))*12),IF($B16="Property Management Fee (%EGI)",-DF11*Inputs!$C$28,-IncomeExpenses!$C$90/12*(1+INDEX(Inputs!$C:$C,MATCH("*Annual Expense Growth Rate*",Inputs!$B:$B,0)))^(DF$5-1)),0))</f>
        <v>0</v>
      </c>
      <c r="DG16" s="152">
        <f t="array" ref="DG16">IF($B16="",0,IF(AND(DG$3&gt;=INDEX(Inputs!$C:$C,MATCH("*Expense Start Month*",Inputs!$B:$B,0)),DG$3&lt;=INDEX(Inputs!$C:$C,MATCH("End Year",Inputs!$B:$B,0))*12),IF($B16="Property Management Fee (%EGI)",-DG11*Inputs!$C$28,-IncomeExpenses!$C$90/12*(1+INDEX(Inputs!$C:$C,MATCH("*Annual Expense Growth Rate*",Inputs!$B:$B,0)))^(DG$5-1)),0))</f>
        <v>0</v>
      </c>
      <c r="DH16" s="152">
        <f t="array" ref="DH16">IF($B16="",0,IF(AND(DH$3&gt;=INDEX(Inputs!$C:$C,MATCH("*Expense Start Month*",Inputs!$B:$B,0)),DH$3&lt;=INDEX(Inputs!$C:$C,MATCH("End Year",Inputs!$B:$B,0))*12),IF($B16="Property Management Fee (%EGI)",-DH11*Inputs!$C$28,-IncomeExpenses!$C$90/12*(1+INDEX(Inputs!$C:$C,MATCH("*Annual Expense Growth Rate*",Inputs!$B:$B,0)))^(DH$5-1)),0))</f>
        <v>0</v>
      </c>
      <c r="DI16" s="152">
        <f t="array" ref="DI16">IF($B16="",0,IF(AND(DI$3&gt;=INDEX(Inputs!$C:$C,MATCH("*Expense Start Month*",Inputs!$B:$B,0)),DI$3&lt;=INDEX(Inputs!$C:$C,MATCH("End Year",Inputs!$B:$B,0))*12),IF($B16="Property Management Fee (%EGI)",-DI11*Inputs!$C$28,-IncomeExpenses!$C$90/12*(1+INDEX(Inputs!$C:$C,MATCH("*Annual Expense Growth Rate*",Inputs!$B:$B,0)))^(DI$5-1)),0))</f>
        <v>0</v>
      </c>
      <c r="DJ16" s="152">
        <f t="array" ref="DJ16">IF($B16="",0,IF(AND(DJ$3&gt;=INDEX(Inputs!$C:$C,MATCH("*Expense Start Month*",Inputs!$B:$B,0)),DJ$3&lt;=INDEX(Inputs!$C:$C,MATCH("End Year",Inputs!$B:$B,0))*12),IF($B16="Property Management Fee (%EGI)",-DJ11*Inputs!$C$28,-IncomeExpenses!$C$90/12*(1+INDEX(Inputs!$C:$C,MATCH("*Annual Expense Growth Rate*",Inputs!$B:$B,0)))^(DJ$5-1)),0))</f>
        <v>0</v>
      </c>
      <c r="DK16" s="152">
        <f t="array" ref="DK16">IF($B16="",0,IF(AND(DK$3&gt;=INDEX(Inputs!$C:$C,MATCH("*Expense Start Month*",Inputs!$B:$B,0)),DK$3&lt;=INDEX(Inputs!$C:$C,MATCH("End Year",Inputs!$B:$B,0))*12),IF($B16="Property Management Fee (%EGI)",-DK11*Inputs!$C$28,-IncomeExpenses!$C$90/12*(1+INDEX(Inputs!$C:$C,MATCH("*Annual Expense Growth Rate*",Inputs!$B:$B,0)))^(DK$5-1)),0))</f>
        <v>0</v>
      </c>
      <c r="DL16" s="152">
        <f t="array" ref="DL16">IF($B16="",0,IF(AND(DL$3&gt;=INDEX(Inputs!$C:$C,MATCH("*Expense Start Month*",Inputs!$B:$B,0)),DL$3&lt;=INDEX(Inputs!$C:$C,MATCH("End Year",Inputs!$B:$B,0))*12),IF($B16="Property Management Fee (%EGI)",-DL11*Inputs!$C$28,-IncomeExpenses!$C$90/12*(1+INDEX(Inputs!$C:$C,MATCH("*Annual Expense Growth Rate*",Inputs!$B:$B,0)))^(DL$5-1)),0))</f>
        <v>0</v>
      </c>
      <c r="DM16" s="152">
        <f t="array" ref="DM16">IF($B16="",0,IF(AND(DM$3&gt;=INDEX(Inputs!$C:$C,MATCH("*Expense Start Month*",Inputs!$B:$B,0)),DM$3&lt;=INDEX(Inputs!$C:$C,MATCH("End Year",Inputs!$B:$B,0))*12),IF($B16="Property Management Fee (%EGI)",-DM11*Inputs!$C$28,-IncomeExpenses!$C$90/12*(1+INDEX(Inputs!$C:$C,MATCH("*Annual Expense Growth Rate*",Inputs!$B:$B,0)))^(DM$5-1)),0))</f>
        <v>0</v>
      </c>
      <c r="DN16" s="152">
        <f t="array" ref="DN16">IF($B16="",0,IF(AND(DN$3&gt;=INDEX(Inputs!$C:$C,MATCH("*Expense Start Month*",Inputs!$B:$B,0)),DN$3&lt;=INDEX(Inputs!$C:$C,MATCH("End Year",Inputs!$B:$B,0))*12),IF($B16="Property Management Fee (%EGI)",-DN11*Inputs!$C$28,-IncomeExpenses!$C$90/12*(1+INDEX(Inputs!$C:$C,MATCH("*Annual Expense Growth Rate*",Inputs!$B:$B,0)))^(DN$5-1)),0))</f>
        <v>0</v>
      </c>
      <c r="DO16" s="152">
        <f t="array" ref="DO16">IF($B16="",0,IF(AND(DO$3&gt;=INDEX(Inputs!$C:$C,MATCH("*Expense Start Month*",Inputs!$B:$B,0)),DO$3&lt;=INDEX(Inputs!$C:$C,MATCH("End Year",Inputs!$B:$B,0))*12),IF($B16="Property Management Fee (%EGI)",-DO11*Inputs!$C$28,-IncomeExpenses!$C$90/12*(1+INDEX(Inputs!$C:$C,MATCH("*Annual Expense Growth Rate*",Inputs!$B:$B,0)))^(DO$5-1)),0))</f>
        <v>0</v>
      </c>
      <c r="DP16" s="152">
        <f t="array" ref="DP16">IF($B16="",0,IF(AND(DP$3&gt;=INDEX(Inputs!$C:$C,MATCH("*Expense Start Month*",Inputs!$B:$B,0)),DP$3&lt;=INDEX(Inputs!$C:$C,MATCH("End Year",Inputs!$B:$B,0))*12),IF($B16="Property Management Fee (%EGI)",-DP11*Inputs!$C$28,-IncomeExpenses!$C$90/12*(1+INDEX(Inputs!$C:$C,MATCH("*Annual Expense Growth Rate*",Inputs!$B:$B,0)))^(DP$5-1)),0))</f>
        <v>0</v>
      </c>
      <c r="DQ16" s="152">
        <f t="array" ref="DQ16">IF($B16="",0,IF(AND(DQ$3&gt;=INDEX(Inputs!$C:$C,MATCH("*Expense Start Month*",Inputs!$B:$B,0)),DQ$3&lt;=INDEX(Inputs!$C:$C,MATCH("End Year",Inputs!$B:$B,0))*12),IF($B16="Property Management Fee (%EGI)",-DQ11*Inputs!$C$28,-IncomeExpenses!$C$90/12*(1+INDEX(Inputs!$C:$C,MATCH("*Annual Expense Growth Rate*",Inputs!$B:$B,0)))^(DQ$5-1)),0))</f>
        <v>0</v>
      </c>
      <c r="DR16" s="152">
        <f t="array" ref="DR16">IF($B16="",0,IF(AND(DR$3&gt;=INDEX(Inputs!$C:$C,MATCH("*Expense Start Month*",Inputs!$B:$B,0)),DR$3&lt;=INDEX(Inputs!$C:$C,MATCH("End Year",Inputs!$B:$B,0))*12),IF($B16="Property Management Fee (%EGI)",-DR11*Inputs!$C$28,-IncomeExpenses!$C$90/12*(1+INDEX(Inputs!$C:$C,MATCH("*Annual Expense Growth Rate*",Inputs!$B:$B,0)))^(DR$5-1)),0))</f>
        <v>0</v>
      </c>
      <c r="DS16" s="152">
        <f t="array" ref="DS16">IF($B16="",0,IF(AND(DS$3&gt;=INDEX(Inputs!$C:$C,MATCH("*Expense Start Month*",Inputs!$B:$B,0)),DS$3&lt;=INDEX(Inputs!$C:$C,MATCH("End Year",Inputs!$B:$B,0))*12),IF($B16="Property Management Fee (%EGI)",-DS11*Inputs!$C$28,-IncomeExpenses!$C$90/12*(1+INDEX(Inputs!$C:$C,MATCH("*Annual Expense Growth Rate*",Inputs!$B:$B,0)))^(DS$5-1)),0))</f>
        <v>0</v>
      </c>
    </row>
    <row r="17" ht="15.0" customHeight="1">
      <c r="A17" s="44"/>
      <c r="B17" s="46" t="s">
        <v>323</v>
      </c>
      <c r="C17" s="152">
        <f t="array" ref="C17">IF($B17="",0,IF(AND(C$3&gt;=INDEX(Inputs!$C:$C,MATCH("*Expense Start Month*",Inputs!$B:$B,0)),C$3&lt;=INDEX(Inputs!$C:$C,MATCH("End Year",Inputs!$B:$B,0))*12),IF($B17="Property Management Fee (%EGI)",-C11*Inputs!$C$28,-IncomeExpenses!$C$90/12*(1+INDEX(Inputs!$C:$C,MATCH("*Annual Expense Growth Rate*",Inputs!$B:$B,0)))^(C$5-1)),0))</f>
        <v>0</v>
      </c>
      <c r="D17" s="152">
        <f t="array" ref="D17">IF($B17="",0,IF(AND(D$3&gt;=INDEX(Inputs!$C:$C,MATCH("*Expense Start Month*",Inputs!$B:$B,0)),D$3&lt;=INDEX(Inputs!$C:$C,MATCH("End Year",Inputs!$B:$B,0))*12),IF($B17="Property Management Fee (%EGI)",-D11*Inputs!$C$28,-IncomeExpenses!$C$90/12*(1+INDEX(Inputs!$C:$C,MATCH("*Annual Expense Growth Rate*",Inputs!$B:$B,0)))^(D$5-1)),0))</f>
        <v>0</v>
      </c>
      <c r="E17" s="152">
        <f t="array" ref="E17">IF($B17="",0,IF(AND(E$3&gt;=INDEX(Inputs!$C:$C,MATCH("*Expense Start Month*",Inputs!$B:$B,0)),E$3&lt;=INDEX(Inputs!$C:$C,MATCH("End Year",Inputs!$B:$B,0))*12),IF($B17="Property Management Fee (%EGI)",-E11*Inputs!$C$28,-IncomeExpenses!$C$90/12*(1+INDEX(Inputs!$C:$C,MATCH("*Annual Expense Growth Rate*",Inputs!$B:$B,0)))^(E$5-1)),0))</f>
        <v>0</v>
      </c>
      <c r="F17" s="152">
        <f t="array" ref="F17">IF($B17="",0,IF(AND(F$3&gt;=INDEX(Inputs!$C:$C,MATCH("*Expense Start Month*",Inputs!$B:$B,0)),F$3&lt;=INDEX(Inputs!$C:$C,MATCH("End Year",Inputs!$B:$B,0))*12),IF($B17="Property Management Fee (%EGI)",-F11*Inputs!$C$28,-IncomeExpenses!$C$90/12*(1+INDEX(Inputs!$C:$C,MATCH("*Annual Expense Growth Rate*",Inputs!$B:$B,0)))^(F$5-1)),0))</f>
        <v>0</v>
      </c>
      <c r="G17" s="152">
        <f t="array" ref="G17">IF($B17="",0,IF(AND(G$3&gt;=INDEX(Inputs!$C:$C,MATCH("*Expense Start Month*",Inputs!$B:$B,0)),G$3&lt;=INDEX(Inputs!$C:$C,MATCH("End Year",Inputs!$B:$B,0))*12),IF($B17="Property Management Fee (%EGI)",-G11*Inputs!$C$28,-IncomeExpenses!$C$90/12*(1+INDEX(Inputs!$C:$C,MATCH("*Annual Expense Growth Rate*",Inputs!$B:$B,0)))^(G$5-1)),0))</f>
        <v>0</v>
      </c>
      <c r="H17" s="152">
        <f t="array" ref="H17">IF($B17="",0,IF(AND(H$3&gt;=INDEX(Inputs!$C:$C,MATCH("*Expense Start Month*",Inputs!$B:$B,0)),H$3&lt;=INDEX(Inputs!$C:$C,MATCH("End Year",Inputs!$B:$B,0))*12),IF($B17="Property Management Fee (%EGI)",-H11*Inputs!$C$28,-IncomeExpenses!$C$90/12*(1+INDEX(Inputs!$C:$C,MATCH("*Annual Expense Growth Rate*",Inputs!$B:$B,0)))^(H$5-1)),0))</f>
        <v>0</v>
      </c>
      <c r="I17" s="152">
        <f t="array" ref="I17">IF($B17="",0,IF(AND(I$3&gt;=INDEX(Inputs!$C:$C,MATCH("*Expense Start Month*",Inputs!$B:$B,0)),I$3&lt;=INDEX(Inputs!$C:$C,MATCH("End Year",Inputs!$B:$B,0))*12),IF($B17="Property Management Fee (%EGI)",-I11*Inputs!$C$28,-IncomeExpenses!$C$90/12*(1+INDEX(Inputs!$C:$C,MATCH("*Annual Expense Growth Rate*",Inputs!$B:$B,0)))^(I$5-1)),0))</f>
        <v>0</v>
      </c>
      <c r="J17" s="152">
        <f t="array" ref="J17">IF($B17="",0,IF(AND(J$3&gt;=INDEX(Inputs!$C:$C,MATCH("*Expense Start Month*",Inputs!$B:$B,0)),J$3&lt;=INDEX(Inputs!$C:$C,MATCH("End Year",Inputs!$B:$B,0))*12),IF($B17="Property Management Fee (%EGI)",-J11*Inputs!$C$28,-IncomeExpenses!$C$90/12*(1+INDEX(Inputs!$C:$C,MATCH("*Annual Expense Growth Rate*",Inputs!$B:$B,0)))^(J$5-1)),0))</f>
        <v>0</v>
      </c>
      <c r="K17" s="152">
        <f t="array" ref="K17">IF($B17="",0,IF(AND(K$3&gt;=INDEX(Inputs!$C:$C,MATCH("*Expense Start Month*",Inputs!$B:$B,0)),K$3&lt;=INDEX(Inputs!$C:$C,MATCH("End Year",Inputs!$B:$B,0))*12),IF($B17="Property Management Fee (%EGI)",-K11*Inputs!$C$28,-IncomeExpenses!$C$90/12*(1+INDEX(Inputs!$C:$C,MATCH("*Annual Expense Growth Rate*",Inputs!$B:$B,0)))^(K$5-1)),0))</f>
        <v>0</v>
      </c>
      <c r="L17" s="152">
        <f t="array" ref="L17">IF($B17="",0,IF(AND(L$3&gt;=INDEX(Inputs!$C:$C,MATCH("*Expense Start Month*",Inputs!$B:$B,0)),L$3&lt;=INDEX(Inputs!$C:$C,MATCH("End Year",Inputs!$B:$B,0))*12),IF($B17="Property Management Fee (%EGI)",-L11*Inputs!$C$28,-IncomeExpenses!$C$90/12*(1+INDEX(Inputs!$C:$C,MATCH("*Annual Expense Growth Rate*",Inputs!$B:$B,0)))^(L$5-1)),0))</f>
        <v>0</v>
      </c>
      <c r="M17" s="152">
        <f t="array" ref="M17">IF($B17="",0,IF(AND(M$3&gt;=INDEX(Inputs!$C:$C,MATCH("*Expense Start Month*",Inputs!$B:$B,0)),M$3&lt;=INDEX(Inputs!$C:$C,MATCH("End Year",Inputs!$B:$B,0))*12),IF($B17="Property Management Fee (%EGI)",-M11*Inputs!$C$28,-IncomeExpenses!$C$90/12*(1+INDEX(Inputs!$C:$C,MATCH("*Annual Expense Growth Rate*",Inputs!$B:$B,0)))^(M$5-1)),0))</f>
        <v>0</v>
      </c>
      <c r="N17" s="152">
        <f t="array" ref="N17">IF($B17="",0,IF(AND(N$3&gt;=INDEX(Inputs!$C:$C,MATCH("*Expense Start Month*",Inputs!$B:$B,0)),N$3&lt;=INDEX(Inputs!$C:$C,MATCH("End Year",Inputs!$B:$B,0))*12),IF($B17="Property Management Fee (%EGI)",-N11*Inputs!$C$28,-IncomeExpenses!$C$90/12*(1+INDEX(Inputs!$C:$C,MATCH("*Annual Expense Growth Rate*",Inputs!$B:$B,0)))^(N$5-1)),0))</f>
        <v>0</v>
      </c>
      <c r="O17" s="152">
        <f t="array" ref="O17">IF($B17="",0,IF(AND(O$3&gt;=INDEX(Inputs!$C:$C,MATCH("*Expense Start Month*",Inputs!$B:$B,0)),O$3&lt;=INDEX(Inputs!$C:$C,MATCH("End Year",Inputs!$B:$B,0))*12),IF($B17="Property Management Fee (%EGI)",-O11*Inputs!$C$28,-IncomeExpenses!$C$90/12*(1+INDEX(Inputs!$C:$C,MATCH("*Annual Expense Growth Rate*",Inputs!$B:$B,0)))^(O$5-1)),0))</f>
        <v>0</v>
      </c>
      <c r="P17" s="152">
        <f t="array" ref="P17">IF($B17="",0,IF(AND(P$3&gt;=INDEX(Inputs!$C:$C,MATCH("*Expense Start Month*",Inputs!$B:$B,0)),P$3&lt;=INDEX(Inputs!$C:$C,MATCH("End Year",Inputs!$B:$B,0))*12),IF($B17="Property Management Fee (%EGI)",-P11*Inputs!$C$28,-IncomeExpenses!$C$90/12*(1+INDEX(Inputs!$C:$C,MATCH("*Annual Expense Growth Rate*",Inputs!$B:$B,0)))^(P$5-1)),0))</f>
        <v>0</v>
      </c>
      <c r="Q17" s="152">
        <f t="array" ref="Q17">IF($B17="",0,IF(AND(Q$3&gt;=INDEX(Inputs!$C:$C,MATCH("*Expense Start Month*",Inputs!$B:$B,0)),Q$3&lt;=INDEX(Inputs!$C:$C,MATCH("End Year",Inputs!$B:$B,0))*12),IF($B17="Property Management Fee (%EGI)",-Q11*Inputs!$C$28,-IncomeExpenses!$C$90/12*(1+INDEX(Inputs!$C:$C,MATCH("*Annual Expense Growth Rate*",Inputs!$B:$B,0)))^(Q$5-1)),0))</f>
        <v>0</v>
      </c>
      <c r="R17" s="152">
        <f t="array" ref="R17">IF($B17="",0,IF(AND(R$3&gt;=INDEX(Inputs!$C:$C,MATCH("*Expense Start Month*",Inputs!$B:$B,0)),R$3&lt;=INDEX(Inputs!$C:$C,MATCH("End Year",Inputs!$B:$B,0))*12),IF($B17="Property Management Fee (%EGI)",-R11*Inputs!$C$28,-IncomeExpenses!$C$90/12*(1+INDEX(Inputs!$C:$C,MATCH("*Annual Expense Growth Rate*",Inputs!$B:$B,0)))^(R$5-1)),0))</f>
        <v>0</v>
      </c>
      <c r="S17" s="152">
        <f t="array" ref="S17">IF($B17="",0,IF(AND(S$3&gt;=INDEX(Inputs!$C:$C,MATCH("*Expense Start Month*",Inputs!$B:$B,0)),S$3&lt;=INDEX(Inputs!$C:$C,MATCH("End Year",Inputs!$B:$B,0))*12),IF($B17="Property Management Fee (%EGI)",-S11*Inputs!$C$28,-IncomeExpenses!$C$90/12*(1+INDEX(Inputs!$C:$C,MATCH("*Annual Expense Growth Rate*",Inputs!$B:$B,0)))^(S$5-1)),0))</f>
        <v>0</v>
      </c>
      <c r="T17" s="152">
        <f t="array" ref="T17">IF($B17="",0,IF(AND(T$3&gt;=INDEX(Inputs!$C:$C,MATCH("*Expense Start Month*",Inputs!$B:$B,0)),T$3&lt;=INDEX(Inputs!$C:$C,MATCH("End Year",Inputs!$B:$B,0))*12),IF($B17="Property Management Fee (%EGI)",-T11*Inputs!$C$28,-IncomeExpenses!$C$90/12*(1+INDEX(Inputs!$C:$C,MATCH("*Annual Expense Growth Rate*",Inputs!$B:$B,0)))^(T$5-1)),0))</f>
        <v>0</v>
      </c>
      <c r="U17" s="152">
        <f t="array" ref="U17">IF($B17="",0,IF(AND(U$3&gt;=INDEX(Inputs!$C:$C,MATCH("*Expense Start Month*",Inputs!$B:$B,0)),U$3&lt;=INDEX(Inputs!$C:$C,MATCH("End Year",Inputs!$B:$B,0))*12),IF($B17="Property Management Fee (%EGI)",-U11*Inputs!$C$28,-IncomeExpenses!$C$90/12*(1+INDEX(Inputs!$C:$C,MATCH("*Annual Expense Growth Rate*",Inputs!$B:$B,0)))^(U$5-1)),0))</f>
        <v>0</v>
      </c>
      <c r="V17" s="152">
        <f t="array" ref="V17">IF($B17="",0,IF(AND(V$3&gt;=INDEX(Inputs!$C:$C,MATCH("*Expense Start Month*",Inputs!$B:$B,0)),V$3&lt;=INDEX(Inputs!$C:$C,MATCH("End Year",Inputs!$B:$B,0))*12),IF($B17="Property Management Fee (%EGI)",-V11*Inputs!$C$28,-IncomeExpenses!$C$90/12*(1+INDEX(Inputs!$C:$C,MATCH("*Annual Expense Growth Rate*",Inputs!$B:$B,0)))^(V$5-1)),0))</f>
        <v>0</v>
      </c>
      <c r="W17" s="152">
        <f t="array" ref="W17">IF($B17="",0,IF(AND(W$3&gt;=INDEX(Inputs!$C:$C,MATCH("*Expense Start Month*",Inputs!$B:$B,0)),W$3&lt;=INDEX(Inputs!$C:$C,MATCH("End Year",Inputs!$B:$B,0))*12),IF($B17="Property Management Fee (%EGI)",-W11*Inputs!$C$28,-IncomeExpenses!$C$90/12*(1+INDEX(Inputs!$C:$C,MATCH("*Annual Expense Growth Rate*",Inputs!$B:$B,0)))^(W$5-1)),0))</f>
        <v>0</v>
      </c>
      <c r="X17" s="152">
        <f t="array" ref="X17">IF($B17="",0,IF(AND(X$3&gt;=INDEX(Inputs!$C:$C,MATCH("*Expense Start Month*",Inputs!$B:$B,0)),X$3&lt;=INDEX(Inputs!$C:$C,MATCH("End Year",Inputs!$B:$B,0))*12),IF($B17="Property Management Fee (%EGI)",-X11*Inputs!$C$28,-IncomeExpenses!$C$90/12*(1+INDEX(Inputs!$C:$C,MATCH("*Annual Expense Growth Rate*",Inputs!$B:$B,0)))^(X$5-1)),0))</f>
        <v>0</v>
      </c>
      <c r="Y17" s="152">
        <f t="array" ref="Y17">IF($B17="",0,IF(AND(Y$3&gt;=INDEX(Inputs!$C:$C,MATCH("*Expense Start Month*",Inputs!$B:$B,0)),Y$3&lt;=INDEX(Inputs!$C:$C,MATCH("End Year",Inputs!$B:$B,0))*12),IF($B17="Property Management Fee (%EGI)",-Y11*Inputs!$C$28,-IncomeExpenses!$C$90/12*(1+INDEX(Inputs!$C:$C,MATCH("*Annual Expense Growth Rate*",Inputs!$B:$B,0)))^(Y$5-1)),0))</f>
        <v>0</v>
      </c>
      <c r="Z17" s="152">
        <f t="array" ref="Z17">IF($B17="",0,IF(AND(Z$3&gt;=INDEX(Inputs!$C:$C,MATCH("*Expense Start Month*",Inputs!$B:$B,0)),Z$3&lt;=INDEX(Inputs!$C:$C,MATCH("End Year",Inputs!$B:$B,0))*12),IF($B17="Property Management Fee (%EGI)",-Z11*Inputs!$C$28,-IncomeExpenses!$C$90/12*(1+INDEX(Inputs!$C:$C,MATCH("*Annual Expense Growth Rate*",Inputs!$B:$B,0)))^(Z$5-1)),0))</f>
        <v>0</v>
      </c>
      <c r="AA17" s="152">
        <f t="array" ref="AA17">IF($B17="",0,IF(AND(AA$3&gt;=INDEX(Inputs!$C:$C,MATCH("*Expense Start Month*",Inputs!$B:$B,0)),AA$3&lt;=INDEX(Inputs!$C:$C,MATCH("End Year",Inputs!$B:$B,0))*12),IF($B17="Property Management Fee (%EGI)",-AA11*Inputs!$C$28,-IncomeExpenses!$C$90/12*(1+INDEX(Inputs!$C:$C,MATCH("*Annual Expense Growth Rate*",Inputs!$B:$B,0)))^(AA$5-1)),0))</f>
        <v>0</v>
      </c>
      <c r="AB17" s="152">
        <f t="array" ref="AB17">IF($B17="",0,IF(AND(AB$3&gt;=INDEX(Inputs!$C:$C,MATCH("*Expense Start Month*",Inputs!$B:$B,0)),AB$3&lt;=INDEX(Inputs!$C:$C,MATCH("End Year",Inputs!$B:$B,0))*12),IF($B17="Property Management Fee (%EGI)",-AB11*Inputs!$C$28,-IncomeExpenses!$C$90/12*(1+INDEX(Inputs!$C:$C,MATCH("*Annual Expense Growth Rate*",Inputs!$B:$B,0)))^(AB$5-1)),0))</f>
        <v>0</v>
      </c>
      <c r="AC17" s="152">
        <f t="array" ref="AC17">IF($B17="",0,IF(AND(AC$3&gt;=INDEX(Inputs!$C:$C,MATCH("*Expense Start Month*",Inputs!$B:$B,0)),AC$3&lt;=INDEX(Inputs!$C:$C,MATCH("End Year",Inputs!$B:$B,0))*12),IF($B17="Property Management Fee (%EGI)",-AC11*Inputs!$C$28,-IncomeExpenses!$C$90/12*(1+INDEX(Inputs!$C:$C,MATCH("*Annual Expense Growth Rate*",Inputs!$B:$B,0)))^(AC$5-1)),0))</f>
        <v>0</v>
      </c>
      <c r="AD17" s="152">
        <f t="array" ref="AD17">IF($B17="",0,IF(AND(AD$3&gt;=INDEX(Inputs!$C:$C,MATCH("*Expense Start Month*",Inputs!$B:$B,0)),AD$3&lt;=INDEX(Inputs!$C:$C,MATCH("End Year",Inputs!$B:$B,0))*12),IF($B17="Property Management Fee (%EGI)",-AD11*Inputs!$C$28,-IncomeExpenses!$C$90/12*(1+INDEX(Inputs!$C:$C,MATCH("*Annual Expense Growth Rate*",Inputs!$B:$B,0)))^(AD$5-1)),0))</f>
        <v>0</v>
      </c>
      <c r="AE17" s="152">
        <f t="array" ref="AE17">IF($B17="",0,IF(AND(AE$3&gt;=INDEX(Inputs!$C:$C,MATCH("*Expense Start Month*",Inputs!$B:$B,0)),AE$3&lt;=INDEX(Inputs!$C:$C,MATCH("End Year",Inputs!$B:$B,0))*12),IF($B17="Property Management Fee (%EGI)",-AE11*Inputs!$C$28,-IncomeExpenses!$C$90/12*(1+INDEX(Inputs!$C:$C,MATCH("*Annual Expense Growth Rate*",Inputs!$B:$B,0)))^(AE$5-1)),0))</f>
        <v>0</v>
      </c>
      <c r="AF17" s="152">
        <f t="array" ref="AF17">IF($B17="",0,IF(AND(AF$3&gt;=INDEX(Inputs!$C:$C,MATCH("*Expense Start Month*",Inputs!$B:$B,0)),AF$3&lt;=INDEX(Inputs!$C:$C,MATCH("End Year",Inputs!$B:$B,0))*12),IF($B17="Property Management Fee (%EGI)",-AF11*Inputs!$C$28,-IncomeExpenses!$C$90/12*(1+INDEX(Inputs!$C:$C,MATCH("*Annual Expense Growth Rate*",Inputs!$B:$B,0)))^(AF$5-1)),0))</f>
        <v>0</v>
      </c>
      <c r="AG17" s="152">
        <f t="array" ref="AG17">IF($B17="",0,IF(AND(AG$3&gt;=INDEX(Inputs!$C:$C,MATCH("*Expense Start Month*",Inputs!$B:$B,0)),AG$3&lt;=INDEX(Inputs!$C:$C,MATCH("End Year",Inputs!$B:$B,0))*12),IF($B17="Property Management Fee (%EGI)",-AG11*Inputs!$C$28,-IncomeExpenses!$C$90/12*(1+INDEX(Inputs!$C:$C,MATCH("*Annual Expense Growth Rate*",Inputs!$B:$B,0)))^(AG$5-1)),0))</f>
        <v>0</v>
      </c>
      <c r="AH17" s="152">
        <f t="array" ref="AH17">IF($B17="",0,IF(AND(AH$3&gt;=INDEX(Inputs!$C:$C,MATCH("*Expense Start Month*",Inputs!$B:$B,0)),AH$3&lt;=INDEX(Inputs!$C:$C,MATCH("End Year",Inputs!$B:$B,0))*12),IF($B17="Property Management Fee (%EGI)",-AH11*Inputs!$C$28,-IncomeExpenses!$C$90/12*(1+INDEX(Inputs!$C:$C,MATCH("*Annual Expense Growth Rate*",Inputs!$B:$B,0)))^(AH$5-1)),0))</f>
        <v>0</v>
      </c>
      <c r="AI17" s="152">
        <f t="array" ref="AI17">IF($B17="",0,IF(AND(AI$3&gt;=INDEX(Inputs!$C:$C,MATCH("*Expense Start Month*",Inputs!$B:$B,0)),AI$3&lt;=INDEX(Inputs!$C:$C,MATCH("End Year",Inputs!$B:$B,0))*12),IF($B17="Property Management Fee (%EGI)",-AI11*Inputs!$C$28,-IncomeExpenses!$C$90/12*(1+INDEX(Inputs!$C:$C,MATCH("*Annual Expense Growth Rate*",Inputs!$B:$B,0)))^(AI$5-1)),0))</f>
        <v>0</v>
      </c>
      <c r="AJ17" s="152">
        <f t="array" ref="AJ17">IF($B17="",0,IF(AND(AJ$3&gt;=INDEX(Inputs!$C:$C,MATCH("*Expense Start Month*",Inputs!$B:$B,0)),AJ$3&lt;=INDEX(Inputs!$C:$C,MATCH("End Year",Inputs!$B:$B,0))*12),IF($B17="Property Management Fee (%EGI)",-AJ11*Inputs!$C$28,-IncomeExpenses!$C$90/12*(1+INDEX(Inputs!$C:$C,MATCH("*Annual Expense Growth Rate*",Inputs!$B:$B,0)))^(AJ$5-1)),0))</f>
        <v>0</v>
      </c>
      <c r="AK17" s="152">
        <f t="array" ref="AK17">IF($B17="",0,IF(AND(AK$3&gt;=INDEX(Inputs!$C:$C,MATCH("*Expense Start Month*",Inputs!$B:$B,0)),AK$3&lt;=INDEX(Inputs!$C:$C,MATCH("End Year",Inputs!$B:$B,0))*12),IF($B17="Property Management Fee (%EGI)",-AK11*Inputs!$C$28,-IncomeExpenses!$C$90/12*(1+INDEX(Inputs!$C:$C,MATCH("*Annual Expense Growth Rate*",Inputs!$B:$B,0)))^(AK$5-1)),0))</f>
        <v>0</v>
      </c>
      <c r="AL17" s="152">
        <f t="array" ref="AL17">IF($B17="",0,IF(AND(AL$3&gt;=INDEX(Inputs!$C:$C,MATCH("*Expense Start Month*",Inputs!$B:$B,0)),AL$3&lt;=INDEX(Inputs!$C:$C,MATCH("End Year",Inputs!$B:$B,0))*12),IF($B17="Property Management Fee (%EGI)",-AL11*Inputs!$C$28,-IncomeExpenses!$C$90/12*(1+INDEX(Inputs!$C:$C,MATCH("*Annual Expense Growth Rate*",Inputs!$B:$B,0)))^(AL$5-1)),0))</f>
        <v>0</v>
      </c>
      <c r="AM17" s="152">
        <f t="array" ref="AM17">IF($B17="",0,IF(AND(AM$3&gt;=INDEX(Inputs!$C:$C,MATCH("*Expense Start Month*",Inputs!$B:$B,0)),AM$3&lt;=INDEX(Inputs!$C:$C,MATCH("End Year",Inputs!$B:$B,0))*12),IF($B17="Property Management Fee (%EGI)",-AM11*Inputs!$C$28,-IncomeExpenses!$C$90/12*(1+INDEX(Inputs!$C:$C,MATCH("*Annual Expense Growth Rate*",Inputs!$B:$B,0)))^(AM$5-1)),0))</f>
        <v>0</v>
      </c>
      <c r="AN17" s="152">
        <f t="array" ref="AN17">IF($B17="",0,IF(AND(AN$3&gt;=INDEX(Inputs!$C:$C,MATCH("*Expense Start Month*",Inputs!$B:$B,0)),AN$3&lt;=INDEX(Inputs!$C:$C,MATCH("End Year",Inputs!$B:$B,0))*12),IF($B17="Property Management Fee (%EGI)",-AN11*Inputs!$C$28,-IncomeExpenses!$C$90/12*(1+INDEX(Inputs!$C:$C,MATCH("*Annual Expense Growth Rate*",Inputs!$B:$B,0)))^(AN$5-1)),0))</f>
        <v>0</v>
      </c>
      <c r="AO17" s="152">
        <f t="array" ref="AO17">IF($B17="",0,IF(AND(AO$3&gt;=INDEX(Inputs!$C:$C,MATCH("*Expense Start Month*",Inputs!$B:$B,0)),AO$3&lt;=INDEX(Inputs!$C:$C,MATCH("End Year",Inputs!$B:$B,0))*12),IF($B17="Property Management Fee (%EGI)",-AO11*Inputs!$C$28,-IncomeExpenses!$C$90/12*(1+INDEX(Inputs!$C:$C,MATCH("*Annual Expense Growth Rate*",Inputs!$B:$B,0)))^(AO$5-1)),0))</f>
        <v>0</v>
      </c>
      <c r="AP17" s="152">
        <f t="array" ref="AP17">IF($B17="",0,IF(AND(AP$3&gt;=INDEX(Inputs!$C:$C,MATCH("*Expense Start Month*",Inputs!$B:$B,0)),AP$3&lt;=INDEX(Inputs!$C:$C,MATCH("End Year",Inputs!$B:$B,0))*12),IF($B17="Property Management Fee (%EGI)",-AP11*Inputs!$C$28,-IncomeExpenses!$C$90/12*(1+INDEX(Inputs!$C:$C,MATCH("*Annual Expense Growth Rate*",Inputs!$B:$B,0)))^(AP$5-1)),0))</f>
        <v>0</v>
      </c>
      <c r="AQ17" s="152">
        <f t="array" ref="AQ17">IF($B17="",0,IF(AND(AQ$3&gt;=INDEX(Inputs!$C:$C,MATCH("*Expense Start Month*",Inputs!$B:$B,0)),AQ$3&lt;=INDEX(Inputs!$C:$C,MATCH("End Year",Inputs!$B:$B,0))*12),IF($B17="Property Management Fee (%EGI)",-AQ11*Inputs!$C$28,-IncomeExpenses!$C$90/12*(1+INDEX(Inputs!$C:$C,MATCH("*Annual Expense Growth Rate*",Inputs!$B:$B,0)))^(AQ$5-1)),0))</f>
        <v>0</v>
      </c>
      <c r="AR17" s="152">
        <f t="array" ref="AR17">IF($B17="",0,IF(AND(AR$3&gt;=INDEX(Inputs!$C:$C,MATCH("*Expense Start Month*",Inputs!$B:$B,0)),AR$3&lt;=INDEX(Inputs!$C:$C,MATCH("End Year",Inputs!$B:$B,0))*12),IF($B17="Property Management Fee (%EGI)",-AR11*Inputs!$C$28,-IncomeExpenses!$C$90/12*(1+INDEX(Inputs!$C:$C,MATCH("*Annual Expense Growth Rate*",Inputs!$B:$B,0)))^(AR$5-1)),0))</f>
        <v>0</v>
      </c>
      <c r="AS17" s="152">
        <f t="array" ref="AS17">IF($B17="",0,IF(AND(AS$3&gt;=INDEX(Inputs!$C:$C,MATCH("*Expense Start Month*",Inputs!$B:$B,0)),AS$3&lt;=INDEX(Inputs!$C:$C,MATCH("End Year",Inputs!$B:$B,0))*12),IF($B17="Property Management Fee (%EGI)",-AS11*Inputs!$C$28,-IncomeExpenses!$C$90/12*(1+INDEX(Inputs!$C:$C,MATCH("*Annual Expense Growth Rate*",Inputs!$B:$B,0)))^(AS$5-1)),0))</f>
        <v>0</v>
      </c>
      <c r="AT17" s="152">
        <f t="array" ref="AT17">IF($B17="",0,IF(AND(AT$3&gt;=INDEX(Inputs!$C:$C,MATCH("*Expense Start Month*",Inputs!$B:$B,0)),AT$3&lt;=INDEX(Inputs!$C:$C,MATCH("End Year",Inputs!$B:$B,0))*12),IF($B17="Property Management Fee (%EGI)",-AT11*Inputs!$C$28,-IncomeExpenses!$C$90/12*(1+INDEX(Inputs!$C:$C,MATCH("*Annual Expense Growth Rate*",Inputs!$B:$B,0)))^(AT$5-1)),0))</f>
        <v>0</v>
      </c>
      <c r="AU17" s="152">
        <f t="array" ref="AU17">IF($B17="",0,IF(AND(AU$3&gt;=INDEX(Inputs!$C:$C,MATCH("*Expense Start Month*",Inputs!$B:$B,0)),AU$3&lt;=INDEX(Inputs!$C:$C,MATCH("End Year",Inputs!$B:$B,0))*12),IF($B17="Property Management Fee (%EGI)",-AU11*Inputs!$C$28,-IncomeExpenses!$C$90/12*(1+INDEX(Inputs!$C:$C,MATCH("*Annual Expense Growth Rate*",Inputs!$B:$B,0)))^(AU$5-1)),0))</f>
        <v>0</v>
      </c>
      <c r="AV17" s="152">
        <f t="array" ref="AV17">IF($B17="",0,IF(AND(AV$3&gt;=INDEX(Inputs!$C:$C,MATCH("*Expense Start Month*",Inputs!$B:$B,0)),AV$3&lt;=INDEX(Inputs!$C:$C,MATCH("End Year",Inputs!$B:$B,0))*12),IF($B17="Property Management Fee (%EGI)",-AV11*Inputs!$C$28,-IncomeExpenses!$C$90/12*(1+INDEX(Inputs!$C:$C,MATCH("*Annual Expense Growth Rate*",Inputs!$B:$B,0)))^(AV$5-1)),0))</f>
        <v>0</v>
      </c>
      <c r="AW17" s="152">
        <f t="array" ref="AW17">IF($B17="",0,IF(AND(AW$3&gt;=INDEX(Inputs!$C:$C,MATCH("*Expense Start Month*",Inputs!$B:$B,0)),AW$3&lt;=INDEX(Inputs!$C:$C,MATCH("End Year",Inputs!$B:$B,0))*12),IF($B17="Property Management Fee (%EGI)",-AW11*Inputs!$C$28,-IncomeExpenses!$C$90/12*(1+INDEX(Inputs!$C:$C,MATCH("*Annual Expense Growth Rate*",Inputs!$B:$B,0)))^(AW$5-1)),0))</f>
        <v>0</v>
      </c>
      <c r="AX17" s="152">
        <f t="array" ref="AX17">IF($B17="",0,IF(AND(AX$3&gt;=INDEX(Inputs!$C:$C,MATCH("*Expense Start Month*",Inputs!$B:$B,0)),AX$3&lt;=INDEX(Inputs!$C:$C,MATCH("End Year",Inputs!$B:$B,0))*12),IF($B17="Property Management Fee (%EGI)",-AX11*Inputs!$C$28,-IncomeExpenses!$C$90/12*(1+INDEX(Inputs!$C:$C,MATCH("*Annual Expense Growth Rate*",Inputs!$B:$B,0)))^(AX$5-1)),0))</f>
        <v>0</v>
      </c>
      <c r="AY17" s="152">
        <f t="array" ref="AY17">IF($B17="",0,IF(AND(AY$3&gt;=INDEX(Inputs!$C:$C,MATCH("*Expense Start Month*",Inputs!$B:$B,0)),AY$3&lt;=INDEX(Inputs!$C:$C,MATCH("End Year",Inputs!$B:$B,0))*12),IF($B17="Property Management Fee (%EGI)",-AY11*Inputs!$C$28,-IncomeExpenses!$C$90/12*(1+INDEX(Inputs!$C:$C,MATCH("*Annual Expense Growth Rate*",Inputs!$B:$B,0)))^(AY$5-1)),0))</f>
        <v>0</v>
      </c>
      <c r="AZ17" s="152">
        <f t="array" ref="AZ17">IF($B17="",0,IF(AND(AZ$3&gt;=INDEX(Inputs!$C:$C,MATCH("*Expense Start Month*",Inputs!$B:$B,0)),AZ$3&lt;=INDEX(Inputs!$C:$C,MATCH("End Year",Inputs!$B:$B,0))*12),IF($B17="Property Management Fee (%EGI)",-AZ11*Inputs!$C$28,-IncomeExpenses!$C$90/12*(1+INDEX(Inputs!$C:$C,MATCH("*Annual Expense Growth Rate*",Inputs!$B:$B,0)))^(AZ$5-1)),0))</f>
        <v>0</v>
      </c>
      <c r="BA17" s="152">
        <f t="array" ref="BA17">IF($B17="",0,IF(AND(BA$3&gt;=INDEX(Inputs!$C:$C,MATCH("*Expense Start Month*",Inputs!$B:$B,0)),BA$3&lt;=INDEX(Inputs!$C:$C,MATCH("End Year",Inputs!$B:$B,0))*12),IF($B17="Property Management Fee (%EGI)",-BA11*Inputs!$C$28,-IncomeExpenses!$C$90/12*(1+INDEX(Inputs!$C:$C,MATCH("*Annual Expense Growth Rate*",Inputs!$B:$B,0)))^(BA$5-1)),0))</f>
        <v>0</v>
      </c>
      <c r="BB17" s="152">
        <f t="array" ref="BB17">IF($B17="",0,IF(AND(BB$3&gt;=INDEX(Inputs!$C:$C,MATCH("*Expense Start Month*",Inputs!$B:$B,0)),BB$3&lt;=INDEX(Inputs!$C:$C,MATCH("End Year",Inputs!$B:$B,0))*12),IF($B17="Property Management Fee (%EGI)",-BB11*Inputs!$C$28,-IncomeExpenses!$C$90/12*(1+INDEX(Inputs!$C:$C,MATCH("*Annual Expense Growth Rate*",Inputs!$B:$B,0)))^(BB$5-1)),0))</f>
        <v>0</v>
      </c>
      <c r="BC17" s="152">
        <f t="array" ref="BC17">IF($B17="",0,IF(AND(BC$3&gt;=INDEX(Inputs!$C:$C,MATCH("*Expense Start Month*",Inputs!$B:$B,0)),BC$3&lt;=INDEX(Inputs!$C:$C,MATCH("End Year",Inputs!$B:$B,0))*12),IF($B17="Property Management Fee (%EGI)",-BC11*Inputs!$C$28,-IncomeExpenses!$C$90/12*(1+INDEX(Inputs!$C:$C,MATCH("*Annual Expense Growth Rate*",Inputs!$B:$B,0)))^(BC$5-1)),0))</f>
        <v>0</v>
      </c>
      <c r="BD17" s="152">
        <f t="array" ref="BD17">IF($B17="",0,IF(AND(BD$3&gt;=INDEX(Inputs!$C:$C,MATCH("*Expense Start Month*",Inputs!$B:$B,0)),BD$3&lt;=INDEX(Inputs!$C:$C,MATCH("End Year",Inputs!$B:$B,0))*12),IF($B17="Property Management Fee (%EGI)",-BD11*Inputs!$C$28,-IncomeExpenses!$C$90/12*(1+INDEX(Inputs!$C:$C,MATCH("*Annual Expense Growth Rate*",Inputs!$B:$B,0)))^(BD$5-1)),0))</f>
        <v>0</v>
      </c>
      <c r="BE17" s="152">
        <f t="array" ref="BE17">IF($B17="",0,IF(AND(BE$3&gt;=INDEX(Inputs!$C:$C,MATCH("*Expense Start Month*",Inputs!$B:$B,0)),BE$3&lt;=INDEX(Inputs!$C:$C,MATCH("End Year",Inputs!$B:$B,0))*12),IF($B17="Property Management Fee (%EGI)",-BE11*Inputs!$C$28,-IncomeExpenses!$C$90/12*(1+INDEX(Inputs!$C:$C,MATCH("*Annual Expense Growth Rate*",Inputs!$B:$B,0)))^(BE$5-1)),0))</f>
        <v>0</v>
      </c>
      <c r="BF17" s="152">
        <f t="array" ref="BF17">IF($B17="",0,IF(AND(BF$3&gt;=INDEX(Inputs!$C:$C,MATCH("*Expense Start Month*",Inputs!$B:$B,0)),BF$3&lt;=INDEX(Inputs!$C:$C,MATCH("End Year",Inputs!$B:$B,0))*12),IF($B17="Property Management Fee (%EGI)",-BF11*Inputs!$C$28,-IncomeExpenses!$C$90/12*(1+INDEX(Inputs!$C:$C,MATCH("*Annual Expense Growth Rate*",Inputs!$B:$B,0)))^(BF$5-1)),0))</f>
        <v>0</v>
      </c>
      <c r="BG17" s="152">
        <f t="array" ref="BG17">IF($B17="",0,IF(AND(BG$3&gt;=INDEX(Inputs!$C:$C,MATCH("*Expense Start Month*",Inputs!$B:$B,0)),BG$3&lt;=INDEX(Inputs!$C:$C,MATCH("End Year",Inputs!$B:$B,0))*12),IF($B17="Property Management Fee (%EGI)",-BG11*Inputs!$C$28,-IncomeExpenses!$C$90/12*(1+INDEX(Inputs!$C:$C,MATCH("*Annual Expense Growth Rate*",Inputs!$B:$B,0)))^(BG$5-1)),0))</f>
        <v>0</v>
      </c>
      <c r="BH17" s="152">
        <f t="array" ref="BH17">IF($B17="",0,IF(AND(BH$3&gt;=INDEX(Inputs!$C:$C,MATCH("*Expense Start Month*",Inputs!$B:$B,0)),BH$3&lt;=INDEX(Inputs!$C:$C,MATCH("End Year",Inputs!$B:$B,0))*12),IF($B17="Property Management Fee (%EGI)",-BH11*Inputs!$C$28,-IncomeExpenses!$C$90/12*(1+INDEX(Inputs!$C:$C,MATCH("*Annual Expense Growth Rate*",Inputs!$B:$B,0)))^(BH$5-1)),0))</f>
        <v>0</v>
      </c>
      <c r="BI17" s="152">
        <f t="array" ref="BI17">IF($B17="",0,IF(AND(BI$3&gt;=INDEX(Inputs!$C:$C,MATCH("*Expense Start Month*",Inputs!$B:$B,0)),BI$3&lt;=INDEX(Inputs!$C:$C,MATCH("End Year",Inputs!$B:$B,0))*12),IF($B17="Property Management Fee (%EGI)",-BI11*Inputs!$C$28,-IncomeExpenses!$C$90/12*(1+INDEX(Inputs!$C:$C,MATCH("*Annual Expense Growth Rate*",Inputs!$B:$B,0)))^(BI$5-1)),0))</f>
        <v>0</v>
      </c>
      <c r="BJ17" s="152">
        <f t="array" ref="BJ17">IF($B17="",0,IF(AND(BJ$3&gt;=INDEX(Inputs!$C:$C,MATCH("*Expense Start Month*",Inputs!$B:$B,0)),BJ$3&lt;=INDEX(Inputs!$C:$C,MATCH("End Year",Inputs!$B:$B,0))*12),IF($B17="Property Management Fee (%EGI)",-BJ11*Inputs!$C$28,-IncomeExpenses!$C$90/12*(1+INDEX(Inputs!$C:$C,MATCH("*Annual Expense Growth Rate*",Inputs!$B:$B,0)))^(BJ$5-1)),0))</f>
        <v>0</v>
      </c>
      <c r="BK17" s="152">
        <f t="array" ref="BK17">IF($B17="",0,IF(AND(BK$3&gt;=INDEX(Inputs!$C:$C,MATCH("*Expense Start Month*",Inputs!$B:$B,0)),BK$3&lt;=INDEX(Inputs!$C:$C,MATCH("End Year",Inputs!$B:$B,0))*12),IF($B17="Property Management Fee (%EGI)",-BK11*Inputs!$C$28,-IncomeExpenses!$C$90/12*(1+INDEX(Inputs!$C:$C,MATCH("*Annual Expense Growth Rate*",Inputs!$B:$B,0)))^(BK$5-1)),0))</f>
        <v>0</v>
      </c>
      <c r="BL17" s="152">
        <f t="array" ref="BL17">IF($B17="",0,IF(AND(BL$3&gt;=INDEX(Inputs!$C:$C,MATCH("*Expense Start Month*",Inputs!$B:$B,0)),BL$3&lt;=INDEX(Inputs!$C:$C,MATCH("End Year",Inputs!$B:$B,0))*12),IF($B17="Property Management Fee (%EGI)",-BL11*Inputs!$C$28,-IncomeExpenses!$C$90/12*(1+INDEX(Inputs!$C:$C,MATCH("*Annual Expense Growth Rate*",Inputs!$B:$B,0)))^(BL$5-1)),0))</f>
        <v>0</v>
      </c>
      <c r="BM17" s="152">
        <f t="array" ref="BM17">IF($B17="",0,IF(AND(BM$3&gt;=INDEX(Inputs!$C:$C,MATCH("*Expense Start Month*",Inputs!$B:$B,0)),BM$3&lt;=INDEX(Inputs!$C:$C,MATCH("End Year",Inputs!$B:$B,0))*12),IF($B17="Property Management Fee (%EGI)",-BM11*Inputs!$C$28,-IncomeExpenses!$C$90/12*(1+INDEX(Inputs!$C:$C,MATCH("*Annual Expense Growth Rate*",Inputs!$B:$B,0)))^(BM$5-1)),0))</f>
        <v>0</v>
      </c>
      <c r="BN17" s="152">
        <f t="array" ref="BN17">IF($B17="",0,IF(AND(BN$3&gt;=INDEX(Inputs!$C:$C,MATCH("*Expense Start Month*",Inputs!$B:$B,0)),BN$3&lt;=INDEX(Inputs!$C:$C,MATCH("End Year",Inputs!$B:$B,0))*12),IF($B17="Property Management Fee (%EGI)",-BN11*Inputs!$C$28,-IncomeExpenses!$C$90/12*(1+INDEX(Inputs!$C:$C,MATCH("*Annual Expense Growth Rate*",Inputs!$B:$B,0)))^(BN$5-1)),0))</f>
        <v>0</v>
      </c>
      <c r="BO17" s="152">
        <f t="array" ref="BO17">IF($B17="",0,IF(AND(BO$3&gt;=INDEX(Inputs!$C:$C,MATCH("*Expense Start Month*",Inputs!$B:$B,0)),BO$3&lt;=INDEX(Inputs!$C:$C,MATCH("End Year",Inputs!$B:$B,0))*12),IF($B17="Property Management Fee (%EGI)",-BO11*Inputs!$C$28,-IncomeExpenses!$C$90/12*(1+INDEX(Inputs!$C:$C,MATCH("*Annual Expense Growth Rate*",Inputs!$B:$B,0)))^(BO$5-1)),0))</f>
        <v>0</v>
      </c>
      <c r="BP17" s="152">
        <f t="array" ref="BP17">IF($B17="",0,IF(AND(BP$3&gt;=INDEX(Inputs!$C:$C,MATCH("*Expense Start Month*",Inputs!$B:$B,0)),BP$3&lt;=INDEX(Inputs!$C:$C,MATCH("End Year",Inputs!$B:$B,0))*12),IF($B17="Property Management Fee (%EGI)",-BP11*Inputs!$C$28,-IncomeExpenses!$C$90/12*(1+INDEX(Inputs!$C:$C,MATCH("*Annual Expense Growth Rate*",Inputs!$B:$B,0)))^(BP$5-1)),0))</f>
        <v>0</v>
      </c>
      <c r="BQ17" s="152">
        <f t="array" ref="BQ17">IF($B17="",0,IF(AND(BQ$3&gt;=INDEX(Inputs!$C:$C,MATCH("*Expense Start Month*",Inputs!$B:$B,0)),BQ$3&lt;=INDEX(Inputs!$C:$C,MATCH("End Year",Inputs!$B:$B,0))*12),IF($B17="Property Management Fee (%EGI)",-BQ11*Inputs!$C$28,-IncomeExpenses!$C$90/12*(1+INDEX(Inputs!$C:$C,MATCH("*Annual Expense Growth Rate*",Inputs!$B:$B,0)))^(BQ$5-1)),0))</f>
        <v>0</v>
      </c>
      <c r="BR17" s="152">
        <f t="array" ref="BR17">IF($B17="",0,IF(AND(BR$3&gt;=INDEX(Inputs!$C:$C,MATCH("*Expense Start Month*",Inputs!$B:$B,0)),BR$3&lt;=INDEX(Inputs!$C:$C,MATCH("End Year",Inputs!$B:$B,0))*12),IF($B17="Property Management Fee (%EGI)",-BR11*Inputs!$C$28,-IncomeExpenses!$C$90/12*(1+INDEX(Inputs!$C:$C,MATCH("*Annual Expense Growth Rate*",Inputs!$B:$B,0)))^(BR$5-1)),0))</f>
        <v>0</v>
      </c>
      <c r="BS17" s="152">
        <f t="array" ref="BS17">IF($B17="",0,IF(AND(BS$3&gt;=INDEX(Inputs!$C:$C,MATCH("*Expense Start Month*",Inputs!$B:$B,0)),BS$3&lt;=INDEX(Inputs!$C:$C,MATCH("End Year",Inputs!$B:$B,0))*12),IF($B17="Property Management Fee (%EGI)",-BS11*Inputs!$C$28,-IncomeExpenses!$C$90/12*(1+INDEX(Inputs!$C:$C,MATCH("*Annual Expense Growth Rate*",Inputs!$B:$B,0)))^(BS$5-1)),0))</f>
        <v>0</v>
      </c>
      <c r="BT17" s="152">
        <f t="array" ref="BT17">IF($B17="",0,IF(AND(BT$3&gt;=INDEX(Inputs!$C:$C,MATCH("*Expense Start Month*",Inputs!$B:$B,0)),BT$3&lt;=INDEX(Inputs!$C:$C,MATCH("End Year",Inputs!$B:$B,0))*12),IF($B17="Property Management Fee (%EGI)",-BT11*Inputs!$C$28,-IncomeExpenses!$C$90/12*(1+INDEX(Inputs!$C:$C,MATCH("*Annual Expense Growth Rate*",Inputs!$B:$B,0)))^(BT$5-1)),0))</f>
        <v>0</v>
      </c>
      <c r="BU17" s="152">
        <f t="array" ref="BU17">IF($B17="",0,IF(AND(BU$3&gt;=INDEX(Inputs!$C:$C,MATCH("*Expense Start Month*",Inputs!$B:$B,0)),BU$3&lt;=INDEX(Inputs!$C:$C,MATCH("End Year",Inputs!$B:$B,0))*12),IF($B17="Property Management Fee (%EGI)",-BU11*Inputs!$C$28,-IncomeExpenses!$C$90/12*(1+INDEX(Inputs!$C:$C,MATCH("*Annual Expense Growth Rate*",Inputs!$B:$B,0)))^(BU$5-1)),0))</f>
        <v>0</v>
      </c>
      <c r="BV17" s="152">
        <f t="array" ref="BV17">IF($B17="",0,IF(AND(BV$3&gt;=INDEX(Inputs!$C:$C,MATCH("*Expense Start Month*",Inputs!$B:$B,0)),BV$3&lt;=INDEX(Inputs!$C:$C,MATCH("End Year",Inputs!$B:$B,0))*12),IF($B17="Property Management Fee (%EGI)",-BV11*Inputs!$C$28,-IncomeExpenses!$C$90/12*(1+INDEX(Inputs!$C:$C,MATCH("*Annual Expense Growth Rate*",Inputs!$B:$B,0)))^(BV$5-1)),0))</f>
        <v>0</v>
      </c>
      <c r="BW17" s="152">
        <f t="array" ref="BW17">IF($B17="",0,IF(AND(BW$3&gt;=INDEX(Inputs!$C:$C,MATCH("*Expense Start Month*",Inputs!$B:$B,0)),BW$3&lt;=INDEX(Inputs!$C:$C,MATCH("End Year",Inputs!$B:$B,0))*12),IF($B17="Property Management Fee (%EGI)",-BW11*Inputs!$C$28,-IncomeExpenses!$C$90/12*(1+INDEX(Inputs!$C:$C,MATCH("*Annual Expense Growth Rate*",Inputs!$B:$B,0)))^(BW$5-1)),0))</f>
        <v>0</v>
      </c>
      <c r="BX17" s="152">
        <f t="array" ref="BX17">IF($B17="",0,IF(AND(BX$3&gt;=INDEX(Inputs!$C:$C,MATCH("*Expense Start Month*",Inputs!$B:$B,0)),BX$3&lt;=INDEX(Inputs!$C:$C,MATCH("End Year",Inputs!$B:$B,0))*12),IF($B17="Property Management Fee (%EGI)",-BX11*Inputs!$C$28,-IncomeExpenses!$C$90/12*(1+INDEX(Inputs!$C:$C,MATCH("*Annual Expense Growth Rate*",Inputs!$B:$B,0)))^(BX$5-1)),0))</f>
        <v>0</v>
      </c>
      <c r="BY17" s="152">
        <f t="array" ref="BY17">IF($B17="",0,IF(AND(BY$3&gt;=INDEX(Inputs!$C:$C,MATCH("*Expense Start Month*",Inputs!$B:$B,0)),BY$3&lt;=INDEX(Inputs!$C:$C,MATCH("End Year",Inputs!$B:$B,0))*12),IF($B17="Property Management Fee (%EGI)",-BY11*Inputs!$C$28,-IncomeExpenses!$C$90/12*(1+INDEX(Inputs!$C:$C,MATCH("*Annual Expense Growth Rate*",Inputs!$B:$B,0)))^(BY$5-1)),0))</f>
        <v>0</v>
      </c>
      <c r="BZ17" s="152">
        <f t="array" ref="BZ17">IF($B17="",0,IF(AND(BZ$3&gt;=INDEX(Inputs!$C:$C,MATCH("*Expense Start Month*",Inputs!$B:$B,0)),BZ$3&lt;=INDEX(Inputs!$C:$C,MATCH("End Year",Inputs!$B:$B,0))*12),IF($B17="Property Management Fee (%EGI)",-BZ11*Inputs!$C$28,-IncomeExpenses!$C$90/12*(1+INDEX(Inputs!$C:$C,MATCH("*Annual Expense Growth Rate*",Inputs!$B:$B,0)))^(BZ$5-1)),0))</f>
        <v>0</v>
      </c>
      <c r="CA17" s="152">
        <f t="array" ref="CA17">IF($B17="",0,IF(AND(CA$3&gt;=INDEX(Inputs!$C:$C,MATCH("*Expense Start Month*",Inputs!$B:$B,0)),CA$3&lt;=INDEX(Inputs!$C:$C,MATCH("End Year",Inputs!$B:$B,0))*12),IF($B17="Property Management Fee (%EGI)",-CA11*Inputs!$C$28,-IncomeExpenses!$C$90/12*(1+INDEX(Inputs!$C:$C,MATCH("*Annual Expense Growth Rate*",Inputs!$B:$B,0)))^(CA$5-1)),0))</f>
        <v>0</v>
      </c>
      <c r="CB17" s="152">
        <f t="array" ref="CB17">IF($B17="",0,IF(AND(CB$3&gt;=INDEX(Inputs!$C:$C,MATCH("*Expense Start Month*",Inputs!$B:$B,0)),CB$3&lt;=INDEX(Inputs!$C:$C,MATCH("End Year",Inputs!$B:$B,0))*12),IF($B17="Property Management Fee (%EGI)",-CB11*Inputs!$C$28,-IncomeExpenses!$C$90/12*(1+INDEX(Inputs!$C:$C,MATCH("*Annual Expense Growth Rate*",Inputs!$B:$B,0)))^(CB$5-1)),0))</f>
        <v>0</v>
      </c>
      <c r="CC17" s="152">
        <f t="array" ref="CC17">IF($B17="",0,IF(AND(CC$3&gt;=INDEX(Inputs!$C:$C,MATCH("*Expense Start Month*",Inputs!$B:$B,0)),CC$3&lt;=INDEX(Inputs!$C:$C,MATCH("End Year",Inputs!$B:$B,0))*12),IF($B17="Property Management Fee (%EGI)",-CC11*Inputs!$C$28,-IncomeExpenses!$C$90/12*(1+INDEX(Inputs!$C:$C,MATCH("*Annual Expense Growth Rate*",Inputs!$B:$B,0)))^(CC$5-1)),0))</f>
        <v>0</v>
      </c>
      <c r="CD17" s="152">
        <f t="array" ref="CD17">IF($B17="",0,IF(AND(CD$3&gt;=INDEX(Inputs!$C:$C,MATCH("*Expense Start Month*",Inputs!$B:$B,0)),CD$3&lt;=INDEX(Inputs!$C:$C,MATCH("End Year",Inputs!$B:$B,0))*12),IF($B17="Property Management Fee (%EGI)",-CD11*Inputs!$C$28,-IncomeExpenses!$C$90/12*(1+INDEX(Inputs!$C:$C,MATCH("*Annual Expense Growth Rate*",Inputs!$B:$B,0)))^(CD$5-1)),0))</f>
        <v>0</v>
      </c>
      <c r="CE17" s="152">
        <f t="array" ref="CE17">IF($B17="",0,IF(AND(CE$3&gt;=INDEX(Inputs!$C:$C,MATCH("*Expense Start Month*",Inputs!$B:$B,0)),CE$3&lt;=INDEX(Inputs!$C:$C,MATCH("End Year",Inputs!$B:$B,0))*12),IF($B17="Property Management Fee (%EGI)",-CE11*Inputs!$C$28,-IncomeExpenses!$C$90/12*(1+INDEX(Inputs!$C:$C,MATCH("*Annual Expense Growth Rate*",Inputs!$B:$B,0)))^(CE$5-1)),0))</f>
        <v>0</v>
      </c>
      <c r="CF17" s="152">
        <f t="array" ref="CF17">IF($B17="",0,IF(AND(CF$3&gt;=INDEX(Inputs!$C:$C,MATCH("*Expense Start Month*",Inputs!$B:$B,0)),CF$3&lt;=INDEX(Inputs!$C:$C,MATCH("End Year",Inputs!$B:$B,0))*12),IF($B17="Property Management Fee (%EGI)",-CF11*Inputs!$C$28,-IncomeExpenses!$C$90/12*(1+INDEX(Inputs!$C:$C,MATCH("*Annual Expense Growth Rate*",Inputs!$B:$B,0)))^(CF$5-1)),0))</f>
        <v>0</v>
      </c>
      <c r="CG17" s="152">
        <f t="array" ref="CG17">IF($B17="",0,IF(AND(CG$3&gt;=INDEX(Inputs!$C:$C,MATCH("*Expense Start Month*",Inputs!$B:$B,0)),CG$3&lt;=INDEX(Inputs!$C:$C,MATCH("End Year",Inputs!$B:$B,0))*12),IF($B17="Property Management Fee (%EGI)",-CG11*Inputs!$C$28,-IncomeExpenses!$C$90/12*(1+INDEX(Inputs!$C:$C,MATCH("*Annual Expense Growth Rate*",Inputs!$B:$B,0)))^(CG$5-1)),0))</f>
        <v>0</v>
      </c>
      <c r="CH17" s="152">
        <f t="array" ref="CH17">IF($B17="",0,IF(AND(CH$3&gt;=INDEX(Inputs!$C:$C,MATCH("*Expense Start Month*",Inputs!$B:$B,0)),CH$3&lt;=INDEX(Inputs!$C:$C,MATCH("End Year",Inputs!$B:$B,0))*12),IF($B17="Property Management Fee (%EGI)",-CH11*Inputs!$C$28,-IncomeExpenses!$C$90/12*(1+INDEX(Inputs!$C:$C,MATCH("*Annual Expense Growth Rate*",Inputs!$B:$B,0)))^(CH$5-1)),0))</f>
        <v>0</v>
      </c>
      <c r="CI17" s="152">
        <f t="array" ref="CI17">IF($B17="",0,IF(AND(CI$3&gt;=INDEX(Inputs!$C:$C,MATCH("*Expense Start Month*",Inputs!$B:$B,0)),CI$3&lt;=INDEX(Inputs!$C:$C,MATCH("End Year",Inputs!$B:$B,0))*12),IF($B17="Property Management Fee (%EGI)",-CI11*Inputs!$C$28,-IncomeExpenses!$C$90/12*(1+INDEX(Inputs!$C:$C,MATCH("*Annual Expense Growth Rate*",Inputs!$B:$B,0)))^(CI$5-1)),0))</f>
        <v>0</v>
      </c>
      <c r="CJ17" s="152">
        <f t="array" ref="CJ17">IF($B17="",0,IF(AND(CJ$3&gt;=INDEX(Inputs!$C:$C,MATCH("*Expense Start Month*",Inputs!$B:$B,0)),CJ$3&lt;=INDEX(Inputs!$C:$C,MATCH("End Year",Inputs!$B:$B,0))*12),IF($B17="Property Management Fee (%EGI)",-CJ11*Inputs!$C$28,-IncomeExpenses!$C$90/12*(1+INDEX(Inputs!$C:$C,MATCH("*Annual Expense Growth Rate*",Inputs!$B:$B,0)))^(CJ$5-1)),0))</f>
        <v>0</v>
      </c>
      <c r="CK17" s="152">
        <f t="array" ref="CK17">IF($B17="",0,IF(AND(CK$3&gt;=INDEX(Inputs!$C:$C,MATCH("*Expense Start Month*",Inputs!$B:$B,0)),CK$3&lt;=INDEX(Inputs!$C:$C,MATCH("End Year",Inputs!$B:$B,0))*12),IF($B17="Property Management Fee (%EGI)",-CK11*Inputs!$C$28,-IncomeExpenses!$C$90/12*(1+INDEX(Inputs!$C:$C,MATCH("*Annual Expense Growth Rate*",Inputs!$B:$B,0)))^(CK$5-1)),0))</f>
        <v>0</v>
      </c>
      <c r="CL17" s="152">
        <f t="array" ref="CL17">IF($B17="",0,IF(AND(CL$3&gt;=INDEX(Inputs!$C:$C,MATCH("*Expense Start Month*",Inputs!$B:$B,0)),CL$3&lt;=INDEX(Inputs!$C:$C,MATCH("End Year",Inputs!$B:$B,0))*12),IF($B17="Property Management Fee (%EGI)",-CL11*Inputs!$C$28,-IncomeExpenses!$C$90/12*(1+INDEX(Inputs!$C:$C,MATCH("*Annual Expense Growth Rate*",Inputs!$B:$B,0)))^(CL$5-1)),0))</f>
        <v>0</v>
      </c>
      <c r="CM17" s="152">
        <f t="array" ref="CM17">IF($B17="",0,IF(AND(CM$3&gt;=INDEX(Inputs!$C:$C,MATCH("*Expense Start Month*",Inputs!$B:$B,0)),CM$3&lt;=INDEX(Inputs!$C:$C,MATCH("End Year",Inputs!$B:$B,0))*12),IF($B17="Property Management Fee (%EGI)",-CM11*Inputs!$C$28,-IncomeExpenses!$C$90/12*(1+INDEX(Inputs!$C:$C,MATCH("*Annual Expense Growth Rate*",Inputs!$B:$B,0)))^(CM$5-1)),0))</f>
        <v>0</v>
      </c>
      <c r="CN17" s="152">
        <f t="array" ref="CN17">IF($B17="",0,IF(AND(CN$3&gt;=INDEX(Inputs!$C:$C,MATCH("*Expense Start Month*",Inputs!$B:$B,0)),CN$3&lt;=INDEX(Inputs!$C:$C,MATCH("End Year",Inputs!$B:$B,0))*12),IF($B17="Property Management Fee (%EGI)",-CN11*Inputs!$C$28,-IncomeExpenses!$C$90/12*(1+INDEX(Inputs!$C:$C,MATCH("*Annual Expense Growth Rate*",Inputs!$B:$B,0)))^(CN$5-1)),0))</f>
        <v>0</v>
      </c>
      <c r="CO17" s="152">
        <f t="array" ref="CO17">IF($B17="",0,IF(AND(CO$3&gt;=INDEX(Inputs!$C:$C,MATCH("*Expense Start Month*",Inputs!$B:$B,0)),CO$3&lt;=INDEX(Inputs!$C:$C,MATCH("End Year",Inputs!$B:$B,0))*12),IF($B17="Property Management Fee (%EGI)",-CO11*Inputs!$C$28,-IncomeExpenses!$C$90/12*(1+INDEX(Inputs!$C:$C,MATCH("*Annual Expense Growth Rate*",Inputs!$B:$B,0)))^(CO$5-1)),0))</f>
        <v>0</v>
      </c>
      <c r="CP17" s="152">
        <f t="array" ref="CP17">IF($B17="",0,IF(AND(CP$3&gt;=INDEX(Inputs!$C:$C,MATCH("*Expense Start Month*",Inputs!$B:$B,0)),CP$3&lt;=INDEX(Inputs!$C:$C,MATCH("End Year",Inputs!$B:$B,0))*12),IF($B17="Property Management Fee (%EGI)",-CP11*Inputs!$C$28,-IncomeExpenses!$C$90/12*(1+INDEX(Inputs!$C:$C,MATCH("*Annual Expense Growth Rate*",Inputs!$B:$B,0)))^(CP$5-1)),0))</f>
        <v>0</v>
      </c>
      <c r="CQ17" s="152">
        <f t="array" ref="CQ17">IF($B17="",0,IF(AND(CQ$3&gt;=INDEX(Inputs!$C:$C,MATCH("*Expense Start Month*",Inputs!$B:$B,0)),CQ$3&lt;=INDEX(Inputs!$C:$C,MATCH("End Year",Inputs!$B:$B,0))*12),IF($B17="Property Management Fee (%EGI)",-CQ11*Inputs!$C$28,-IncomeExpenses!$C$90/12*(1+INDEX(Inputs!$C:$C,MATCH("*Annual Expense Growth Rate*",Inputs!$B:$B,0)))^(CQ$5-1)),0))</f>
        <v>0</v>
      </c>
      <c r="CR17" s="152">
        <f t="array" ref="CR17">IF($B17="",0,IF(AND(CR$3&gt;=INDEX(Inputs!$C:$C,MATCH("*Expense Start Month*",Inputs!$B:$B,0)),CR$3&lt;=INDEX(Inputs!$C:$C,MATCH("End Year",Inputs!$B:$B,0))*12),IF($B17="Property Management Fee (%EGI)",-CR11*Inputs!$C$28,-IncomeExpenses!$C$90/12*(1+INDEX(Inputs!$C:$C,MATCH("*Annual Expense Growth Rate*",Inputs!$B:$B,0)))^(CR$5-1)),0))</f>
        <v>0</v>
      </c>
      <c r="CS17" s="152">
        <f t="array" ref="CS17">IF($B17="",0,IF(AND(CS$3&gt;=INDEX(Inputs!$C:$C,MATCH("*Expense Start Month*",Inputs!$B:$B,0)),CS$3&lt;=INDEX(Inputs!$C:$C,MATCH("End Year",Inputs!$B:$B,0))*12),IF($B17="Property Management Fee (%EGI)",-CS11*Inputs!$C$28,-IncomeExpenses!$C$90/12*(1+INDEX(Inputs!$C:$C,MATCH("*Annual Expense Growth Rate*",Inputs!$B:$B,0)))^(CS$5-1)),0))</f>
        <v>0</v>
      </c>
      <c r="CT17" s="152">
        <f t="array" ref="CT17">IF($B17="",0,IF(AND(CT$3&gt;=INDEX(Inputs!$C:$C,MATCH("*Expense Start Month*",Inputs!$B:$B,0)),CT$3&lt;=INDEX(Inputs!$C:$C,MATCH("End Year",Inputs!$B:$B,0))*12),IF($B17="Property Management Fee (%EGI)",-CT11*Inputs!$C$28,-IncomeExpenses!$C$90/12*(1+INDEX(Inputs!$C:$C,MATCH("*Annual Expense Growth Rate*",Inputs!$B:$B,0)))^(CT$5-1)),0))</f>
        <v>0</v>
      </c>
      <c r="CU17" s="152">
        <f t="array" ref="CU17">IF($B17="",0,IF(AND(CU$3&gt;=INDEX(Inputs!$C:$C,MATCH("*Expense Start Month*",Inputs!$B:$B,0)),CU$3&lt;=INDEX(Inputs!$C:$C,MATCH("End Year",Inputs!$B:$B,0))*12),IF($B17="Property Management Fee (%EGI)",-CU11*Inputs!$C$28,-IncomeExpenses!$C$90/12*(1+INDEX(Inputs!$C:$C,MATCH("*Annual Expense Growth Rate*",Inputs!$B:$B,0)))^(CU$5-1)),0))</f>
        <v>0</v>
      </c>
      <c r="CV17" s="152">
        <f t="array" ref="CV17">IF($B17="",0,IF(AND(CV$3&gt;=INDEX(Inputs!$C:$C,MATCH("*Expense Start Month*",Inputs!$B:$B,0)),CV$3&lt;=INDEX(Inputs!$C:$C,MATCH("End Year",Inputs!$B:$B,0))*12),IF($B17="Property Management Fee (%EGI)",-CV11*Inputs!$C$28,-IncomeExpenses!$C$90/12*(1+INDEX(Inputs!$C:$C,MATCH("*Annual Expense Growth Rate*",Inputs!$B:$B,0)))^(CV$5-1)),0))</f>
        <v>0</v>
      </c>
      <c r="CW17" s="152">
        <f t="array" ref="CW17">IF($B17="",0,IF(AND(CW$3&gt;=INDEX(Inputs!$C:$C,MATCH("*Expense Start Month*",Inputs!$B:$B,0)),CW$3&lt;=INDEX(Inputs!$C:$C,MATCH("End Year",Inputs!$B:$B,0))*12),IF($B17="Property Management Fee (%EGI)",-CW11*Inputs!$C$28,-IncomeExpenses!$C$90/12*(1+INDEX(Inputs!$C:$C,MATCH("*Annual Expense Growth Rate*",Inputs!$B:$B,0)))^(CW$5-1)),0))</f>
        <v>0</v>
      </c>
      <c r="CX17" s="152">
        <f t="array" ref="CX17">IF($B17="",0,IF(AND(CX$3&gt;=INDEX(Inputs!$C:$C,MATCH("*Expense Start Month*",Inputs!$B:$B,0)),CX$3&lt;=INDEX(Inputs!$C:$C,MATCH("End Year",Inputs!$B:$B,0))*12),IF($B17="Property Management Fee (%EGI)",-CX11*Inputs!$C$28,-IncomeExpenses!$C$90/12*(1+INDEX(Inputs!$C:$C,MATCH("*Annual Expense Growth Rate*",Inputs!$B:$B,0)))^(CX$5-1)),0))</f>
        <v>0</v>
      </c>
      <c r="CY17" s="152">
        <f t="array" ref="CY17">IF($B17="",0,IF(AND(CY$3&gt;=INDEX(Inputs!$C:$C,MATCH("*Expense Start Month*",Inputs!$B:$B,0)),CY$3&lt;=INDEX(Inputs!$C:$C,MATCH("End Year",Inputs!$B:$B,0))*12),IF($B17="Property Management Fee (%EGI)",-CY11*Inputs!$C$28,-IncomeExpenses!$C$90/12*(1+INDEX(Inputs!$C:$C,MATCH("*Annual Expense Growth Rate*",Inputs!$B:$B,0)))^(CY$5-1)),0))</f>
        <v>0</v>
      </c>
      <c r="CZ17" s="152">
        <f t="array" ref="CZ17">IF($B17="",0,IF(AND(CZ$3&gt;=INDEX(Inputs!$C:$C,MATCH("*Expense Start Month*",Inputs!$B:$B,0)),CZ$3&lt;=INDEX(Inputs!$C:$C,MATCH("End Year",Inputs!$B:$B,0))*12),IF($B17="Property Management Fee (%EGI)",-CZ11*Inputs!$C$28,-IncomeExpenses!$C$90/12*(1+INDEX(Inputs!$C:$C,MATCH("*Annual Expense Growth Rate*",Inputs!$B:$B,0)))^(CZ$5-1)),0))</f>
        <v>0</v>
      </c>
      <c r="DA17" s="152">
        <f t="array" ref="DA17">IF($B17="",0,IF(AND(DA$3&gt;=INDEX(Inputs!$C:$C,MATCH("*Expense Start Month*",Inputs!$B:$B,0)),DA$3&lt;=INDEX(Inputs!$C:$C,MATCH("End Year",Inputs!$B:$B,0))*12),IF($B17="Property Management Fee (%EGI)",-DA11*Inputs!$C$28,-IncomeExpenses!$C$90/12*(1+INDEX(Inputs!$C:$C,MATCH("*Annual Expense Growth Rate*",Inputs!$B:$B,0)))^(DA$5-1)),0))</f>
        <v>0</v>
      </c>
      <c r="DB17" s="152">
        <f t="array" ref="DB17">IF($B17="",0,IF(AND(DB$3&gt;=INDEX(Inputs!$C:$C,MATCH("*Expense Start Month*",Inputs!$B:$B,0)),DB$3&lt;=INDEX(Inputs!$C:$C,MATCH("End Year",Inputs!$B:$B,0))*12),IF($B17="Property Management Fee (%EGI)",-DB11*Inputs!$C$28,-IncomeExpenses!$C$90/12*(1+INDEX(Inputs!$C:$C,MATCH("*Annual Expense Growth Rate*",Inputs!$B:$B,0)))^(DB$5-1)),0))</f>
        <v>0</v>
      </c>
      <c r="DC17" s="152">
        <f t="array" ref="DC17">IF($B17="",0,IF(AND(DC$3&gt;=INDEX(Inputs!$C:$C,MATCH("*Expense Start Month*",Inputs!$B:$B,0)),DC$3&lt;=INDEX(Inputs!$C:$C,MATCH("End Year",Inputs!$B:$B,0))*12),IF($B17="Property Management Fee (%EGI)",-DC11*Inputs!$C$28,-IncomeExpenses!$C$90/12*(1+INDEX(Inputs!$C:$C,MATCH("*Annual Expense Growth Rate*",Inputs!$B:$B,0)))^(DC$5-1)),0))</f>
        <v>0</v>
      </c>
      <c r="DD17" s="152">
        <f t="array" ref="DD17">IF($B17="",0,IF(AND(DD$3&gt;=INDEX(Inputs!$C:$C,MATCH("*Expense Start Month*",Inputs!$B:$B,0)),DD$3&lt;=INDEX(Inputs!$C:$C,MATCH("End Year",Inputs!$B:$B,0))*12),IF($B17="Property Management Fee (%EGI)",-DD11*Inputs!$C$28,-IncomeExpenses!$C$90/12*(1+INDEX(Inputs!$C:$C,MATCH("*Annual Expense Growth Rate*",Inputs!$B:$B,0)))^(DD$5-1)),0))</f>
        <v>0</v>
      </c>
      <c r="DE17" s="152">
        <f t="array" ref="DE17">IF($B17="",0,IF(AND(DE$3&gt;=INDEX(Inputs!$C:$C,MATCH("*Expense Start Month*",Inputs!$B:$B,0)),DE$3&lt;=INDEX(Inputs!$C:$C,MATCH("End Year",Inputs!$B:$B,0))*12),IF($B17="Property Management Fee (%EGI)",-DE11*Inputs!$C$28,-IncomeExpenses!$C$90/12*(1+INDEX(Inputs!$C:$C,MATCH("*Annual Expense Growth Rate*",Inputs!$B:$B,0)))^(DE$5-1)),0))</f>
        <v>0</v>
      </c>
      <c r="DF17" s="152">
        <f t="array" ref="DF17">IF($B17="",0,IF(AND(DF$3&gt;=INDEX(Inputs!$C:$C,MATCH("*Expense Start Month*",Inputs!$B:$B,0)),DF$3&lt;=INDEX(Inputs!$C:$C,MATCH("End Year",Inputs!$B:$B,0))*12),IF($B17="Property Management Fee (%EGI)",-DF11*Inputs!$C$28,-IncomeExpenses!$C$90/12*(1+INDEX(Inputs!$C:$C,MATCH("*Annual Expense Growth Rate*",Inputs!$B:$B,0)))^(DF$5-1)),0))</f>
        <v>0</v>
      </c>
      <c r="DG17" s="152">
        <f t="array" ref="DG17">IF($B17="",0,IF(AND(DG$3&gt;=INDEX(Inputs!$C:$C,MATCH("*Expense Start Month*",Inputs!$B:$B,0)),DG$3&lt;=INDEX(Inputs!$C:$C,MATCH("End Year",Inputs!$B:$B,0))*12),IF($B17="Property Management Fee (%EGI)",-DG11*Inputs!$C$28,-IncomeExpenses!$C$90/12*(1+INDEX(Inputs!$C:$C,MATCH("*Annual Expense Growth Rate*",Inputs!$B:$B,0)))^(DG$5-1)),0))</f>
        <v>0</v>
      </c>
      <c r="DH17" s="152">
        <f t="array" ref="DH17">IF($B17="",0,IF(AND(DH$3&gt;=INDEX(Inputs!$C:$C,MATCH("*Expense Start Month*",Inputs!$B:$B,0)),DH$3&lt;=INDEX(Inputs!$C:$C,MATCH("End Year",Inputs!$B:$B,0))*12),IF($B17="Property Management Fee (%EGI)",-DH11*Inputs!$C$28,-IncomeExpenses!$C$90/12*(1+INDEX(Inputs!$C:$C,MATCH("*Annual Expense Growth Rate*",Inputs!$B:$B,0)))^(DH$5-1)),0))</f>
        <v>0</v>
      </c>
      <c r="DI17" s="152">
        <f t="array" ref="DI17">IF($B17="",0,IF(AND(DI$3&gt;=INDEX(Inputs!$C:$C,MATCH("*Expense Start Month*",Inputs!$B:$B,0)),DI$3&lt;=INDEX(Inputs!$C:$C,MATCH("End Year",Inputs!$B:$B,0))*12),IF($B17="Property Management Fee (%EGI)",-DI11*Inputs!$C$28,-IncomeExpenses!$C$90/12*(1+INDEX(Inputs!$C:$C,MATCH("*Annual Expense Growth Rate*",Inputs!$B:$B,0)))^(DI$5-1)),0))</f>
        <v>0</v>
      </c>
      <c r="DJ17" s="152">
        <f t="array" ref="DJ17">IF($B17="",0,IF(AND(DJ$3&gt;=INDEX(Inputs!$C:$C,MATCH("*Expense Start Month*",Inputs!$B:$B,0)),DJ$3&lt;=INDEX(Inputs!$C:$C,MATCH("End Year",Inputs!$B:$B,0))*12),IF($B17="Property Management Fee (%EGI)",-DJ11*Inputs!$C$28,-IncomeExpenses!$C$90/12*(1+INDEX(Inputs!$C:$C,MATCH("*Annual Expense Growth Rate*",Inputs!$B:$B,0)))^(DJ$5-1)),0))</f>
        <v>0</v>
      </c>
      <c r="DK17" s="152">
        <f t="array" ref="DK17">IF($B17="",0,IF(AND(DK$3&gt;=INDEX(Inputs!$C:$C,MATCH("*Expense Start Month*",Inputs!$B:$B,0)),DK$3&lt;=INDEX(Inputs!$C:$C,MATCH("End Year",Inputs!$B:$B,0))*12),IF($B17="Property Management Fee (%EGI)",-DK11*Inputs!$C$28,-IncomeExpenses!$C$90/12*(1+INDEX(Inputs!$C:$C,MATCH("*Annual Expense Growth Rate*",Inputs!$B:$B,0)))^(DK$5-1)),0))</f>
        <v>0</v>
      </c>
      <c r="DL17" s="152">
        <f t="array" ref="DL17">IF($B17="",0,IF(AND(DL$3&gt;=INDEX(Inputs!$C:$C,MATCH("*Expense Start Month*",Inputs!$B:$B,0)),DL$3&lt;=INDEX(Inputs!$C:$C,MATCH("End Year",Inputs!$B:$B,0))*12),IF($B17="Property Management Fee (%EGI)",-DL11*Inputs!$C$28,-IncomeExpenses!$C$90/12*(1+INDEX(Inputs!$C:$C,MATCH("*Annual Expense Growth Rate*",Inputs!$B:$B,0)))^(DL$5-1)),0))</f>
        <v>0</v>
      </c>
      <c r="DM17" s="152">
        <f t="array" ref="DM17">IF($B17="",0,IF(AND(DM$3&gt;=INDEX(Inputs!$C:$C,MATCH("*Expense Start Month*",Inputs!$B:$B,0)),DM$3&lt;=INDEX(Inputs!$C:$C,MATCH("End Year",Inputs!$B:$B,0))*12),IF($B17="Property Management Fee (%EGI)",-DM11*Inputs!$C$28,-IncomeExpenses!$C$90/12*(1+INDEX(Inputs!$C:$C,MATCH("*Annual Expense Growth Rate*",Inputs!$B:$B,0)))^(DM$5-1)),0))</f>
        <v>0</v>
      </c>
      <c r="DN17" s="152">
        <f t="array" ref="DN17">IF($B17="",0,IF(AND(DN$3&gt;=INDEX(Inputs!$C:$C,MATCH("*Expense Start Month*",Inputs!$B:$B,0)),DN$3&lt;=INDEX(Inputs!$C:$C,MATCH("End Year",Inputs!$B:$B,0))*12),IF($B17="Property Management Fee (%EGI)",-DN11*Inputs!$C$28,-IncomeExpenses!$C$90/12*(1+INDEX(Inputs!$C:$C,MATCH("*Annual Expense Growth Rate*",Inputs!$B:$B,0)))^(DN$5-1)),0))</f>
        <v>0</v>
      </c>
      <c r="DO17" s="152">
        <f t="array" ref="DO17">IF($B17="",0,IF(AND(DO$3&gt;=INDEX(Inputs!$C:$C,MATCH("*Expense Start Month*",Inputs!$B:$B,0)),DO$3&lt;=INDEX(Inputs!$C:$C,MATCH("End Year",Inputs!$B:$B,0))*12),IF($B17="Property Management Fee (%EGI)",-DO11*Inputs!$C$28,-IncomeExpenses!$C$90/12*(1+INDEX(Inputs!$C:$C,MATCH("*Annual Expense Growth Rate*",Inputs!$B:$B,0)))^(DO$5-1)),0))</f>
        <v>0</v>
      </c>
      <c r="DP17" s="152">
        <f t="array" ref="DP17">IF($B17="",0,IF(AND(DP$3&gt;=INDEX(Inputs!$C:$C,MATCH("*Expense Start Month*",Inputs!$B:$B,0)),DP$3&lt;=INDEX(Inputs!$C:$C,MATCH("End Year",Inputs!$B:$B,0))*12),IF($B17="Property Management Fee (%EGI)",-DP11*Inputs!$C$28,-IncomeExpenses!$C$90/12*(1+INDEX(Inputs!$C:$C,MATCH("*Annual Expense Growth Rate*",Inputs!$B:$B,0)))^(DP$5-1)),0))</f>
        <v>0</v>
      </c>
      <c r="DQ17" s="152">
        <f t="array" ref="DQ17">IF($B17="",0,IF(AND(DQ$3&gt;=INDEX(Inputs!$C:$C,MATCH("*Expense Start Month*",Inputs!$B:$B,0)),DQ$3&lt;=INDEX(Inputs!$C:$C,MATCH("End Year",Inputs!$B:$B,0))*12),IF($B17="Property Management Fee (%EGI)",-DQ11*Inputs!$C$28,-IncomeExpenses!$C$90/12*(1+INDEX(Inputs!$C:$C,MATCH("*Annual Expense Growth Rate*",Inputs!$B:$B,0)))^(DQ$5-1)),0))</f>
        <v>0</v>
      </c>
      <c r="DR17" s="152">
        <f t="array" ref="DR17">IF($B17="",0,IF(AND(DR$3&gt;=INDEX(Inputs!$C:$C,MATCH("*Expense Start Month*",Inputs!$B:$B,0)),DR$3&lt;=INDEX(Inputs!$C:$C,MATCH("End Year",Inputs!$B:$B,0))*12),IF($B17="Property Management Fee (%EGI)",-DR11*Inputs!$C$28,-IncomeExpenses!$C$90/12*(1+INDEX(Inputs!$C:$C,MATCH("*Annual Expense Growth Rate*",Inputs!$B:$B,0)))^(DR$5-1)),0))</f>
        <v>0</v>
      </c>
      <c r="DS17" s="152">
        <f t="array" ref="DS17">IF($B17="",0,IF(AND(DS$3&gt;=INDEX(Inputs!$C:$C,MATCH("*Expense Start Month*",Inputs!$B:$B,0)),DS$3&lt;=INDEX(Inputs!$C:$C,MATCH("End Year",Inputs!$B:$B,0))*12),IF($B17="Property Management Fee (%EGI)",-DS11*Inputs!$C$28,-IncomeExpenses!$C$90/12*(1+INDEX(Inputs!$C:$C,MATCH("*Annual Expense Growth Rate*",Inputs!$B:$B,0)))^(DS$5-1)),0))</f>
        <v>0</v>
      </c>
    </row>
    <row r="18" ht="15.75" customHeight="1">
      <c r="A18" s="44"/>
      <c r="B18" s="158" t="s">
        <v>324</v>
      </c>
      <c r="C18" s="160">
        <f t="shared" ref="C18:DS18" si="3">SUM(C16:C17)</f>
        <v>0</v>
      </c>
      <c r="D18" s="160">
        <f t="shared" si="3"/>
        <v>0</v>
      </c>
      <c r="E18" s="160">
        <f t="shared" si="3"/>
        <v>0</v>
      </c>
      <c r="F18" s="160">
        <f t="shared" si="3"/>
        <v>0</v>
      </c>
      <c r="G18" s="160">
        <f t="shared" si="3"/>
        <v>0</v>
      </c>
      <c r="H18" s="160">
        <f t="shared" si="3"/>
        <v>0</v>
      </c>
      <c r="I18" s="160">
        <f t="shared" si="3"/>
        <v>0</v>
      </c>
      <c r="J18" s="160">
        <f t="shared" si="3"/>
        <v>0</v>
      </c>
      <c r="K18" s="160">
        <f t="shared" si="3"/>
        <v>0</v>
      </c>
      <c r="L18" s="160">
        <f t="shared" si="3"/>
        <v>0</v>
      </c>
      <c r="M18" s="160">
        <f t="shared" si="3"/>
        <v>0</v>
      </c>
      <c r="N18" s="160">
        <f t="shared" si="3"/>
        <v>0</v>
      </c>
      <c r="O18" s="160">
        <f t="shared" si="3"/>
        <v>0</v>
      </c>
      <c r="P18" s="160">
        <f t="shared" si="3"/>
        <v>0</v>
      </c>
      <c r="Q18" s="160">
        <f t="shared" si="3"/>
        <v>0</v>
      </c>
      <c r="R18" s="160">
        <f t="shared" si="3"/>
        <v>0</v>
      </c>
      <c r="S18" s="160">
        <f t="shared" si="3"/>
        <v>0</v>
      </c>
      <c r="T18" s="160">
        <f t="shared" si="3"/>
        <v>0</v>
      </c>
      <c r="U18" s="160">
        <f t="shared" si="3"/>
        <v>0</v>
      </c>
      <c r="V18" s="160">
        <f t="shared" si="3"/>
        <v>0</v>
      </c>
      <c r="W18" s="160">
        <f t="shared" si="3"/>
        <v>0</v>
      </c>
      <c r="X18" s="160">
        <f t="shared" si="3"/>
        <v>0</v>
      </c>
      <c r="Y18" s="160">
        <f t="shared" si="3"/>
        <v>0</v>
      </c>
      <c r="Z18" s="160">
        <f t="shared" si="3"/>
        <v>0</v>
      </c>
      <c r="AA18" s="160">
        <f t="shared" si="3"/>
        <v>0</v>
      </c>
      <c r="AB18" s="160">
        <f t="shared" si="3"/>
        <v>0</v>
      </c>
      <c r="AC18" s="160">
        <f t="shared" si="3"/>
        <v>0</v>
      </c>
      <c r="AD18" s="160">
        <f t="shared" si="3"/>
        <v>0</v>
      </c>
      <c r="AE18" s="160">
        <f t="shared" si="3"/>
        <v>0</v>
      </c>
      <c r="AF18" s="160">
        <f t="shared" si="3"/>
        <v>0</v>
      </c>
      <c r="AG18" s="160">
        <f t="shared" si="3"/>
        <v>0</v>
      </c>
      <c r="AH18" s="160">
        <f t="shared" si="3"/>
        <v>0</v>
      </c>
      <c r="AI18" s="160">
        <f t="shared" si="3"/>
        <v>0</v>
      </c>
      <c r="AJ18" s="160">
        <f t="shared" si="3"/>
        <v>0</v>
      </c>
      <c r="AK18" s="160">
        <f t="shared" si="3"/>
        <v>0</v>
      </c>
      <c r="AL18" s="160">
        <f t="shared" si="3"/>
        <v>0</v>
      </c>
      <c r="AM18" s="160">
        <f t="shared" si="3"/>
        <v>0</v>
      </c>
      <c r="AN18" s="160">
        <f t="shared" si="3"/>
        <v>0</v>
      </c>
      <c r="AO18" s="160">
        <f t="shared" si="3"/>
        <v>0</v>
      </c>
      <c r="AP18" s="160">
        <f t="shared" si="3"/>
        <v>0</v>
      </c>
      <c r="AQ18" s="160">
        <f t="shared" si="3"/>
        <v>0</v>
      </c>
      <c r="AR18" s="160">
        <f t="shared" si="3"/>
        <v>0</v>
      </c>
      <c r="AS18" s="160">
        <f t="shared" si="3"/>
        <v>0</v>
      </c>
      <c r="AT18" s="160">
        <f t="shared" si="3"/>
        <v>0</v>
      </c>
      <c r="AU18" s="160">
        <f t="shared" si="3"/>
        <v>0</v>
      </c>
      <c r="AV18" s="160">
        <f t="shared" si="3"/>
        <v>0</v>
      </c>
      <c r="AW18" s="160">
        <f t="shared" si="3"/>
        <v>0</v>
      </c>
      <c r="AX18" s="160">
        <f t="shared" si="3"/>
        <v>0</v>
      </c>
      <c r="AY18" s="160">
        <f t="shared" si="3"/>
        <v>0</v>
      </c>
      <c r="AZ18" s="160">
        <f t="shared" si="3"/>
        <v>0</v>
      </c>
      <c r="BA18" s="160">
        <f t="shared" si="3"/>
        <v>0</v>
      </c>
      <c r="BB18" s="160">
        <f t="shared" si="3"/>
        <v>0</v>
      </c>
      <c r="BC18" s="160">
        <f t="shared" si="3"/>
        <v>0</v>
      </c>
      <c r="BD18" s="160">
        <f t="shared" si="3"/>
        <v>0</v>
      </c>
      <c r="BE18" s="160">
        <f t="shared" si="3"/>
        <v>0</v>
      </c>
      <c r="BF18" s="160">
        <f t="shared" si="3"/>
        <v>0</v>
      </c>
      <c r="BG18" s="160">
        <f t="shared" si="3"/>
        <v>0</v>
      </c>
      <c r="BH18" s="160">
        <f t="shared" si="3"/>
        <v>0</v>
      </c>
      <c r="BI18" s="160">
        <f t="shared" si="3"/>
        <v>0</v>
      </c>
      <c r="BJ18" s="160">
        <f t="shared" si="3"/>
        <v>0</v>
      </c>
      <c r="BK18" s="160">
        <f t="shared" si="3"/>
        <v>0</v>
      </c>
      <c r="BL18" s="160">
        <f t="shared" si="3"/>
        <v>0</v>
      </c>
      <c r="BM18" s="160">
        <f t="shared" si="3"/>
        <v>0</v>
      </c>
      <c r="BN18" s="160">
        <f t="shared" si="3"/>
        <v>0</v>
      </c>
      <c r="BO18" s="160">
        <f t="shared" si="3"/>
        <v>0</v>
      </c>
      <c r="BP18" s="160">
        <f t="shared" si="3"/>
        <v>0</v>
      </c>
      <c r="BQ18" s="160">
        <f t="shared" si="3"/>
        <v>0</v>
      </c>
      <c r="BR18" s="160">
        <f t="shared" si="3"/>
        <v>0</v>
      </c>
      <c r="BS18" s="160">
        <f t="shared" si="3"/>
        <v>0</v>
      </c>
      <c r="BT18" s="160">
        <f t="shared" si="3"/>
        <v>0</v>
      </c>
      <c r="BU18" s="160">
        <f t="shared" si="3"/>
        <v>0</v>
      </c>
      <c r="BV18" s="160">
        <f t="shared" si="3"/>
        <v>0</v>
      </c>
      <c r="BW18" s="160">
        <f t="shared" si="3"/>
        <v>0</v>
      </c>
      <c r="BX18" s="160">
        <f t="shared" si="3"/>
        <v>0</v>
      </c>
      <c r="BY18" s="160">
        <f t="shared" si="3"/>
        <v>0</v>
      </c>
      <c r="BZ18" s="160">
        <f t="shared" si="3"/>
        <v>0</v>
      </c>
      <c r="CA18" s="160">
        <f t="shared" si="3"/>
        <v>0</v>
      </c>
      <c r="CB18" s="160">
        <f t="shared" si="3"/>
        <v>0</v>
      </c>
      <c r="CC18" s="160">
        <f t="shared" si="3"/>
        <v>0</v>
      </c>
      <c r="CD18" s="160">
        <f t="shared" si="3"/>
        <v>0</v>
      </c>
      <c r="CE18" s="160">
        <f t="shared" si="3"/>
        <v>0</v>
      </c>
      <c r="CF18" s="160">
        <f t="shared" si="3"/>
        <v>0</v>
      </c>
      <c r="CG18" s="160">
        <f t="shared" si="3"/>
        <v>0</v>
      </c>
      <c r="CH18" s="160">
        <f t="shared" si="3"/>
        <v>0</v>
      </c>
      <c r="CI18" s="160">
        <f t="shared" si="3"/>
        <v>0</v>
      </c>
      <c r="CJ18" s="160">
        <f t="shared" si="3"/>
        <v>0</v>
      </c>
      <c r="CK18" s="160">
        <f t="shared" si="3"/>
        <v>0</v>
      </c>
      <c r="CL18" s="160">
        <f t="shared" si="3"/>
        <v>0</v>
      </c>
      <c r="CM18" s="160">
        <f t="shared" si="3"/>
        <v>0</v>
      </c>
      <c r="CN18" s="160">
        <f t="shared" si="3"/>
        <v>0</v>
      </c>
      <c r="CO18" s="160">
        <f t="shared" si="3"/>
        <v>0</v>
      </c>
      <c r="CP18" s="160">
        <f t="shared" si="3"/>
        <v>0</v>
      </c>
      <c r="CQ18" s="160">
        <f t="shared" si="3"/>
        <v>0</v>
      </c>
      <c r="CR18" s="160">
        <f t="shared" si="3"/>
        <v>0</v>
      </c>
      <c r="CS18" s="160">
        <f t="shared" si="3"/>
        <v>0</v>
      </c>
      <c r="CT18" s="160">
        <f t="shared" si="3"/>
        <v>0</v>
      </c>
      <c r="CU18" s="160">
        <f t="shared" si="3"/>
        <v>0</v>
      </c>
      <c r="CV18" s="160">
        <f t="shared" si="3"/>
        <v>0</v>
      </c>
      <c r="CW18" s="160">
        <f t="shared" si="3"/>
        <v>0</v>
      </c>
      <c r="CX18" s="160">
        <f t="shared" si="3"/>
        <v>0</v>
      </c>
      <c r="CY18" s="160">
        <f t="shared" si="3"/>
        <v>0</v>
      </c>
      <c r="CZ18" s="160">
        <f t="shared" si="3"/>
        <v>0</v>
      </c>
      <c r="DA18" s="160">
        <f t="shared" si="3"/>
        <v>0</v>
      </c>
      <c r="DB18" s="160">
        <f t="shared" si="3"/>
        <v>0</v>
      </c>
      <c r="DC18" s="160">
        <f t="shared" si="3"/>
        <v>0</v>
      </c>
      <c r="DD18" s="160">
        <f t="shared" si="3"/>
        <v>0</v>
      </c>
      <c r="DE18" s="160">
        <f t="shared" si="3"/>
        <v>0</v>
      </c>
      <c r="DF18" s="160">
        <f t="shared" si="3"/>
        <v>0</v>
      </c>
      <c r="DG18" s="160">
        <f t="shared" si="3"/>
        <v>0</v>
      </c>
      <c r="DH18" s="160">
        <f t="shared" si="3"/>
        <v>0</v>
      </c>
      <c r="DI18" s="160">
        <f t="shared" si="3"/>
        <v>0</v>
      </c>
      <c r="DJ18" s="160">
        <f t="shared" si="3"/>
        <v>0</v>
      </c>
      <c r="DK18" s="160">
        <f t="shared" si="3"/>
        <v>0</v>
      </c>
      <c r="DL18" s="160">
        <f t="shared" si="3"/>
        <v>0</v>
      </c>
      <c r="DM18" s="160">
        <f t="shared" si="3"/>
        <v>0</v>
      </c>
      <c r="DN18" s="160">
        <f t="shared" si="3"/>
        <v>0</v>
      </c>
      <c r="DO18" s="160">
        <f t="shared" si="3"/>
        <v>0</v>
      </c>
      <c r="DP18" s="160">
        <f t="shared" si="3"/>
        <v>0</v>
      </c>
      <c r="DQ18" s="160">
        <f t="shared" si="3"/>
        <v>0</v>
      </c>
      <c r="DR18" s="160">
        <f t="shared" si="3"/>
        <v>0</v>
      </c>
      <c r="DS18" s="161">
        <f t="shared" si="3"/>
        <v>0</v>
      </c>
    </row>
    <row r="19" ht="16.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</row>
    <row r="20" ht="15.0" customHeight="1">
      <c r="A20" s="44"/>
      <c r="B20" s="162" t="s">
        <v>325</v>
      </c>
      <c r="C20" s="163">
        <f t="shared" ref="C20:DS20" si="4">C13+C18</f>
        <v>0</v>
      </c>
      <c r="D20" s="163">
        <f t="shared" si="4"/>
        <v>0</v>
      </c>
      <c r="E20" s="163">
        <f t="shared" si="4"/>
        <v>0</v>
      </c>
      <c r="F20" s="163">
        <f t="shared" si="4"/>
        <v>0</v>
      </c>
      <c r="G20" s="163">
        <f t="shared" si="4"/>
        <v>0</v>
      </c>
      <c r="H20" s="163">
        <f t="shared" si="4"/>
        <v>0</v>
      </c>
      <c r="I20" s="163">
        <f t="shared" si="4"/>
        <v>0</v>
      </c>
      <c r="J20" s="163">
        <f t="shared" si="4"/>
        <v>0</v>
      </c>
      <c r="K20" s="163">
        <f t="shared" si="4"/>
        <v>0</v>
      </c>
      <c r="L20" s="163">
        <f t="shared" si="4"/>
        <v>0</v>
      </c>
      <c r="M20" s="163">
        <f t="shared" si="4"/>
        <v>0</v>
      </c>
      <c r="N20" s="163">
        <f t="shared" si="4"/>
        <v>0</v>
      </c>
      <c r="O20" s="163">
        <f t="shared" si="4"/>
        <v>0</v>
      </c>
      <c r="P20" s="163">
        <f t="shared" si="4"/>
        <v>0</v>
      </c>
      <c r="Q20" s="163">
        <f t="shared" si="4"/>
        <v>0</v>
      </c>
      <c r="R20" s="163">
        <f t="shared" si="4"/>
        <v>0</v>
      </c>
      <c r="S20" s="163">
        <f t="shared" si="4"/>
        <v>0</v>
      </c>
      <c r="T20" s="163">
        <f t="shared" si="4"/>
        <v>0</v>
      </c>
      <c r="U20" s="163">
        <f t="shared" si="4"/>
        <v>0</v>
      </c>
      <c r="V20" s="163">
        <f t="shared" si="4"/>
        <v>0</v>
      </c>
      <c r="W20" s="163">
        <f t="shared" si="4"/>
        <v>0</v>
      </c>
      <c r="X20" s="163">
        <f t="shared" si="4"/>
        <v>0</v>
      </c>
      <c r="Y20" s="163">
        <f t="shared" si="4"/>
        <v>0</v>
      </c>
      <c r="Z20" s="163">
        <f t="shared" si="4"/>
        <v>0</v>
      </c>
      <c r="AA20" s="163">
        <f t="shared" si="4"/>
        <v>0</v>
      </c>
      <c r="AB20" s="163">
        <f t="shared" si="4"/>
        <v>0</v>
      </c>
      <c r="AC20" s="163">
        <f t="shared" si="4"/>
        <v>0</v>
      </c>
      <c r="AD20" s="163">
        <f t="shared" si="4"/>
        <v>0</v>
      </c>
      <c r="AE20" s="163">
        <f t="shared" si="4"/>
        <v>0</v>
      </c>
      <c r="AF20" s="163">
        <f t="shared" si="4"/>
        <v>0</v>
      </c>
      <c r="AG20" s="163">
        <f t="shared" si="4"/>
        <v>0</v>
      </c>
      <c r="AH20" s="163">
        <f t="shared" si="4"/>
        <v>0</v>
      </c>
      <c r="AI20" s="163">
        <f t="shared" si="4"/>
        <v>0</v>
      </c>
      <c r="AJ20" s="163">
        <f t="shared" si="4"/>
        <v>0</v>
      </c>
      <c r="AK20" s="163">
        <f t="shared" si="4"/>
        <v>0</v>
      </c>
      <c r="AL20" s="163">
        <f t="shared" si="4"/>
        <v>0</v>
      </c>
      <c r="AM20" s="163">
        <f t="shared" si="4"/>
        <v>0</v>
      </c>
      <c r="AN20" s="163">
        <f t="shared" si="4"/>
        <v>0</v>
      </c>
      <c r="AO20" s="163">
        <f t="shared" si="4"/>
        <v>0</v>
      </c>
      <c r="AP20" s="163">
        <f t="shared" si="4"/>
        <v>0</v>
      </c>
      <c r="AQ20" s="163">
        <f t="shared" si="4"/>
        <v>0</v>
      </c>
      <c r="AR20" s="163">
        <f t="shared" si="4"/>
        <v>0</v>
      </c>
      <c r="AS20" s="163">
        <f t="shared" si="4"/>
        <v>0</v>
      </c>
      <c r="AT20" s="163">
        <f t="shared" si="4"/>
        <v>0</v>
      </c>
      <c r="AU20" s="163">
        <f t="shared" si="4"/>
        <v>0</v>
      </c>
      <c r="AV20" s="163">
        <f t="shared" si="4"/>
        <v>0</v>
      </c>
      <c r="AW20" s="163">
        <f t="shared" si="4"/>
        <v>0</v>
      </c>
      <c r="AX20" s="163">
        <f t="shared" si="4"/>
        <v>0</v>
      </c>
      <c r="AY20" s="163">
        <f t="shared" si="4"/>
        <v>0</v>
      </c>
      <c r="AZ20" s="163">
        <f t="shared" si="4"/>
        <v>0</v>
      </c>
      <c r="BA20" s="163">
        <f t="shared" si="4"/>
        <v>0</v>
      </c>
      <c r="BB20" s="163">
        <f t="shared" si="4"/>
        <v>0</v>
      </c>
      <c r="BC20" s="163">
        <f t="shared" si="4"/>
        <v>0</v>
      </c>
      <c r="BD20" s="163">
        <f t="shared" si="4"/>
        <v>0</v>
      </c>
      <c r="BE20" s="163">
        <f t="shared" si="4"/>
        <v>0</v>
      </c>
      <c r="BF20" s="163">
        <f t="shared" si="4"/>
        <v>0</v>
      </c>
      <c r="BG20" s="163">
        <f t="shared" si="4"/>
        <v>0</v>
      </c>
      <c r="BH20" s="163">
        <f t="shared" si="4"/>
        <v>0</v>
      </c>
      <c r="BI20" s="163">
        <f t="shared" si="4"/>
        <v>0</v>
      </c>
      <c r="BJ20" s="163">
        <f t="shared" si="4"/>
        <v>0</v>
      </c>
      <c r="BK20" s="163">
        <f t="shared" si="4"/>
        <v>0</v>
      </c>
      <c r="BL20" s="163">
        <f t="shared" si="4"/>
        <v>0</v>
      </c>
      <c r="BM20" s="163">
        <f t="shared" si="4"/>
        <v>0</v>
      </c>
      <c r="BN20" s="163">
        <f t="shared" si="4"/>
        <v>0</v>
      </c>
      <c r="BO20" s="163">
        <f t="shared" si="4"/>
        <v>0</v>
      </c>
      <c r="BP20" s="163">
        <f t="shared" si="4"/>
        <v>0</v>
      </c>
      <c r="BQ20" s="163">
        <f t="shared" si="4"/>
        <v>0</v>
      </c>
      <c r="BR20" s="163">
        <f t="shared" si="4"/>
        <v>0</v>
      </c>
      <c r="BS20" s="163">
        <f t="shared" si="4"/>
        <v>0</v>
      </c>
      <c r="BT20" s="163">
        <f t="shared" si="4"/>
        <v>0</v>
      </c>
      <c r="BU20" s="163">
        <f t="shared" si="4"/>
        <v>0</v>
      </c>
      <c r="BV20" s="163">
        <f t="shared" si="4"/>
        <v>0</v>
      </c>
      <c r="BW20" s="163">
        <f t="shared" si="4"/>
        <v>0</v>
      </c>
      <c r="BX20" s="163">
        <f t="shared" si="4"/>
        <v>0</v>
      </c>
      <c r="BY20" s="163">
        <f t="shared" si="4"/>
        <v>0</v>
      </c>
      <c r="BZ20" s="163">
        <f t="shared" si="4"/>
        <v>0</v>
      </c>
      <c r="CA20" s="163">
        <f t="shared" si="4"/>
        <v>0</v>
      </c>
      <c r="CB20" s="163">
        <f t="shared" si="4"/>
        <v>0</v>
      </c>
      <c r="CC20" s="163">
        <f t="shared" si="4"/>
        <v>0</v>
      </c>
      <c r="CD20" s="163">
        <f t="shared" si="4"/>
        <v>0</v>
      </c>
      <c r="CE20" s="163">
        <f t="shared" si="4"/>
        <v>0</v>
      </c>
      <c r="CF20" s="163">
        <f t="shared" si="4"/>
        <v>0</v>
      </c>
      <c r="CG20" s="163">
        <f t="shared" si="4"/>
        <v>0</v>
      </c>
      <c r="CH20" s="163">
        <f t="shared" si="4"/>
        <v>0</v>
      </c>
      <c r="CI20" s="163">
        <f t="shared" si="4"/>
        <v>0</v>
      </c>
      <c r="CJ20" s="163">
        <f t="shared" si="4"/>
        <v>0</v>
      </c>
      <c r="CK20" s="163">
        <f t="shared" si="4"/>
        <v>0</v>
      </c>
      <c r="CL20" s="163">
        <f t="shared" si="4"/>
        <v>0</v>
      </c>
      <c r="CM20" s="163">
        <f t="shared" si="4"/>
        <v>0</v>
      </c>
      <c r="CN20" s="163">
        <f t="shared" si="4"/>
        <v>0</v>
      </c>
      <c r="CO20" s="163">
        <f t="shared" si="4"/>
        <v>0</v>
      </c>
      <c r="CP20" s="163">
        <f t="shared" si="4"/>
        <v>0</v>
      </c>
      <c r="CQ20" s="163">
        <f t="shared" si="4"/>
        <v>0</v>
      </c>
      <c r="CR20" s="163">
        <f t="shared" si="4"/>
        <v>0</v>
      </c>
      <c r="CS20" s="163">
        <f t="shared" si="4"/>
        <v>0</v>
      </c>
      <c r="CT20" s="163">
        <f t="shared" si="4"/>
        <v>0</v>
      </c>
      <c r="CU20" s="163">
        <f t="shared" si="4"/>
        <v>0</v>
      </c>
      <c r="CV20" s="163">
        <f t="shared" si="4"/>
        <v>0</v>
      </c>
      <c r="CW20" s="163">
        <f t="shared" si="4"/>
        <v>0</v>
      </c>
      <c r="CX20" s="163">
        <f t="shared" si="4"/>
        <v>0</v>
      </c>
      <c r="CY20" s="163">
        <f t="shared" si="4"/>
        <v>0</v>
      </c>
      <c r="CZ20" s="163">
        <f t="shared" si="4"/>
        <v>0</v>
      </c>
      <c r="DA20" s="163">
        <f t="shared" si="4"/>
        <v>0</v>
      </c>
      <c r="DB20" s="163">
        <f t="shared" si="4"/>
        <v>0</v>
      </c>
      <c r="DC20" s="163">
        <f t="shared" si="4"/>
        <v>0</v>
      </c>
      <c r="DD20" s="163">
        <f t="shared" si="4"/>
        <v>0</v>
      </c>
      <c r="DE20" s="163">
        <f t="shared" si="4"/>
        <v>0</v>
      </c>
      <c r="DF20" s="163">
        <f t="shared" si="4"/>
        <v>0</v>
      </c>
      <c r="DG20" s="163">
        <f t="shared" si="4"/>
        <v>0</v>
      </c>
      <c r="DH20" s="163">
        <f t="shared" si="4"/>
        <v>0</v>
      </c>
      <c r="DI20" s="163">
        <f t="shared" si="4"/>
        <v>0</v>
      </c>
      <c r="DJ20" s="163">
        <f t="shared" si="4"/>
        <v>0</v>
      </c>
      <c r="DK20" s="163">
        <f t="shared" si="4"/>
        <v>0</v>
      </c>
      <c r="DL20" s="163">
        <f t="shared" si="4"/>
        <v>0</v>
      </c>
      <c r="DM20" s="163">
        <f t="shared" si="4"/>
        <v>0</v>
      </c>
      <c r="DN20" s="163">
        <f t="shared" si="4"/>
        <v>0</v>
      </c>
      <c r="DO20" s="163">
        <f t="shared" si="4"/>
        <v>0</v>
      </c>
      <c r="DP20" s="163">
        <f t="shared" si="4"/>
        <v>0</v>
      </c>
      <c r="DQ20" s="163">
        <f t="shared" si="4"/>
        <v>0</v>
      </c>
      <c r="DR20" s="163">
        <f t="shared" si="4"/>
        <v>0</v>
      </c>
      <c r="DS20" s="161">
        <f t="shared" si="4"/>
        <v>0</v>
      </c>
    </row>
    <row r="21" ht="15.0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</row>
    <row r="22" ht="15.0" customHeight="1">
      <c r="A22" s="44"/>
      <c r="B22" s="45" t="s">
        <v>326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44"/>
    </row>
    <row r="23" ht="15.0" customHeight="1">
      <c r="A23" s="44"/>
      <c r="B23" s="46" t="s">
        <v>327</v>
      </c>
      <c r="C23" s="152">
        <f t="array" ref="C23">IF(C$3&lt;=INDEX(Inputs!$C:$C,MATCH("End Year",Inputs!$B:$B,0))*12,-SUMIFS(Inputs!$C:$C,Inputs!$B:$B,"*CapEx Item*",Inputs!$D:$D,C$3),0)</f>
        <v>0</v>
      </c>
      <c r="D23" s="152">
        <f t="array" ref="D23">IF(D$3&lt;=INDEX(Inputs!$C:$C,MATCH("End Year",Inputs!$B:$B,0))*12,-SUMIFS(Inputs!$C:$C,Inputs!$B:$B,"*CapEx Item*",Inputs!$D:$D,D$3),0)</f>
        <v>0</v>
      </c>
      <c r="E23" s="152">
        <f t="array" ref="E23">IF(E$3&lt;=INDEX(Inputs!$C:$C,MATCH("End Year",Inputs!$B:$B,0))*12,-SUMIFS(Inputs!$C:$C,Inputs!$B:$B,"*CapEx Item*",Inputs!$D:$D,E$3),0)</f>
        <v>0</v>
      </c>
      <c r="F23" s="152">
        <f t="array" ref="F23">IF(F$3&lt;=INDEX(Inputs!$C:$C,MATCH("End Year",Inputs!$B:$B,0))*12,-SUMIFS(Inputs!$C:$C,Inputs!$B:$B,"*CapEx Item*",Inputs!$D:$D,F$3),0)</f>
        <v>0</v>
      </c>
      <c r="G23" s="152">
        <f t="array" ref="G23">IF(G$3&lt;=INDEX(Inputs!$C:$C,MATCH("End Year",Inputs!$B:$B,0))*12,-SUMIFS(Inputs!$C:$C,Inputs!$B:$B,"*CapEx Item*",Inputs!$D:$D,G$3),0)</f>
        <v>0</v>
      </c>
      <c r="H23" s="152">
        <f t="array" ref="H23">IF(H$3&lt;=INDEX(Inputs!$C:$C,MATCH("End Year",Inputs!$B:$B,0))*12,-SUMIFS(Inputs!$C:$C,Inputs!$B:$B,"*CapEx Item*",Inputs!$D:$D,H$3),0)</f>
        <v>0</v>
      </c>
      <c r="I23" s="152">
        <f t="array" ref="I23">IF(I$3&lt;=INDEX(Inputs!$C:$C,MATCH("End Year",Inputs!$B:$B,0))*12,-SUMIFS(Inputs!$C:$C,Inputs!$B:$B,"*CapEx Item*",Inputs!$D:$D,I$3),0)</f>
        <v>0</v>
      </c>
      <c r="J23" s="152">
        <f t="array" ref="J23">IF(J$3&lt;=INDEX(Inputs!$C:$C,MATCH("End Year",Inputs!$B:$B,0))*12,-SUMIFS(Inputs!$C:$C,Inputs!$B:$B,"*CapEx Item*",Inputs!$D:$D,J$3),0)</f>
        <v>0</v>
      </c>
      <c r="K23" s="152">
        <f t="array" ref="K23">IF(K$3&lt;=INDEX(Inputs!$C:$C,MATCH("End Year",Inputs!$B:$B,0))*12,-SUMIFS(Inputs!$C:$C,Inputs!$B:$B,"*CapEx Item*",Inputs!$D:$D,K$3),0)</f>
        <v>0</v>
      </c>
      <c r="L23" s="152">
        <f t="array" ref="L23">IF(L$3&lt;=INDEX(Inputs!$C:$C,MATCH("End Year",Inputs!$B:$B,0))*12,-SUMIFS(Inputs!$C:$C,Inputs!$B:$B,"*CapEx Item*",Inputs!$D:$D,L$3),0)</f>
        <v>0</v>
      </c>
      <c r="M23" s="152">
        <f t="array" ref="M23">IF(M$3&lt;=INDEX(Inputs!$C:$C,MATCH("End Year",Inputs!$B:$B,0))*12,-SUMIFS(Inputs!$C:$C,Inputs!$B:$B,"*CapEx Item*",Inputs!$D:$D,M$3),0)</f>
        <v>0</v>
      </c>
      <c r="N23" s="152">
        <f t="array" ref="N23">IF(N$3&lt;=INDEX(Inputs!$C:$C,MATCH("End Year",Inputs!$B:$B,0))*12,-SUMIFS(Inputs!$C:$C,Inputs!$B:$B,"*CapEx Item*",Inputs!$D:$D,N$3),0)</f>
        <v>0</v>
      </c>
      <c r="O23" s="152">
        <f t="array" ref="O23">IF(O$3&lt;=INDEX(Inputs!$C:$C,MATCH("End Year",Inputs!$B:$B,0))*12,-SUMIFS(Inputs!$C:$C,Inputs!$B:$B,"*CapEx Item*",Inputs!$D:$D,O$3),0)</f>
        <v>0</v>
      </c>
      <c r="P23" s="152">
        <f t="array" ref="P23">IF(P$3&lt;=INDEX(Inputs!$C:$C,MATCH("End Year",Inputs!$B:$B,0))*12,-SUMIFS(Inputs!$C:$C,Inputs!$B:$B,"*CapEx Item*",Inputs!$D:$D,P$3),0)</f>
        <v>0</v>
      </c>
      <c r="Q23" s="152">
        <f t="array" ref="Q23">IF(Q$3&lt;=INDEX(Inputs!$C:$C,MATCH("End Year",Inputs!$B:$B,0))*12,-SUMIFS(Inputs!$C:$C,Inputs!$B:$B,"*CapEx Item*",Inputs!$D:$D,Q$3),0)</f>
        <v>0</v>
      </c>
      <c r="R23" s="152">
        <f t="array" ref="R23">IF(R$3&lt;=INDEX(Inputs!$C:$C,MATCH("End Year",Inputs!$B:$B,0))*12,-SUMIFS(Inputs!$C:$C,Inputs!$B:$B,"*CapEx Item*",Inputs!$D:$D,R$3),0)</f>
        <v>0</v>
      </c>
      <c r="S23" s="152">
        <f t="array" ref="S23">IF(S$3&lt;=INDEX(Inputs!$C:$C,MATCH("End Year",Inputs!$B:$B,0))*12,-SUMIFS(Inputs!$C:$C,Inputs!$B:$B,"*CapEx Item*",Inputs!$D:$D,S$3),0)</f>
        <v>0</v>
      </c>
      <c r="T23" s="152">
        <f t="array" ref="T23">IF(T$3&lt;=INDEX(Inputs!$C:$C,MATCH("End Year",Inputs!$B:$B,0))*12,-SUMIFS(Inputs!$C:$C,Inputs!$B:$B,"*CapEx Item*",Inputs!$D:$D,T$3),0)</f>
        <v>0</v>
      </c>
      <c r="U23" s="152">
        <f t="array" ref="U23">IF(U$3&lt;=INDEX(Inputs!$C:$C,MATCH("End Year",Inputs!$B:$B,0))*12,-SUMIFS(Inputs!$C:$C,Inputs!$B:$B,"*CapEx Item*",Inputs!$D:$D,U$3),0)</f>
        <v>0</v>
      </c>
      <c r="V23" s="152">
        <f t="array" ref="V23">IF(V$3&lt;=INDEX(Inputs!$C:$C,MATCH("End Year",Inputs!$B:$B,0))*12,-SUMIFS(Inputs!$C:$C,Inputs!$B:$B,"*CapEx Item*",Inputs!$D:$D,V$3),0)</f>
        <v>0</v>
      </c>
      <c r="W23" s="152">
        <f t="array" ref="W23">IF(W$3&lt;=INDEX(Inputs!$C:$C,MATCH("End Year",Inputs!$B:$B,0))*12,-SUMIFS(Inputs!$C:$C,Inputs!$B:$B,"*CapEx Item*",Inputs!$D:$D,W$3),0)</f>
        <v>0</v>
      </c>
      <c r="X23" s="152">
        <f t="array" ref="X23">IF(X$3&lt;=INDEX(Inputs!$C:$C,MATCH("End Year",Inputs!$B:$B,0))*12,-SUMIFS(Inputs!$C:$C,Inputs!$B:$B,"*CapEx Item*",Inputs!$D:$D,X$3),0)</f>
        <v>0</v>
      </c>
      <c r="Y23" s="152">
        <f t="array" ref="Y23">IF(Y$3&lt;=INDEX(Inputs!$C:$C,MATCH("End Year",Inputs!$B:$B,0))*12,-SUMIFS(Inputs!$C:$C,Inputs!$B:$B,"*CapEx Item*",Inputs!$D:$D,Y$3),0)</f>
        <v>0</v>
      </c>
      <c r="Z23" s="152">
        <f t="array" ref="Z23">IF(Z$3&lt;=INDEX(Inputs!$C:$C,MATCH("End Year",Inputs!$B:$B,0))*12,-SUMIFS(Inputs!$C:$C,Inputs!$B:$B,"*CapEx Item*",Inputs!$D:$D,Z$3),0)</f>
        <v>0</v>
      </c>
      <c r="AA23" s="152">
        <f t="array" ref="AA23">IF(AA$3&lt;=INDEX(Inputs!$C:$C,MATCH("End Year",Inputs!$B:$B,0))*12,-SUMIFS(Inputs!$C:$C,Inputs!$B:$B,"*CapEx Item*",Inputs!$D:$D,AA$3),0)</f>
        <v>0</v>
      </c>
      <c r="AB23" s="152">
        <f t="array" ref="AB23">IF(AB$3&lt;=INDEX(Inputs!$C:$C,MATCH("End Year",Inputs!$B:$B,0))*12,-SUMIFS(Inputs!$C:$C,Inputs!$B:$B,"*CapEx Item*",Inputs!$D:$D,AB$3),0)</f>
        <v>0</v>
      </c>
      <c r="AC23" s="152">
        <f t="array" ref="AC23">IF(AC$3&lt;=INDEX(Inputs!$C:$C,MATCH("End Year",Inputs!$B:$B,0))*12,-SUMIFS(Inputs!$C:$C,Inputs!$B:$B,"*CapEx Item*",Inputs!$D:$D,AC$3),0)</f>
        <v>0</v>
      </c>
      <c r="AD23" s="152">
        <f t="array" ref="AD23">IF(AD$3&lt;=INDEX(Inputs!$C:$C,MATCH("End Year",Inputs!$B:$B,0))*12,-SUMIFS(Inputs!$C:$C,Inputs!$B:$B,"*CapEx Item*",Inputs!$D:$D,AD$3),0)</f>
        <v>0</v>
      </c>
      <c r="AE23" s="152">
        <f t="array" ref="AE23">IF(AE$3&lt;=INDEX(Inputs!$C:$C,MATCH("End Year",Inputs!$B:$B,0))*12,-SUMIFS(Inputs!$C:$C,Inputs!$B:$B,"*CapEx Item*",Inputs!$D:$D,AE$3),0)</f>
        <v>0</v>
      </c>
      <c r="AF23" s="152">
        <f t="array" ref="AF23">IF(AF$3&lt;=INDEX(Inputs!$C:$C,MATCH("End Year",Inputs!$B:$B,0))*12,-SUMIFS(Inputs!$C:$C,Inputs!$B:$B,"*CapEx Item*",Inputs!$D:$D,AF$3),0)</f>
        <v>0</v>
      </c>
      <c r="AG23" s="152">
        <f t="array" ref="AG23">IF(AG$3&lt;=INDEX(Inputs!$C:$C,MATCH("End Year",Inputs!$B:$B,0))*12,-SUMIFS(Inputs!$C:$C,Inputs!$B:$B,"*CapEx Item*",Inputs!$D:$D,AG$3),0)</f>
        <v>0</v>
      </c>
      <c r="AH23" s="152">
        <f t="array" ref="AH23">IF(AH$3&lt;=INDEX(Inputs!$C:$C,MATCH("End Year",Inputs!$B:$B,0))*12,-SUMIFS(Inputs!$C:$C,Inputs!$B:$B,"*CapEx Item*",Inputs!$D:$D,AH$3),0)</f>
        <v>0</v>
      </c>
      <c r="AI23" s="152">
        <f t="array" ref="AI23">IF(AI$3&lt;=INDEX(Inputs!$C:$C,MATCH("End Year",Inputs!$B:$B,0))*12,-SUMIFS(Inputs!$C:$C,Inputs!$B:$B,"*CapEx Item*",Inputs!$D:$D,AI$3),0)</f>
        <v>0</v>
      </c>
      <c r="AJ23" s="152">
        <f t="array" ref="AJ23">IF(AJ$3&lt;=INDEX(Inputs!$C:$C,MATCH("End Year",Inputs!$B:$B,0))*12,-SUMIFS(Inputs!$C:$C,Inputs!$B:$B,"*CapEx Item*",Inputs!$D:$D,AJ$3),0)</f>
        <v>0</v>
      </c>
      <c r="AK23" s="152">
        <f t="array" ref="AK23">IF(AK$3&lt;=INDEX(Inputs!$C:$C,MATCH("End Year",Inputs!$B:$B,0))*12,-SUMIFS(Inputs!$C:$C,Inputs!$B:$B,"*CapEx Item*",Inputs!$D:$D,AK$3),0)</f>
        <v>0</v>
      </c>
      <c r="AL23" s="152">
        <f t="array" ref="AL23">IF(AL$3&lt;=INDEX(Inputs!$C:$C,MATCH("End Year",Inputs!$B:$B,0))*12,-SUMIFS(Inputs!$C:$C,Inputs!$B:$B,"*CapEx Item*",Inputs!$D:$D,AL$3),0)</f>
        <v>0</v>
      </c>
      <c r="AM23" s="152">
        <f t="array" ref="AM23">IF(AM$3&lt;=INDEX(Inputs!$C:$C,MATCH("End Year",Inputs!$B:$B,0))*12,-SUMIFS(Inputs!$C:$C,Inputs!$B:$B,"*CapEx Item*",Inputs!$D:$D,AM$3),0)</f>
        <v>0</v>
      </c>
      <c r="AN23" s="152">
        <f t="array" ref="AN23">IF(AN$3&lt;=INDEX(Inputs!$C:$C,MATCH("End Year",Inputs!$B:$B,0))*12,-SUMIFS(Inputs!$C:$C,Inputs!$B:$B,"*CapEx Item*",Inputs!$D:$D,AN$3),0)</f>
        <v>0</v>
      </c>
      <c r="AO23" s="152">
        <f t="array" ref="AO23">IF(AO$3&lt;=INDEX(Inputs!$C:$C,MATCH("End Year",Inputs!$B:$B,0))*12,-SUMIFS(Inputs!$C:$C,Inputs!$B:$B,"*CapEx Item*",Inputs!$D:$D,AO$3),0)</f>
        <v>0</v>
      </c>
      <c r="AP23" s="152">
        <f t="array" ref="AP23">IF(AP$3&lt;=INDEX(Inputs!$C:$C,MATCH("End Year",Inputs!$B:$B,0))*12,-SUMIFS(Inputs!$C:$C,Inputs!$B:$B,"*CapEx Item*",Inputs!$D:$D,AP$3),0)</f>
        <v>0</v>
      </c>
      <c r="AQ23" s="152">
        <f t="array" ref="AQ23">IF(AQ$3&lt;=INDEX(Inputs!$C:$C,MATCH("End Year",Inputs!$B:$B,0))*12,-SUMIFS(Inputs!$C:$C,Inputs!$B:$B,"*CapEx Item*",Inputs!$D:$D,AQ$3),0)</f>
        <v>0</v>
      </c>
      <c r="AR23" s="152">
        <f t="array" ref="AR23">IF(AR$3&lt;=INDEX(Inputs!$C:$C,MATCH("End Year",Inputs!$B:$B,0))*12,-SUMIFS(Inputs!$C:$C,Inputs!$B:$B,"*CapEx Item*",Inputs!$D:$D,AR$3),0)</f>
        <v>0</v>
      </c>
      <c r="AS23" s="152">
        <f t="array" ref="AS23">IF(AS$3&lt;=INDEX(Inputs!$C:$C,MATCH("End Year",Inputs!$B:$B,0))*12,-SUMIFS(Inputs!$C:$C,Inputs!$B:$B,"*CapEx Item*",Inputs!$D:$D,AS$3),0)</f>
        <v>0</v>
      </c>
      <c r="AT23" s="152">
        <f t="array" ref="AT23">IF(AT$3&lt;=INDEX(Inputs!$C:$C,MATCH("End Year",Inputs!$B:$B,0))*12,-SUMIFS(Inputs!$C:$C,Inputs!$B:$B,"*CapEx Item*",Inputs!$D:$D,AT$3),0)</f>
        <v>0</v>
      </c>
      <c r="AU23" s="152">
        <f t="array" ref="AU23">IF(AU$3&lt;=INDEX(Inputs!$C:$C,MATCH("End Year",Inputs!$B:$B,0))*12,-SUMIFS(Inputs!$C:$C,Inputs!$B:$B,"*CapEx Item*",Inputs!$D:$D,AU$3),0)</f>
        <v>0</v>
      </c>
      <c r="AV23" s="152">
        <f t="array" ref="AV23">IF(AV$3&lt;=INDEX(Inputs!$C:$C,MATCH("End Year",Inputs!$B:$B,0))*12,-SUMIFS(Inputs!$C:$C,Inputs!$B:$B,"*CapEx Item*",Inputs!$D:$D,AV$3),0)</f>
        <v>0</v>
      </c>
      <c r="AW23" s="152">
        <f t="array" ref="AW23">IF(AW$3&lt;=INDEX(Inputs!$C:$C,MATCH("End Year",Inputs!$B:$B,0))*12,-SUMIFS(Inputs!$C:$C,Inputs!$B:$B,"*CapEx Item*",Inputs!$D:$D,AW$3),0)</f>
        <v>0</v>
      </c>
      <c r="AX23" s="152">
        <f t="array" ref="AX23">IF(AX$3&lt;=INDEX(Inputs!$C:$C,MATCH("End Year",Inputs!$B:$B,0))*12,-SUMIFS(Inputs!$C:$C,Inputs!$B:$B,"*CapEx Item*",Inputs!$D:$D,AX$3),0)</f>
        <v>0</v>
      </c>
      <c r="AY23" s="152">
        <f t="array" ref="AY23">IF(AY$3&lt;=INDEX(Inputs!$C:$C,MATCH("End Year",Inputs!$B:$B,0))*12,-SUMIFS(Inputs!$C:$C,Inputs!$B:$B,"*CapEx Item*",Inputs!$D:$D,AY$3),0)</f>
        <v>0</v>
      </c>
      <c r="AZ23" s="152">
        <f t="array" ref="AZ23">IF(AZ$3&lt;=INDEX(Inputs!$C:$C,MATCH("End Year",Inputs!$B:$B,0))*12,-SUMIFS(Inputs!$C:$C,Inputs!$B:$B,"*CapEx Item*",Inputs!$D:$D,AZ$3),0)</f>
        <v>0</v>
      </c>
      <c r="BA23" s="152">
        <f t="array" ref="BA23">IF(BA$3&lt;=INDEX(Inputs!$C:$C,MATCH("End Year",Inputs!$B:$B,0))*12,-SUMIFS(Inputs!$C:$C,Inputs!$B:$B,"*CapEx Item*",Inputs!$D:$D,BA$3),0)</f>
        <v>0</v>
      </c>
      <c r="BB23" s="152">
        <f t="array" ref="BB23">IF(BB$3&lt;=INDEX(Inputs!$C:$C,MATCH("End Year",Inputs!$B:$B,0))*12,-SUMIFS(Inputs!$C:$C,Inputs!$B:$B,"*CapEx Item*",Inputs!$D:$D,BB$3),0)</f>
        <v>0</v>
      </c>
      <c r="BC23" s="152">
        <f t="array" ref="BC23">IF(BC$3&lt;=INDEX(Inputs!$C:$C,MATCH("End Year",Inputs!$B:$B,0))*12,-SUMIFS(Inputs!$C:$C,Inputs!$B:$B,"*CapEx Item*",Inputs!$D:$D,BC$3),0)</f>
        <v>0</v>
      </c>
      <c r="BD23" s="152">
        <f t="array" ref="BD23">IF(BD$3&lt;=INDEX(Inputs!$C:$C,MATCH("End Year",Inputs!$B:$B,0))*12,-SUMIFS(Inputs!$C:$C,Inputs!$B:$B,"*CapEx Item*",Inputs!$D:$D,BD$3),0)</f>
        <v>0</v>
      </c>
      <c r="BE23" s="152">
        <f t="array" ref="BE23">IF(BE$3&lt;=INDEX(Inputs!$C:$C,MATCH("End Year",Inputs!$B:$B,0))*12,-SUMIFS(Inputs!$C:$C,Inputs!$B:$B,"*CapEx Item*",Inputs!$D:$D,BE$3),0)</f>
        <v>0</v>
      </c>
      <c r="BF23" s="152">
        <f t="array" ref="BF23">IF(BF$3&lt;=INDEX(Inputs!$C:$C,MATCH("End Year",Inputs!$B:$B,0))*12,-SUMIFS(Inputs!$C:$C,Inputs!$B:$B,"*CapEx Item*",Inputs!$D:$D,BF$3),0)</f>
        <v>0</v>
      </c>
      <c r="BG23" s="152">
        <f t="array" ref="BG23">IF(BG$3&lt;=INDEX(Inputs!$C:$C,MATCH("End Year",Inputs!$B:$B,0))*12,-SUMIFS(Inputs!$C:$C,Inputs!$B:$B,"*CapEx Item*",Inputs!$D:$D,BG$3),0)</f>
        <v>0</v>
      </c>
      <c r="BH23" s="152">
        <f t="array" ref="BH23">IF(BH$3&lt;=INDEX(Inputs!$C:$C,MATCH("End Year",Inputs!$B:$B,0))*12,-SUMIFS(Inputs!$C:$C,Inputs!$B:$B,"*CapEx Item*",Inputs!$D:$D,BH$3),0)</f>
        <v>0</v>
      </c>
      <c r="BI23" s="152">
        <f t="array" ref="BI23">IF(BI$3&lt;=INDEX(Inputs!$C:$C,MATCH("End Year",Inputs!$B:$B,0))*12,-SUMIFS(Inputs!$C:$C,Inputs!$B:$B,"*CapEx Item*",Inputs!$D:$D,BI$3),0)</f>
        <v>0</v>
      </c>
      <c r="BJ23" s="152">
        <f t="array" ref="BJ23">IF(BJ$3&lt;=INDEX(Inputs!$C:$C,MATCH("End Year",Inputs!$B:$B,0))*12,-SUMIFS(Inputs!$C:$C,Inputs!$B:$B,"*CapEx Item*",Inputs!$D:$D,BJ$3),0)</f>
        <v>0</v>
      </c>
      <c r="BK23" s="152">
        <f t="array" ref="BK23">IF(BK$3&lt;=INDEX(Inputs!$C:$C,MATCH("End Year",Inputs!$B:$B,0))*12,-SUMIFS(Inputs!$C:$C,Inputs!$B:$B,"*CapEx Item*",Inputs!$D:$D,BK$3),0)</f>
        <v>0</v>
      </c>
      <c r="BL23" s="152">
        <f t="array" ref="BL23">IF(BL$3&lt;=INDEX(Inputs!$C:$C,MATCH("End Year",Inputs!$B:$B,0))*12,-SUMIFS(Inputs!$C:$C,Inputs!$B:$B,"*CapEx Item*",Inputs!$D:$D,BL$3),0)</f>
        <v>0</v>
      </c>
      <c r="BM23" s="152">
        <f t="array" ref="BM23">IF(BM$3&lt;=INDEX(Inputs!$C:$C,MATCH("End Year",Inputs!$B:$B,0))*12,-SUMIFS(Inputs!$C:$C,Inputs!$B:$B,"*CapEx Item*",Inputs!$D:$D,BM$3),0)</f>
        <v>0</v>
      </c>
      <c r="BN23" s="152">
        <f t="array" ref="BN23">IF(BN$3&lt;=INDEX(Inputs!$C:$C,MATCH("End Year",Inputs!$B:$B,0))*12,-SUMIFS(Inputs!$C:$C,Inputs!$B:$B,"*CapEx Item*",Inputs!$D:$D,BN$3),0)</f>
        <v>0</v>
      </c>
      <c r="BO23" s="152">
        <f t="array" ref="BO23">IF(BO$3&lt;=INDEX(Inputs!$C:$C,MATCH("End Year",Inputs!$B:$B,0))*12,-SUMIFS(Inputs!$C:$C,Inputs!$B:$B,"*CapEx Item*",Inputs!$D:$D,BO$3),0)</f>
        <v>0</v>
      </c>
      <c r="BP23" s="152">
        <f t="array" ref="BP23">IF(BP$3&lt;=INDEX(Inputs!$C:$C,MATCH("End Year",Inputs!$B:$B,0))*12,-SUMIFS(Inputs!$C:$C,Inputs!$B:$B,"*CapEx Item*",Inputs!$D:$D,BP$3),0)</f>
        <v>0</v>
      </c>
      <c r="BQ23" s="152">
        <f t="array" ref="BQ23">IF(BQ$3&lt;=INDEX(Inputs!$C:$C,MATCH("End Year",Inputs!$B:$B,0))*12,-SUMIFS(Inputs!$C:$C,Inputs!$B:$B,"*CapEx Item*",Inputs!$D:$D,BQ$3),0)</f>
        <v>0</v>
      </c>
      <c r="BR23" s="152">
        <f t="array" ref="BR23">IF(BR$3&lt;=INDEX(Inputs!$C:$C,MATCH("End Year",Inputs!$B:$B,0))*12,-SUMIFS(Inputs!$C:$C,Inputs!$B:$B,"*CapEx Item*",Inputs!$D:$D,BR$3),0)</f>
        <v>0</v>
      </c>
      <c r="BS23" s="152">
        <f t="array" ref="BS23">IF(BS$3&lt;=INDEX(Inputs!$C:$C,MATCH("End Year",Inputs!$B:$B,0))*12,-SUMIFS(Inputs!$C:$C,Inputs!$B:$B,"*CapEx Item*",Inputs!$D:$D,BS$3),0)</f>
        <v>0</v>
      </c>
      <c r="BT23" s="152">
        <f t="array" ref="BT23">IF(BT$3&lt;=INDEX(Inputs!$C:$C,MATCH("End Year",Inputs!$B:$B,0))*12,-SUMIFS(Inputs!$C:$C,Inputs!$B:$B,"*CapEx Item*",Inputs!$D:$D,BT$3),0)</f>
        <v>0</v>
      </c>
      <c r="BU23" s="152">
        <f t="array" ref="BU23">IF(BU$3&lt;=INDEX(Inputs!$C:$C,MATCH("End Year",Inputs!$B:$B,0))*12,-SUMIFS(Inputs!$C:$C,Inputs!$B:$B,"*CapEx Item*",Inputs!$D:$D,BU$3),0)</f>
        <v>0</v>
      </c>
      <c r="BV23" s="152">
        <f t="array" ref="BV23">IF(BV$3&lt;=INDEX(Inputs!$C:$C,MATCH("End Year",Inputs!$B:$B,0))*12,-SUMIFS(Inputs!$C:$C,Inputs!$B:$B,"*CapEx Item*",Inputs!$D:$D,BV$3),0)</f>
        <v>0</v>
      </c>
      <c r="BW23" s="152">
        <f t="array" ref="BW23">IF(BW$3&lt;=INDEX(Inputs!$C:$C,MATCH("End Year",Inputs!$B:$B,0))*12,-SUMIFS(Inputs!$C:$C,Inputs!$B:$B,"*CapEx Item*",Inputs!$D:$D,BW$3),0)</f>
        <v>0</v>
      </c>
      <c r="BX23" s="152">
        <f t="array" ref="BX23">IF(BX$3&lt;=INDEX(Inputs!$C:$C,MATCH("End Year",Inputs!$B:$B,0))*12,-SUMIFS(Inputs!$C:$C,Inputs!$B:$B,"*CapEx Item*",Inputs!$D:$D,BX$3),0)</f>
        <v>0</v>
      </c>
      <c r="BY23" s="152">
        <f t="array" ref="BY23">IF(BY$3&lt;=INDEX(Inputs!$C:$C,MATCH("End Year",Inputs!$B:$B,0))*12,-SUMIFS(Inputs!$C:$C,Inputs!$B:$B,"*CapEx Item*",Inputs!$D:$D,BY$3),0)</f>
        <v>0</v>
      </c>
      <c r="BZ23" s="152">
        <f t="array" ref="BZ23">IF(BZ$3&lt;=INDEX(Inputs!$C:$C,MATCH("End Year",Inputs!$B:$B,0))*12,-SUMIFS(Inputs!$C:$C,Inputs!$B:$B,"*CapEx Item*",Inputs!$D:$D,BZ$3),0)</f>
        <v>0</v>
      </c>
      <c r="CA23" s="152">
        <f t="array" ref="CA23">IF(CA$3&lt;=INDEX(Inputs!$C:$C,MATCH("End Year",Inputs!$B:$B,0))*12,-SUMIFS(Inputs!$C:$C,Inputs!$B:$B,"*CapEx Item*",Inputs!$D:$D,CA$3),0)</f>
        <v>0</v>
      </c>
      <c r="CB23" s="152">
        <f t="array" ref="CB23">IF(CB$3&lt;=INDEX(Inputs!$C:$C,MATCH("End Year",Inputs!$B:$B,0))*12,-SUMIFS(Inputs!$C:$C,Inputs!$B:$B,"*CapEx Item*",Inputs!$D:$D,CB$3),0)</f>
        <v>0</v>
      </c>
      <c r="CC23" s="152">
        <f t="array" ref="CC23">IF(CC$3&lt;=INDEX(Inputs!$C:$C,MATCH("End Year",Inputs!$B:$B,0))*12,-SUMIFS(Inputs!$C:$C,Inputs!$B:$B,"*CapEx Item*",Inputs!$D:$D,CC$3),0)</f>
        <v>0</v>
      </c>
      <c r="CD23" s="152">
        <f t="array" ref="CD23">IF(CD$3&lt;=INDEX(Inputs!$C:$C,MATCH("End Year",Inputs!$B:$B,0))*12,-SUMIFS(Inputs!$C:$C,Inputs!$B:$B,"*CapEx Item*",Inputs!$D:$D,CD$3),0)</f>
        <v>0</v>
      </c>
      <c r="CE23" s="152">
        <f t="array" ref="CE23">IF(CE$3&lt;=INDEX(Inputs!$C:$C,MATCH("End Year",Inputs!$B:$B,0))*12,-SUMIFS(Inputs!$C:$C,Inputs!$B:$B,"*CapEx Item*",Inputs!$D:$D,CE$3),0)</f>
        <v>0</v>
      </c>
      <c r="CF23" s="152">
        <f t="array" ref="CF23">IF(CF$3&lt;=INDEX(Inputs!$C:$C,MATCH("End Year",Inputs!$B:$B,0))*12,-SUMIFS(Inputs!$C:$C,Inputs!$B:$B,"*CapEx Item*",Inputs!$D:$D,CF$3),0)</f>
        <v>0</v>
      </c>
      <c r="CG23" s="152">
        <f t="array" ref="CG23">IF(CG$3&lt;=INDEX(Inputs!$C:$C,MATCH("End Year",Inputs!$B:$B,0))*12,-SUMIFS(Inputs!$C:$C,Inputs!$B:$B,"*CapEx Item*",Inputs!$D:$D,CG$3),0)</f>
        <v>0</v>
      </c>
      <c r="CH23" s="152">
        <f t="array" ref="CH23">IF(CH$3&lt;=INDEX(Inputs!$C:$C,MATCH("End Year",Inputs!$B:$B,0))*12,-SUMIFS(Inputs!$C:$C,Inputs!$B:$B,"*CapEx Item*",Inputs!$D:$D,CH$3),0)</f>
        <v>0</v>
      </c>
      <c r="CI23" s="152">
        <f t="array" ref="CI23">IF(CI$3&lt;=INDEX(Inputs!$C:$C,MATCH("End Year",Inputs!$B:$B,0))*12,-SUMIFS(Inputs!$C:$C,Inputs!$B:$B,"*CapEx Item*",Inputs!$D:$D,CI$3),0)</f>
        <v>0</v>
      </c>
      <c r="CJ23" s="152">
        <f t="array" ref="CJ23">IF(CJ$3&lt;=INDEX(Inputs!$C:$C,MATCH("End Year",Inputs!$B:$B,0))*12,-SUMIFS(Inputs!$C:$C,Inputs!$B:$B,"*CapEx Item*",Inputs!$D:$D,CJ$3),0)</f>
        <v>0</v>
      </c>
      <c r="CK23" s="152">
        <f t="array" ref="CK23">IF(CK$3&lt;=INDEX(Inputs!$C:$C,MATCH("End Year",Inputs!$B:$B,0))*12,-SUMIFS(Inputs!$C:$C,Inputs!$B:$B,"*CapEx Item*",Inputs!$D:$D,CK$3),0)</f>
        <v>0</v>
      </c>
      <c r="CL23" s="152">
        <f t="array" ref="CL23">IF(CL$3&lt;=INDEX(Inputs!$C:$C,MATCH("End Year",Inputs!$B:$B,0))*12,-SUMIFS(Inputs!$C:$C,Inputs!$B:$B,"*CapEx Item*",Inputs!$D:$D,CL$3),0)</f>
        <v>0</v>
      </c>
      <c r="CM23" s="152">
        <f t="array" ref="CM23">IF(CM$3&lt;=INDEX(Inputs!$C:$C,MATCH("End Year",Inputs!$B:$B,0))*12,-SUMIFS(Inputs!$C:$C,Inputs!$B:$B,"*CapEx Item*",Inputs!$D:$D,CM$3),0)</f>
        <v>0</v>
      </c>
      <c r="CN23" s="152">
        <f t="array" ref="CN23">IF(CN$3&lt;=INDEX(Inputs!$C:$C,MATCH("End Year",Inputs!$B:$B,0))*12,-SUMIFS(Inputs!$C:$C,Inputs!$B:$B,"*CapEx Item*",Inputs!$D:$D,CN$3),0)</f>
        <v>0</v>
      </c>
      <c r="CO23" s="152">
        <f t="array" ref="CO23">IF(CO$3&lt;=INDEX(Inputs!$C:$C,MATCH("End Year",Inputs!$B:$B,0))*12,-SUMIFS(Inputs!$C:$C,Inputs!$B:$B,"*CapEx Item*",Inputs!$D:$D,CO$3),0)</f>
        <v>0</v>
      </c>
      <c r="CP23" s="152">
        <f t="array" ref="CP23">IF(CP$3&lt;=INDEX(Inputs!$C:$C,MATCH("End Year",Inputs!$B:$B,0))*12,-SUMIFS(Inputs!$C:$C,Inputs!$B:$B,"*CapEx Item*",Inputs!$D:$D,CP$3),0)</f>
        <v>0</v>
      </c>
      <c r="CQ23" s="152">
        <f t="array" ref="CQ23">IF(CQ$3&lt;=INDEX(Inputs!$C:$C,MATCH("End Year",Inputs!$B:$B,0))*12,-SUMIFS(Inputs!$C:$C,Inputs!$B:$B,"*CapEx Item*",Inputs!$D:$D,CQ$3),0)</f>
        <v>0</v>
      </c>
      <c r="CR23" s="152">
        <f t="array" ref="CR23">IF(CR$3&lt;=INDEX(Inputs!$C:$C,MATCH("End Year",Inputs!$B:$B,0))*12,-SUMIFS(Inputs!$C:$C,Inputs!$B:$B,"*CapEx Item*",Inputs!$D:$D,CR$3),0)</f>
        <v>0</v>
      </c>
      <c r="CS23" s="152">
        <f t="array" ref="CS23">IF(CS$3&lt;=INDEX(Inputs!$C:$C,MATCH("End Year",Inputs!$B:$B,0))*12,-SUMIFS(Inputs!$C:$C,Inputs!$B:$B,"*CapEx Item*",Inputs!$D:$D,CS$3),0)</f>
        <v>0</v>
      </c>
      <c r="CT23" s="152">
        <f t="array" ref="CT23">IF(CT$3&lt;=INDEX(Inputs!$C:$C,MATCH("End Year",Inputs!$B:$B,0))*12,-SUMIFS(Inputs!$C:$C,Inputs!$B:$B,"*CapEx Item*",Inputs!$D:$D,CT$3),0)</f>
        <v>0</v>
      </c>
      <c r="CU23" s="152">
        <f t="array" ref="CU23">IF(CU$3&lt;=INDEX(Inputs!$C:$C,MATCH("End Year",Inputs!$B:$B,0))*12,-SUMIFS(Inputs!$C:$C,Inputs!$B:$B,"*CapEx Item*",Inputs!$D:$D,CU$3),0)</f>
        <v>0</v>
      </c>
      <c r="CV23" s="152">
        <f t="array" ref="CV23">IF(CV$3&lt;=INDEX(Inputs!$C:$C,MATCH("End Year",Inputs!$B:$B,0))*12,-SUMIFS(Inputs!$C:$C,Inputs!$B:$B,"*CapEx Item*",Inputs!$D:$D,CV$3),0)</f>
        <v>0</v>
      </c>
      <c r="CW23" s="152">
        <f t="array" ref="CW23">IF(CW$3&lt;=INDEX(Inputs!$C:$C,MATCH("End Year",Inputs!$B:$B,0))*12,-SUMIFS(Inputs!$C:$C,Inputs!$B:$B,"*CapEx Item*",Inputs!$D:$D,CW$3),0)</f>
        <v>0</v>
      </c>
      <c r="CX23" s="152">
        <f t="array" ref="CX23">IF(CX$3&lt;=INDEX(Inputs!$C:$C,MATCH("End Year",Inputs!$B:$B,0))*12,-SUMIFS(Inputs!$C:$C,Inputs!$B:$B,"*CapEx Item*",Inputs!$D:$D,CX$3),0)</f>
        <v>0</v>
      </c>
      <c r="CY23" s="152">
        <f t="array" ref="CY23">IF(CY$3&lt;=INDEX(Inputs!$C:$C,MATCH("End Year",Inputs!$B:$B,0))*12,-SUMIFS(Inputs!$C:$C,Inputs!$B:$B,"*CapEx Item*",Inputs!$D:$D,CY$3),0)</f>
        <v>0</v>
      </c>
      <c r="CZ23" s="152">
        <f t="array" ref="CZ23">IF(CZ$3&lt;=INDEX(Inputs!$C:$C,MATCH("End Year",Inputs!$B:$B,0))*12,-SUMIFS(Inputs!$C:$C,Inputs!$B:$B,"*CapEx Item*",Inputs!$D:$D,CZ$3),0)</f>
        <v>0</v>
      </c>
      <c r="DA23" s="152">
        <f t="array" ref="DA23">IF(DA$3&lt;=INDEX(Inputs!$C:$C,MATCH("End Year",Inputs!$B:$B,0))*12,-SUMIFS(Inputs!$C:$C,Inputs!$B:$B,"*CapEx Item*",Inputs!$D:$D,DA$3),0)</f>
        <v>0</v>
      </c>
      <c r="DB23" s="152">
        <f t="array" ref="DB23">IF(DB$3&lt;=INDEX(Inputs!$C:$C,MATCH("End Year",Inputs!$B:$B,0))*12,-SUMIFS(Inputs!$C:$C,Inputs!$B:$B,"*CapEx Item*",Inputs!$D:$D,DB$3),0)</f>
        <v>0</v>
      </c>
      <c r="DC23" s="152">
        <f t="array" ref="DC23">IF(DC$3&lt;=INDEX(Inputs!$C:$C,MATCH("End Year",Inputs!$B:$B,0))*12,-SUMIFS(Inputs!$C:$C,Inputs!$B:$B,"*CapEx Item*",Inputs!$D:$D,DC$3),0)</f>
        <v>0</v>
      </c>
      <c r="DD23" s="152">
        <f t="array" ref="DD23">IF(DD$3&lt;=INDEX(Inputs!$C:$C,MATCH("End Year",Inputs!$B:$B,0))*12,-SUMIFS(Inputs!$C:$C,Inputs!$B:$B,"*CapEx Item*",Inputs!$D:$D,DD$3),0)</f>
        <v>0</v>
      </c>
      <c r="DE23" s="152">
        <f t="array" ref="DE23">IF(DE$3&lt;=INDEX(Inputs!$C:$C,MATCH("End Year",Inputs!$B:$B,0))*12,-SUMIFS(Inputs!$C:$C,Inputs!$B:$B,"*CapEx Item*",Inputs!$D:$D,DE$3),0)</f>
        <v>0</v>
      </c>
      <c r="DF23" s="152">
        <f t="array" ref="DF23">IF(DF$3&lt;=INDEX(Inputs!$C:$C,MATCH("End Year",Inputs!$B:$B,0))*12,-SUMIFS(Inputs!$C:$C,Inputs!$B:$B,"*CapEx Item*",Inputs!$D:$D,DF$3),0)</f>
        <v>0</v>
      </c>
      <c r="DG23" s="152">
        <f t="array" ref="DG23">IF(DG$3&lt;=INDEX(Inputs!$C:$C,MATCH("End Year",Inputs!$B:$B,0))*12,-SUMIFS(Inputs!$C:$C,Inputs!$B:$B,"*CapEx Item*",Inputs!$D:$D,DG$3),0)</f>
        <v>0</v>
      </c>
      <c r="DH23" s="152">
        <f t="array" ref="DH23">IF(DH$3&lt;=INDEX(Inputs!$C:$C,MATCH("End Year",Inputs!$B:$B,0))*12,-SUMIFS(Inputs!$C:$C,Inputs!$B:$B,"*CapEx Item*",Inputs!$D:$D,DH$3),0)</f>
        <v>0</v>
      </c>
      <c r="DI23" s="152">
        <f t="array" ref="DI23">IF(DI$3&lt;=INDEX(Inputs!$C:$C,MATCH("End Year",Inputs!$B:$B,0))*12,-SUMIFS(Inputs!$C:$C,Inputs!$B:$B,"*CapEx Item*",Inputs!$D:$D,DI$3),0)</f>
        <v>0</v>
      </c>
      <c r="DJ23" s="152">
        <f t="array" ref="DJ23">IF(DJ$3&lt;=INDEX(Inputs!$C:$C,MATCH("End Year",Inputs!$B:$B,0))*12,-SUMIFS(Inputs!$C:$C,Inputs!$B:$B,"*CapEx Item*",Inputs!$D:$D,DJ$3),0)</f>
        <v>0</v>
      </c>
      <c r="DK23" s="152">
        <f t="array" ref="DK23">IF(DK$3&lt;=INDEX(Inputs!$C:$C,MATCH("End Year",Inputs!$B:$B,0))*12,-SUMIFS(Inputs!$C:$C,Inputs!$B:$B,"*CapEx Item*",Inputs!$D:$D,DK$3),0)</f>
        <v>0</v>
      </c>
      <c r="DL23" s="152">
        <f t="array" ref="DL23">IF(DL$3&lt;=INDEX(Inputs!$C:$C,MATCH("End Year",Inputs!$B:$B,0))*12,-SUMIFS(Inputs!$C:$C,Inputs!$B:$B,"*CapEx Item*",Inputs!$D:$D,DL$3),0)</f>
        <v>0</v>
      </c>
      <c r="DM23" s="152">
        <f t="array" ref="DM23">IF(DM$3&lt;=INDEX(Inputs!$C:$C,MATCH("End Year",Inputs!$B:$B,0))*12,-SUMIFS(Inputs!$C:$C,Inputs!$B:$B,"*CapEx Item*",Inputs!$D:$D,DM$3),0)</f>
        <v>0</v>
      </c>
      <c r="DN23" s="152">
        <f t="array" ref="DN23">IF(DN$3&lt;=INDEX(Inputs!$C:$C,MATCH("End Year",Inputs!$B:$B,0))*12,-SUMIFS(Inputs!$C:$C,Inputs!$B:$B,"*CapEx Item*",Inputs!$D:$D,DN$3),0)</f>
        <v>0</v>
      </c>
      <c r="DO23" s="152">
        <f t="array" ref="DO23">IF(DO$3&lt;=INDEX(Inputs!$C:$C,MATCH("End Year",Inputs!$B:$B,0))*12,-SUMIFS(Inputs!$C:$C,Inputs!$B:$B,"*CapEx Item*",Inputs!$D:$D,DO$3),0)</f>
        <v>0</v>
      </c>
      <c r="DP23" s="152">
        <f t="array" ref="DP23">IF(DP$3&lt;=INDEX(Inputs!$C:$C,MATCH("End Year",Inputs!$B:$B,0))*12,-SUMIFS(Inputs!$C:$C,Inputs!$B:$B,"*CapEx Item*",Inputs!$D:$D,DP$3),0)</f>
        <v>0</v>
      </c>
      <c r="DQ23" s="152">
        <f t="array" ref="DQ23">IF(DQ$3&lt;=INDEX(Inputs!$C:$C,MATCH("End Year",Inputs!$B:$B,0))*12,-SUMIFS(Inputs!$C:$C,Inputs!$B:$B,"*CapEx Item*",Inputs!$D:$D,DQ$3),0)</f>
        <v>0</v>
      </c>
      <c r="DR23" s="152">
        <f t="array" ref="DR23">IF(DR$3&lt;=INDEX(Inputs!$C:$C,MATCH("End Year",Inputs!$B:$B,0))*12,-SUMIFS(Inputs!$C:$C,Inputs!$B:$B,"*CapEx Item*",Inputs!$D:$D,DR$3),0)</f>
        <v>0</v>
      </c>
      <c r="DS23" s="44">
        <f t="array" ref="DS23">IF(DS$3&lt;=INDEX(Inputs!$C:$C,MATCH("End Year",Inputs!$B:$B,0))*12,-SUMIFS(Inputs!$C:$C,Inputs!$B:$B,"*CapEx Item*",Inputs!$D:$D,DS$3),0)</f>
        <v>0</v>
      </c>
    </row>
    <row r="24" ht="15.0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</row>
    <row r="25" ht="15.0" customHeight="1">
      <c r="A25" s="44"/>
      <c r="B25" s="45" t="s">
        <v>328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44"/>
    </row>
    <row r="26" ht="16.5" customHeight="1">
      <c r="A26" s="44"/>
      <c r="B26" s="46" t="s">
        <v>3</v>
      </c>
      <c r="C26" s="152">
        <f t="array" ref="C26">IF(C$3=1,-INDEX(Inputs!$C:$C,MATCH("*Purchase Price*",Inputs!$B:$B,0)),0)</f>
        <v>0</v>
      </c>
      <c r="D26" s="152">
        <f t="array" ref="D26">IF(D$3=1,-INDEX(Inputs!$C:$C,MATCH("*Purchase Price*",Inputs!$B:$B,0)),0)</f>
        <v>0</v>
      </c>
      <c r="E26" s="152">
        <f t="array" ref="E26">IF(E$3=1,-INDEX(Inputs!$C:$C,MATCH("*Purchase Price*",Inputs!$B:$B,0)),0)</f>
        <v>0</v>
      </c>
      <c r="F26" s="152">
        <f t="array" ref="F26">IF(F$3=1,-INDEX(Inputs!$C:$C,MATCH("*Purchase Price*",Inputs!$B:$B,0)),0)</f>
        <v>0</v>
      </c>
      <c r="G26" s="152">
        <f t="array" ref="G26">IF(G$3=1,-INDEX(Inputs!$C:$C,MATCH("*Purchase Price*",Inputs!$B:$B,0)),0)</f>
        <v>0</v>
      </c>
      <c r="H26" s="152">
        <f t="array" ref="H26">IF(H$3=1,-INDEX(Inputs!$C:$C,MATCH("*Purchase Price*",Inputs!$B:$B,0)),0)</f>
        <v>0</v>
      </c>
      <c r="I26" s="152">
        <f t="array" ref="I26">IF(I$3=1,-INDEX(Inputs!$C:$C,MATCH("*Purchase Price*",Inputs!$B:$B,0)),0)</f>
        <v>0</v>
      </c>
      <c r="J26" s="152">
        <f t="array" ref="J26">IF(J$3=1,-INDEX(Inputs!$C:$C,MATCH("*Purchase Price*",Inputs!$B:$B,0)),0)</f>
        <v>0</v>
      </c>
      <c r="K26" s="152">
        <f t="array" ref="K26">IF(K$3=1,-INDEX(Inputs!$C:$C,MATCH("*Purchase Price*",Inputs!$B:$B,0)),0)</f>
        <v>0</v>
      </c>
      <c r="L26" s="152">
        <f t="array" ref="L26">IF(L$3=1,-INDEX(Inputs!$C:$C,MATCH("*Purchase Price*",Inputs!$B:$B,0)),0)</f>
        <v>0</v>
      </c>
      <c r="M26" s="152">
        <f t="array" ref="M26">IF(M$3=1,-INDEX(Inputs!$C:$C,MATCH("*Purchase Price*",Inputs!$B:$B,0)),0)</f>
        <v>0</v>
      </c>
      <c r="N26" s="152">
        <f t="array" ref="N26">IF(N$3=1,-INDEX(Inputs!$C:$C,MATCH("*Purchase Price*",Inputs!$B:$B,0)),0)</f>
        <v>0</v>
      </c>
      <c r="O26" s="152">
        <f t="array" ref="O26">IF(O$3=1,-INDEX(Inputs!$C:$C,MATCH("*Purchase Price*",Inputs!$B:$B,0)),0)</f>
        <v>0</v>
      </c>
      <c r="P26" s="152">
        <f t="array" ref="P26">IF(P$3=1,-INDEX(Inputs!$C:$C,MATCH("*Purchase Price*",Inputs!$B:$B,0)),0)</f>
        <v>0</v>
      </c>
      <c r="Q26" s="152">
        <f t="array" ref="Q26">IF(Q$3=1,-INDEX(Inputs!$C:$C,MATCH("*Purchase Price*",Inputs!$B:$B,0)),0)</f>
        <v>0</v>
      </c>
      <c r="R26" s="152">
        <f t="array" ref="R26">IF(R$3=1,-INDEX(Inputs!$C:$C,MATCH("*Purchase Price*",Inputs!$B:$B,0)),0)</f>
        <v>0</v>
      </c>
      <c r="S26" s="152">
        <f t="array" ref="S26">IF(S$3=1,-INDEX(Inputs!$C:$C,MATCH("*Purchase Price*",Inputs!$B:$B,0)),0)</f>
        <v>0</v>
      </c>
      <c r="T26" s="152">
        <f t="array" ref="T26">IF(T$3=1,-INDEX(Inputs!$C:$C,MATCH("*Purchase Price*",Inputs!$B:$B,0)),0)</f>
        <v>0</v>
      </c>
      <c r="U26" s="152">
        <f t="array" ref="U26">IF(U$3=1,-INDEX(Inputs!$C:$C,MATCH("*Purchase Price*",Inputs!$B:$B,0)),0)</f>
        <v>0</v>
      </c>
      <c r="V26" s="152">
        <f t="array" ref="V26">IF(V$3=1,-INDEX(Inputs!$C:$C,MATCH("*Purchase Price*",Inputs!$B:$B,0)),0)</f>
        <v>0</v>
      </c>
      <c r="W26" s="152">
        <f t="array" ref="W26">IF(W$3=1,-INDEX(Inputs!$C:$C,MATCH("*Purchase Price*",Inputs!$B:$B,0)),0)</f>
        <v>0</v>
      </c>
      <c r="X26" s="152">
        <f t="array" ref="X26">IF(X$3=1,-INDEX(Inputs!$C:$C,MATCH("*Purchase Price*",Inputs!$B:$B,0)),0)</f>
        <v>0</v>
      </c>
      <c r="Y26" s="152">
        <f t="array" ref="Y26">IF(Y$3=1,-INDEX(Inputs!$C:$C,MATCH("*Purchase Price*",Inputs!$B:$B,0)),0)</f>
        <v>0</v>
      </c>
      <c r="Z26" s="152">
        <f t="array" ref="Z26">IF(Z$3=1,-INDEX(Inputs!$C:$C,MATCH("*Purchase Price*",Inputs!$B:$B,0)),0)</f>
        <v>0</v>
      </c>
      <c r="AA26" s="152">
        <f t="array" ref="AA26">IF(AA$3=1,-INDEX(Inputs!$C:$C,MATCH("*Purchase Price*",Inputs!$B:$B,0)),0)</f>
        <v>0</v>
      </c>
      <c r="AB26" s="152">
        <f t="array" ref="AB26">IF(AB$3=1,-INDEX(Inputs!$C:$C,MATCH("*Purchase Price*",Inputs!$B:$B,0)),0)</f>
        <v>0</v>
      </c>
      <c r="AC26" s="152">
        <f t="array" ref="AC26">IF(AC$3=1,-INDEX(Inputs!$C:$C,MATCH("*Purchase Price*",Inputs!$B:$B,0)),0)</f>
        <v>0</v>
      </c>
      <c r="AD26" s="152">
        <f t="array" ref="AD26">IF(AD$3=1,-INDEX(Inputs!$C:$C,MATCH("*Purchase Price*",Inputs!$B:$B,0)),0)</f>
        <v>0</v>
      </c>
      <c r="AE26" s="152">
        <f t="array" ref="AE26">IF(AE$3=1,-INDEX(Inputs!$C:$C,MATCH("*Purchase Price*",Inputs!$B:$B,0)),0)</f>
        <v>0</v>
      </c>
      <c r="AF26" s="152">
        <f t="array" ref="AF26">IF(AF$3=1,-INDEX(Inputs!$C:$C,MATCH("*Purchase Price*",Inputs!$B:$B,0)),0)</f>
        <v>0</v>
      </c>
      <c r="AG26" s="152">
        <f t="array" ref="AG26">IF(AG$3=1,-INDEX(Inputs!$C:$C,MATCH("*Purchase Price*",Inputs!$B:$B,0)),0)</f>
        <v>0</v>
      </c>
      <c r="AH26" s="152">
        <f t="array" ref="AH26">IF(AH$3=1,-INDEX(Inputs!$C:$C,MATCH("*Purchase Price*",Inputs!$B:$B,0)),0)</f>
        <v>0</v>
      </c>
      <c r="AI26" s="152">
        <f t="array" ref="AI26">IF(AI$3=1,-INDEX(Inputs!$C:$C,MATCH("*Purchase Price*",Inputs!$B:$B,0)),0)</f>
        <v>0</v>
      </c>
      <c r="AJ26" s="152">
        <f t="array" ref="AJ26">IF(AJ$3=1,-INDEX(Inputs!$C:$C,MATCH("*Purchase Price*",Inputs!$B:$B,0)),0)</f>
        <v>0</v>
      </c>
      <c r="AK26" s="152">
        <f t="array" ref="AK26">IF(AK$3=1,-INDEX(Inputs!$C:$C,MATCH("*Purchase Price*",Inputs!$B:$B,0)),0)</f>
        <v>0</v>
      </c>
      <c r="AL26" s="152">
        <f t="array" ref="AL26">IF(AL$3=1,-INDEX(Inputs!$C:$C,MATCH("*Purchase Price*",Inputs!$B:$B,0)),0)</f>
        <v>0</v>
      </c>
      <c r="AM26" s="152">
        <f t="array" ref="AM26">IF(AM$3=1,-INDEX(Inputs!$C:$C,MATCH("*Purchase Price*",Inputs!$B:$B,0)),0)</f>
        <v>0</v>
      </c>
      <c r="AN26" s="152">
        <f t="array" ref="AN26">IF(AN$3=1,-INDEX(Inputs!$C:$C,MATCH("*Purchase Price*",Inputs!$B:$B,0)),0)</f>
        <v>0</v>
      </c>
      <c r="AO26" s="152">
        <f t="array" ref="AO26">IF(AO$3=1,-INDEX(Inputs!$C:$C,MATCH("*Purchase Price*",Inputs!$B:$B,0)),0)</f>
        <v>0</v>
      </c>
      <c r="AP26" s="152">
        <f t="array" ref="AP26">IF(AP$3=1,-INDEX(Inputs!$C:$C,MATCH("*Purchase Price*",Inputs!$B:$B,0)),0)</f>
        <v>0</v>
      </c>
      <c r="AQ26" s="152">
        <f t="array" ref="AQ26">IF(AQ$3=1,-INDEX(Inputs!$C:$C,MATCH("*Purchase Price*",Inputs!$B:$B,0)),0)</f>
        <v>0</v>
      </c>
      <c r="AR26" s="152">
        <f t="array" ref="AR26">IF(AR$3=1,-INDEX(Inputs!$C:$C,MATCH("*Purchase Price*",Inputs!$B:$B,0)),0)</f>
        <v>0</v>
      </c>
      <c r="AS26" s="152">
        <f t="array" ref="AS26">IF(AS$3=1,-INDEX(Inputs!$C:$C,MATCH("*Purchase Price*",Inputs!$B:$B,0)),0)</f>
        <v>0</v>
      </c>
      <c r="AT26" s="152">
        <f t="array" ref="AT26">IF(AT$3=1,-INDEX(Inputs!$C:$C,MATCH("*Purchase Price*",Inputs!$B:$B,0)),0)</f>
        <v>0</v>
      </c>
      <c r="AU26" s="152">
        <f t="array" ref="AU26">IF(AU$3=1,-INDEX(Inputs!$C:$C,MATCH("*Purchase Price*",Inputs!$B:$B,0)),0)</f>
        <v>0</v>
      </c>
      <c r="AV26" s="152">
        <f t="array" ref="AV26">IF(AV$3=1,-INDEX(Inputs!$C:$C,MATCH("*Purchase Price*",Inputs!$B:$B,0)),0)</f>
        <v>0</v>
      </c>
      <c r="AW26" s="152">
        <f t="array" ref="AW26">IF(AW$3=1,-INDEX(Inputs!$C:$C,MATCH("*Purchase Price*",Inputs!$B:$B,0)),0)</f>
        <v>0</v>
      </c>
      <c r="AX26" s="152">
        <f t="array" ref="AX26">IF(AX$3=1,-INDEX(Inputs!$C:$C,MATCH("*Purchase Price*",Inputs!$B:$B,0)),0)</f>
        <v>0</v>
      </c>
      <c r="AY26" s="152">
        <f t="array" ref="AY26">IF(AY$3=1,-INDEX(Inputs!$C:$C,MATCH("*Purchase Price*",Inputs!$B:$B,0)),0)</f>
        <v>0</v>
      </c>
      <c r="AZ26" s="152">
        <f t="array" ref="AZ26">IF(AZ$3=1,-INDEX(Inputs!$C:$C,MATCH("*Purchase Price*",Inputs!$B:$B,0)),0)</f>
        <v>0</v>
      </c>
      <c r="BA26" s="152">
        <f t="array" ref="BA26">IF(BA$3=1,-INDEX(Inputs!$C:$C,MATCH("*Purchase Price*",Inputs!$B:$B,0)),0)</f>
        <v>0</v>
      </c>
      <c r="BB26" s="152">
        <f t="array" ref="BB26">IF(BB$3=1,-INDEX(Inputs!$C:$C,MATCH("*Purchase Price*",Inputs!$B:$B,0)),0)</f>
        <v>0</v>
      </c>
      <c r="BC26" s="152">
        <f t="array" ref="BC26">IF(BC$3=1,-INDEX(Inputs!$C:$C,MATCH("*Purchase Price*",Inputs!$B:$B,0)),0)</f>
        <v>0</v>
      </c>
      <c r="BD26" s="152">
        <f t="array" ref="BD26">IF(BD$3=1,-INDEX(Inputs!$C:$C,MATCH("*Purchase Price*",Inputs!$B:$B,0)),0)</f>
        <v>0</v>
      </c>
      <c r="BE26" s="152">
        <f t="array" ref="BE26">IF(BE$3=1,-INDEX(Inputs!$C:$C,MATCH("*Purchase Price*",Inputs!$B:$B,0)),0)</f>
        <v>0</v>
      </c>
      <c r="BF26" s="152">
        <f t="array" ref="BF26">IF(BF$3=1,-INDEX(Inputs!$C:$C,MATCH("*Purchase Price*",Inputs!$B:$B,0)),0)</f>
        <v>0</v>
      </c>
      <c r="BG26" s="152">
        <f t="array" ref="BG26">IF(BG$3=1,-INDEX(Inputs!$C:$C,MATCH("*Purchase Price*",Inputs!$B:$B,0)),0)</f>
        <v>0</v>
      </c>
      <c r="BH26" s="152">
        <f t="array" ref="BH26">IF(BH$3=1,-INDEX(Inputs!$C:$C,MATCH("*Purchase Price*",Inputs!$B:$B,0)),0)</f>
        <v>0</v>
      </c>
      <c r="BI26" s="152">
        <f t="array" ref="BI26">IF(BI$3=1,-INDEX(Inputs!$C:$C,MATCH("*Purchase Price*",Inputs!$B:$B,0)),0)</f>
        <v>0</v>
      </c>
      <c r="BJ26" s="152">
        <f t="array" ref="BJ26">IF(BJ$3=1,-INDEX(Inputs!$C:$C,MATCH("*Purchase Price*",Inputs!$B:$B,0)),0)</f>
        <v>0</v>
      </c>
      <c r="BK26" s="152">
        <f t="array" ref="BK26">IF(BK$3=1,-INDEX(Inputs!$C:$C,MATCH("*Purchase Price*",Inputs!$B:$B,0)),0)</f>
        <v>0</v>
      </c>
      <c r="BL26" s="152">
        <f t="array" ref="BL26">IF(BL$3=1,-INDEX(Inputs!$C:$C,MATCH("*Purchase Price*",Inputs!$B:$B,0)),0)</f>
        <v>0</v>
      </c>
      <c r="BM26" s="152">
        <f t="array" ref="BM26">IF(BM$3=1,-INDEX(Inputs!$C:$C,MATCH("*Purchase Price*",Inputs!$B:$B,0)),0)</f>
        <v>0</v>
      </c>
      <c r="BN26" s="152">
        <f t="array" ref="BN26">IF(BN$3=1,-INDEX(Inputs!$C:$C,MATCH("*Purchase Price*",Inputs!$B:$B,0)),0)</f>
        <v>0</v>
      </c>
      <c r="BO26" s="152">
        <f t="array" ref="BO26">IF(BO$3=1,-INDEX(Inputs!$C:$C,MATCH("*Purchase Price*",Inputs!$B:$B,0)),0)</f>
        <v>0</v>
      </c>
      <c r="BP26" s="152">
        <f t="array" ref="BP26">IF(BP$3=1,-INDEX(Inputs!$C:$C,MATCH("*Purchase Price*",Inputs!$B:$B,0)),0)</f>
        <v>0</v>
      </c>
      <c r="BQ26" s="152">
        <f t="array" ref="BQ26">IF(BQ$3=1,-INDEX(Inputs!$C:$C,MATCH("*Purchase Price*",Inputs!$B:$B,0)),0)</f>
        <v>0</v>
      </c>
      <c r="BR26" s="152">
        <f t="array" ref="BR26">IF(BR$3=1,-INDEX(Inputs!$C:$C,MATCH("*Purchase Price*",Inputs!$B:$B,0)),0)</f>
        <v>0</v>
      </c>
      <c r="BS26" s="152">
        <f t="array" ref="BS26">IF(BS$3=1,-INDEX(Inputs!$C:$C,MATCH("*Purchase Price*",Inputs!$B:$B,0)),0)</f>
        <v>0</v>
      </c>
      <c r="BT26" s="152">
        <f t="array" ref="BT26">IF(BT$3=1,-INDEX(Inputs!$C:$C,MATCH("*Purchase Price*",Inputs!$B:$B,0)),0)</f>
        <v>0</v>
      </c>
      <c r="BU26" s="152">
        <f t="array" ref="BU26">IF(BU$3=1,-INDEX(Inputs!$C:$C,MATCH("*Purchase Price*",Inputs!$B:$B,0)),0)</f>
        <v>0</v>
      </c>
      <c r="BV26" s="152">
        <f t="array" ref="BV26">IF(BV$3=1,-INDEX(Inputs!$C:$C,MATCH("*Purchase Price*",Inputs!$B:$B,0)),0)</f>
        <v>0</v>
      </c>
      <c r="BW26" s="152">
        <f t="array" ref="BW26">IF(BW$3=1,-INDEX(Inputs!$C:$C,MATCH("*Purchase Price*",Inputs!$B:$B,0)),0)</f>
        <v>0</v>
      </c>
      <c r="BX26" s="152">
        <f t="array" ref="BX26">IF(BX$3=1,-INDEX(Inputs!$C:$C,MATCH("*Purchase Price*",Inputs!$B:$B,0)),0)</f>
        <v>0</v>
      </c>
      <c r="BY26" s="152">
        <f t="array" ref="BY26">IF(BY$3=1,-INDEX(Inputs!$C:$C,MATCH("*Purchase Price*",Inputs!$B:$B,0)),0)</f>
        <v>0</v>
      </c>
      <c r="BZ26" s="152">
        <f t="array" ref="BZ26">IF(BZ$3=1,-INDEX(Inputs!$C:$C,MATCH("*Purchase Price*",Inputs!$B:$B,0)),0)</f>
        <v>0</v>
      </c>
      <c r="CA26" s="152">
        <f t="array" ref="CA26">IF(CA$3=1,-INDEX(Inputs!$C:$C,MATCH("*Purchase Price*",Inputs!$B:$B,0)),0)</f>
        <v>0</v>
      </c>
      <c r="CB26" s="152">
        <f t="array" ref="CB26">IF(CB$3=1,-INDEX(Inputs!$C:$C,MATCH("*Purchase Price*",Inputs!$B:$B,0)),0)</f>
        <v>0</v>
      </c>
      <c r="CC26" s="152">
        <f t="array" ref="CC26">IF(CC$3=1,-INDEX(Inputs!$C:$C,MATCH("*Purchase Price*",Inputs!$B:$B,0)),0)</f>
        <v>0</v>
      </c>
      <c r="CD26" s="152">
        <f t="array" ref="CD26">IF(CD$3=1,-INDEX(Inputs!$C:$C,MATCH("*Purchase Price*",Inputs!$B:$B,0)),0)</f>
        <v>0</v>
      </c>
      <c r="CE26" s="152">
        <f t="array" ref="CE26">IF(CE$3=1,-INDEX(Inputs!$C:$C,MATCH("*Purchase Price*",Inputs!$B:$B,0)),0)</f>
        <v>0</v>
      </c>
      <c r="CF26" s="152">
        <f t="array" ref="CF26">IF(CF$3=1,-INDEX(Inputs!$C:$C,MATCH("*Purchase Price*",Inputs!$B:$B,0)),0)</f>
        <v>0</v>
      </c>
      <c r="CG26" s="152">
        <f t="array" ref="CG26">IF(CG$3=1,-INDEX(Inputs!$C:$C,MATCH("*Purchase Price*",Inputs!$B:$B,0)),0)</f>
        <v>0</v>
      </c>
      <c r="CH26" s="152">
        <f t="array" ref="CH26">IF(CH$3=1,-INDEX(Inputs!$C:$C,MATCH("*Purchase Price*",Inputs!$B:$B,0)),0)</f>
        <v>0</v>
      </c>
      <c r="CI26" s="152">
        <f t="array" ref="CI26">IF(CI$3=1,-INDEX(Inputs!$C:$C,MATCH("*Purchase Price*",Inputs!$B:$B,0)),0)</f>
        <v>0</v>
      </c>
      <c r="CJ26" s="152">
        <f t="array" ref="CJ26">IF(CJ$3=1,-INDEX(Inputs!$C:$C,MATCH("*Purchase Price*",Inputs!$B:$B,0)),0)</f>
        <v>0</v>
      </c>
      <c r="CK26" s="152">
        <f t="array" ref="CK26">IF(CK$3=1,-INDEX(Inputs!$C:$C,MATCH("*Purchase Price*",Inputs!$B:$B,0)),0)</f>
        <v>0</v>
      </c>
      <c r="CL26" s="152">
        <f t="array" ref="CL26">IF(CL$3=1,-INDEX(Inputs!$C:$C,MATCH("*Purchase Price*",Inputs!$B:$B,0)),0)</f>
        <v>0</v>
      </c>
      <c r="CM26" s="152">
        <f t="array" ref="CM26">IF(CM$3=1,-INDEX(Inputs!$C:$C,MATCH("*Purchase Price*",Inputs!$B:$B,0)),0)</f>
        <v>0</v>
      </c>
      <c r="CN26" s="152">
        <f t="array" ref="CN26">IF(CN$3=1,-INDEX(Inputs!$C:$C,MATCH("*Purchase Price*",Inputs!$B:$B,0)),0)</f>
        <v>0</v>
      </c>
      <c r="CO26" s="152">
        <f t="array" ref="CO26">IF(CO$3=1,-INDEX(Inputs!$C:$C,MATCH("*Purchase Price*",Inputs!$B:$B,0)),0)</f>
        <v>0</v>
      </c>
      <c r="CP26" s="152">
        <f t="array" ref="CP26">IF(CP$3=1,-INDEX(Inputs!$C:$C,MATCH("*Purchase Price*",Inputs!$B:$B,0)),0)</f>
        <v>0</v>
      </c>
      <c r="CQ26" s="152">
        <f t="array" ref="CQ26">IF(CQ$3=1,-INDEX(Inputs!$C:$C,MATCH("*Purchase Price*",Inputs!$B:$B,0)),0)</f>
        <v>0</v>
      </c>
      <c r="CR26" s="152">
        <f t="array" ref="CR26">IF(CR$3=1,-INDEX(Inputs!$C:$C,MATCH("*Purchase Price*",Inputs!$B:$B,0)),0)</f>
        <v>0</v>
      </c>
      <c r="CS26" s="152">
        <f t="array" ref="CS26">IF(CS$3=1,-INDEX(Inputs!$C:$C,MATCH("*Purchase Price*",Inputs!$B:$B,0)),0)</f>
        <v>0</v>
      </c>
      <c r="CT26" s="152">
        <f t="array" ref="CT26">IF(CT$3=1,-INDEX(Inputs!$C:$C,MATCH("*Purchase Price*",Inputs!$B:$B,0)),0)</f>
        <v>0</v>
      </c>
      <c r="CU26" s="152">
        <f t="array" ref="CU26">IF(CU$3=1,-INDEX(Inputs!$C:$C,MATCH("*Purchase Price*",Inputs!$B:$B,0)),0)</f>
        <v>0</v>
      </c>
      <c r="CV26" s="152">
        <f t="array" ref="CV26">IF(CV$3=1,-INDEX(Inputs!$C:$C,MATCH("*Purchase Price*",Inputs!$B:$B,0)),0)</f>
        <v>0</v>
      </c>
      <c r="CW26" s="152">
        <f t="array" ref="CW26">IF(CW$3=1,-INDEX(Inputs!$C:$C,MATCH("*Purchase Price*",Inputs!$B:$B,0)),0)</f>
        <v>0</v>
      </c>
      <c r="CX26" s="152">
        <f t="array" ref="CX26">IF(CX$3=1,-INDEX(Inputs!$C:$C,MATCH("*Purchase Price*",Inputs!$B:$B,0)),0)</f>
        <v>0</v>
      </c>
      <c r="CY26" s="152">
        <f t="array" ref="CY26">IF(CY$3=1,-INDEX(Inputs!$C:$C,MATCH("*Purchase Price*",Inputs!$B:$B,0)),0)</f>
        <v>0</v>
      </c>
      <c r="CZ26" s="152">
        <f t="array" ref="CZ26">IF(CZ$3=1,-INDEX(Inputs!$C:$C,MATCH("*Purchase Price*",Inputs!$B:$B,0)),0)</f>
        <v>0</v>
      </c>
      <c r="DA26" s="152">
        <f t="array" ref="DA26">IF(DA$3=1,-INDEX(Inputs!$C:$C,MATCH("*Purchase Price*",Inputs!$B:$B,0)),0)</f>
        <v>0</v>
      </c>
      <c r="DB26" s="152">
        <f t="array" ref="DB26">IF(DB$3=1,-INDEX(Inputs!$C:$C,MATCH("*Purchase Price*",Inputs!$B:$B,0)),0)</f>
        <v>0</v>
      </c>
      <c r="DC26" s="152">
        <f t="array" ref="DC26">IF(DC$3=1,-INDEX(Inputs!$C:$C,MATCH("*Purchase Price*",Inputs!$B:$B,0)),0)</f>
        <v>0</v>
      </c>
      <c r="DD26" s="152">
        <f t="array" ref="DD26">IF(DD$3=1,-INDEX(Inputs!$C:$C,MATCH("*Purchase Price*",Inputs!$B:$B,0)),0)</f>
        <v>0</v>
      </c>
      <c r="DE26" s="152">
        <f t="array" ref="DE26">IF(DE$3=1,-INDEX(Inputs!$C:$C,MATCH("*Purchase Price*",Inputs!$B:$B,0)),0)</f>
        <v>0</v>
      </c>
      <c r="DF26" s="152">
        <f t="array" ref="DF26">IF(DF$3=1,-INDEX(Inputs!$C:$C,MATCH("*Purchase Price*",Inputs!$B:$B,0)),0)</f>
        <v>0</v>
      </c>
      <c r="DG26" s="152">
        <f t="array" ref="DG26">IF(DG$3=1,-INDEX(Inputs!$C:$C,MATCH("*Purchase Price*",Inputs!$B:$B,0)),0)</f>
        <v>0</v>
      </c>
      <c r="DH26" s="152">
        <f t="array" ref="DH26">IF(DH$3=1,-INDEX(Inputs!$C:$C,MATCH("*Purchase Price*",Inputs!$B:$B,0)),0)</f>
        <v>0</v>
      </c>
      <c r="DI26" s="152">
        <f t="array" ref="DI26">IF(DI$3=1,-INDEX(Inputs!$C:$C,MATCH("*Purchase Price*",Inputs!$B:$B,0)),0)</f>
        <v>0</v>
      </c>
      <c r="DJ26" s="152">
        <f t="array" ref="DJ26">IF(DJ$3=1,-INDEX(Inputs!$C:$C,MATCH("*Purchase Price*",Inputs!$B:$B,0)),0)</f>
        <v>0</v>
      </c>
      <c r="DK26" s="152">
        <f t="array" ref="DK26">IF(DK$3=1,-INDEX(Inputs!$C:$C,MATCH("*Purchase Price*",Inputs!$B:$B,0)),0)</f>
        <v>0</v>
      </c>
      <c r="DL26" s="152">
        <f t="array" ref="DL26">IF(DL$3=1,-INDEX(Inputs!$C:$C,MATCH("*Purchase Price*",Inputs!$B:$B,0)),0)</f>
        <v>0</v>
      </c>
      <c r="DM26" s="152">
        <f t="array" ref="DM26">IF(DM$3=1,-INDEX(Inputs!$C:$C,MATCH("*Purchase Price*",Inputs!$B:$B,0)),0)</f>
        <v>0</v>
      </c>
      <c r="DN26" s="152">
        <f t="array" ref="DN26">IF(DN$3=1,-INDEX(Inputs!$C:$C,MATCH("*Purchase Price*",Inputs!$B:$B,0)),0)</f>
        <v>0</v>
      </c>
      <c r="DO26" s="152">
        <f t="array" ref="DO26">IF(DO$3=1,-INDEX(Inputs!$C:$C,MATCH("*Purchase Price*",Inputs!$B:$B,0)),0)</f>
        <v>0</v>
      </c>
      <c r="DP26" s="152">
        <f t="array" ref="DP26">IF(DP$3=1,-INDEX(Inputs!$C:$C,MATCH("*Purchase Price*",Inputs!$B:$B,0)),0)</f>
        <v>0</v>
      </c>
      <c r="DQ26" s="152">
        <f t="array" ref="DQ26">IF(DQ$3=1,-INDEX(Inputs!$C:$C,MATCH("*Purchase Price*",Inputs!$B:$B,0)),0)</f>
        <v>0</v>
      </c>
      <c r="DR26" s="152">
        <f t="array" ref="DR26">IF(DR$3=1,-INDEX(Inputs!$C:$C,MATCH("*Purchase Price*",Inputs!$B:$B,0)),0)</f>
        <v>0</v>
      </c>
      <c r="DS26" s="44">
        <f t="array" ref="DS26">IF(DS$3=1,-INDEX(Inputs!$C:$C,MATCH("*Purchase Price*",Inputs!$B:$B,0)),0)</f>
        <v>0</v>
      </c>
    </row>
    <row r="27" ht="16.5" customHeight="1">
      <c r="A27" s="44"/>
      <c r="B27" s="46" t="s">
        <v>22</v>
      </c>
      <c r="C27" s="152">
        <f>IF(C$3=1,-Inputs!C85,0)</f>
        <v>0</v>
      </c>
      <c r="D27" s="152">
        <f>IF(D$3=1,-Inputs!C85,0)</f>
        <v>0</v>
      </c>
      <c r="E27" s="152">
        <f>IF(E$3=1,-Inputs!C85,0)</f>
        <v>0</v>
      </c>
      <c r="F27" s="152">
        <f>IF(F$3=1,-Inputs!C85,0)</f>
        <v>0</v>
      </c>
      <c r="G27" s="152">
        <f>IF(G$3=1,-Inputs!C85,0)</f>
        <v>0</v>
      </c>
      <c r="H27" s="152">
        <f>IF(H$3=1,-Inputs!C85,0)</f>
        <v>0</v>
      </c>
      <c r="I27" s="152">
        <f>IF(I$3=1,-Inputs!C85,0)</f>
        <v>0</v>
      </c>
      <c r="J27" s="152">
        <f>IF(J$3=1,-Inputs!C85,0)</f>
        <v>0</v>
      </c>
      <c r="K27" s="152">
        <f>IF(K$3=1,-Inputs!C85,0)</f>
        <v>0</v>
      </c>
      <c r="L27" s="152">
        <f>IF(L$3=1,-Inputs!C85,0)</f>
        <v>0</v>
      </c>
      <c r="M27" s="152">
        <f>IF(M$3=1,-Inputs!C85,0)</f>
        <v>0</v>
      </c>
      <c r="N27" s="152">
        <f>IF(N$3=1,-Inputs!C85,0)</f>
        <v>0</v>
      </c>
      <c r="O27" s="152">
        <f>IF(O$3=1,-Inputs!C85,0)</f>
        <v>0</v>
      </c>
      <c r="P27" s="152">
        <f>IF(P$3=1,-Inputs!C85,0)</f>
        <v>0</v>
      </c>
      <c r="Q27" s="152">
        <f>IF(Q$3=1,-Inputs!C85,0)</f>
        <v>0</v>
      </c>
      <c r="R27" s="152">
        <f>IF(R$3=1,-Inputs!C85,0)</f>
        <v>0</v>
      </c>
      <c r="S27" s="152">
        <f>IF(S$3=1,-Inputs!C85,0)</f>
        <v>0</v>
      </c>
      <c r="T27" s="152">
        <f>IF(T$3=1,-Inputs!C85,0)</f>
        <v>0</v>
      </c>
      <c r="U27" s="152">
        <f>IF(U$3=1,-Inputs!C85,0)</f>
        <v>0</v>
      </c>
      <c r="V27" s="152">
        <f>IF(V$3=1,-Inputs!C85,0)</f>
        <v>0</v>
      </c>
      <c r="W27" s="152">
        <f>IF(W$3=1,-Inputs!C85,0)</f>
        <v>0</v>
      </c>
      <c r="X27" s="152">
        <f>IF(X$3=1,-Inputs!C85,0)</f>
        <v>0</v>
      </c>
      <c r="Y27" s="152">
        <f>IF(Y$3=1,-Inputs!C85,0)</f>
        <v>0</v>
      </c>
      <c r="Z27" s="152">
        <f>IF(Z$3=1,-Inputs!C85,0)</f>
        <v>0</v>
      </c>
      <c r="AA27" s="152">
        <f>IF(AA$3=1,-Inputs!C85,0)</f>
        <v>0</v>
      </c>
      <c r="AB27" s="152">
        <f>IF(AB$3=1,-Inputs!C85,0)</f>
        <v>0</v>
      </c>
      <c r="AC27" s="152">
        <f>IF(AC$3=1,-Inputs!C85,0)</f>
        <v>0</v>
      </c>
      <c r="AD27" s="152">
        <f>IF(AD$3=1,-Inputs!C85,0)</f>
        <v>0</v>
      </c>
      <c r="AE27" s="152">
        <f>IF(AE$3=1,-Inputs!C85,0)</f>
        <v>0</v>
      </c>
      <c r="AF27" s="152">
        <f>IF(AF$3=1,-Inputs!C85,0)</f>
        <v>0</v>
      </c>
      <c r="AG27" s="152">
        <f>IF(AG$3=1,-Inputs!C85,0)</f>
        <v>0</v>
      </c>
      <c r="AH27" s="152">
        <f>IF(AH$3=1,-Inputs!C85,0)</f>
        <v>0</v>
      </c>
      <c r="AI27" s="152">
        <f>IF(AI$3=1,-Inputs!C85,0)</f>
        <v>0</v>
      </c>
      <c r="AJ27" s="152">
        <f>IF(AJ$3=1,-Inputs!C85,0)</f>
        <v>0</v>
      </c>
      <c r="AK27" s="152">
        <f>IF(AK$3=1,-Inputs!C85,0)</f>
        <v>0</v>
      </c>
      <c r="AL27" s="152">
        <f>IF(AL$3=1,-Inputs!C85,0)</f>
        <v>0</v>
      </c>
      <c r="AM27" s="152">
        <f>IF(AM$3=1,-Inputs!C85,0)</f>
        <v>0</v>
      </c>
      <c r="AN27" s="152">
        <f>IF(AN$3=1,-Inputs!C85,0)</f>
        <v>0</v>
      </c>
      <c r="AO27" s="152">
        <f>IF(AO$3=1,-Inputs!C85,0)</f>
        <v>0</v>
      </c>
      <c r="AP27" s="152">
        <f>IF(AP$3=1,-Inputs!C85,0)</f>
        <v>0</v>
      </c>
      <c r="AQ27" s="152">
        <f>IF(AQ$3=1,-Inputs!C85,0)</f>
        <v>0</v>
      </c>
      <c r="AR27" s="152">
        <f>IF(AR$3=1,-Inputs!C85,0)</f>
        <v>0</v>
      </c>
      <c r="AS27" s="152">
        <f>IF(AS$3=1,-Inputs!C85,0)</f>
        <v>0</v>
      </c>
      <c r="AT27" s="152">
        <f>IF(AT$3=1,-Inputs!C85,0)</f>
        <v>0</v>
      </c>
      <c r="AU27" s="152">
        <f>IF(AU$3=1,-Inputs!C85,0)</f>
        <v>0</v>
      </c>
      <c r="AV27" s="152">
        <f>IF(AV$3=1,-Inputs!C85,0)</f>
        <v>0</v>
      </c>
      <c r="AW27" s="152">
        <f>IF(AW$3=1,-Inputs!C85,0)</f>
        <v>0</v>
      </c>
      <c r="AX27" s="152">
        <f>IF(AX$3=1,-Inputs!C85,0)</f>
        <v>0</v>
      </c>
      <c r="AY27" s="152">
        <f>IF(AY$3=1,-Inputs!C85,0)</f>
        <v>0</v>
      </c>
      <c r="AZ27" s="152">
        <f>IF(AZ$3=1,-Inputs!C85,0)</f>
        <v>0</v>
      </c>
      <c r="BA27" s="152">
        <f>IF(BA$3=1,-Inputs!C85,0)</f>
        <v>0</v>
      </c>
      <c r="BB27" s="152">
        <f>IF(BB$3=1,-Inputs!C85,0)</f>
        <v>0</v>
      </c>
      <c r="BC27" s="152">
        <f>IF(BC$3=1,-Inputs!C85,0)</f>
        <v>0</v>
      </c>
      <c r="BD27" s="152">
        <f>IF(BD$3=1,-Inputs!C85,0)</f>
        <v>0</v>
      </c>
      <c r="BE27" s="152">
        <f>IF(BE$3=1,-Inputs!C85,0)</f>
        <v>0</v>
      </c>
      <c r="BF27" s="152">
        <f>IF(BF$3=1,-Inputs!C85,0)</f>
        <v>0</v>
      </c>
      <c r="BG27" s="152">
        <f>IF(BG$3=1,-Inputs!C85,0)</f>
        <v>0</v>
      </c>
      <c r="BH27" s="152">
        <f>IF(BH$3=1,-Inputs!C85,0)</f>
        <v>0</v>
      </c>
      <c r="BI27" s="152">
        <f>IF(BI$3=1,-Inputs!C85,0)</f>
        <v>0</v>
      </c>
      <c r="BJ27" s="152">
        <f>IF(BJ$3=1,-Inputs!C85,0)</f>
        <v>0</v>
      </c>
      <c r="BK27" s="152">
        <f>IF(BK$3=1,-Inputs!C85,0)</f>
        <v>0</v>
      </c>
      <c r="BL27" s="152">
        <f>IF(BL$3=1,-Inputs!C85,0)</f>
        <v>0</v>
      </c>
      <c r="BM27" s="152">
        <f>IF(BM$3=1,-Inputs!C85,0)</f>
        <v>0</v>
      </c>
      <c r="BN27" s="152">
        <f>IF(BN$3=1,-Inputs!C85,0)</f>
        <v>0</v>
      </c>
      <c r="BO27" s="152">
        <f>IF(BO$3=1,-Inputs!C85,0)</f>
        <v>0</v>
      </c>
      <c r="BP27" s="152">
        <f>IF(BP$3=1,-Inputs!C85,0)</f>
        <v>0</v>
      </c>
      <c r="BQ27" s="152">
        <f>IF(BQ$3=1,-Inputs!C85,0)</f>
        <v>0</v>
      </c>
      <c r="BR27" s="152">
        <f>IF(BR$3=1,-Inputs!C85,0)</f>
        <v>0</v>
      </c>
      <c r="BS27" s="152">
        <f>IF(BS$3=1,-Inputs!C85,0)</f>
        <v>0</v>
      </c>
      <c r="BT27" s="152">
        <f>IF(BT$3=1,-Inputs!C85,0)</f>
        <v>0</v>
      </c>
      <c r="BU27" s="152">
        <f>IF(BU$3=1,-Inputs!C85,0)</f>
        <v>0</v>
      </c>
      <c r="BV27" s="152">
        <f>IF(BV$3=1,-Inputs!C85,0)</f>
        <v>0</v>
      </c>
      <c r="BW27" s="152">
        <f>IF(BW$3=1,-Inputs!C85,0)</f>
        <v>0</v>
      </c>
      <c r="BX27" s="152">
        <f>IF(BX$3=1,-Inputs!C85,0)</f>
        <v>0</v>
      </c>
      <c r="BY27" s="152">
        <f>IF(BY$3=1,-Inputs!C85,0)</f>
        <v>0</v>
      </c>
      <c r="BZ27" s="152">
        <f>IF(BZ$3=1,-Inputs!C85,0)</f>
        <v>0</v>
      </c>
      <c r="CA27" s="152">
        <f>IF(CA$3=1,-Inputs!C85,0)</f>
        <v>0</v>
      </c>
      <c r="CB27" s="152">
        <f>IF(CB$3=1,-Inputs!C85,0)</f>
        <v>0</v>
      </c>
      <c r="CC27" s="152">
        <f>IF(CC$3=1,-Inputs!C85,0)</f>
        <v>0</v>
      </c>
      <c r="CD27" s="152">
        <f>IF(CD$3=1,-Inputs!C85,0)</f>
        <v>0</v>
      </c>
      <c r="CE27" s="152">
        <f>IF(CE$3=1,-Inputs!C85,0)</f>
        <v>0</v>
      </c>
      <c r="CF27" s="152">
        <f>IF(CF$3=1,-Inputs!C85,0)</f>
        <v>0</v>
      </c>
      <c r="CG27" s="152">
        <f>IF(CG$3=1,-Inputs!C85,0)</f>
        <v>0</v>
      </c>
      <c r="CH27" s="152">
        <f>IF(CH$3=1,-Inputs!C85,0)</f>
        <v>0</v>
      </c>
      <c r="CI27" s="152">
        <f>IF(CI$3=1,-Inputs!C85,0)</f>
        <v>0</v>
      </c>
      <c r="CJ27" s="152">
        <f>IF(CJ$3=1,-Inputs!C85,0)</f>
        <v>0</v>
      </c>
      <c r="CK27" s="152">
        <f>IF(CK$3=1,-Inputs!C85,0)</f>
        <v>0</v>
      </c>
      <c r="CL27" s="152">
        <f>IF(CL$3=1,-Inputs!C85,0)</f>
        <v>0</v>
      </c>
      <c r="CM27" s="152">
        <f>IF(CM$3=1,-Inputs!C85,0)</f>
        <v>0</v>
      </c>
      <c r="CN27" s="152">
        <f>IF(CN$3=1,-Inputs!C85,0)</f>
        <v>0</v>
      </c>
      <c r="CO27" s="152">
        <f>IF(CO$3=1,-Inputs!C85,0)</f>
        <v>0</v>
      </c>
      <c r="CP27" s="152">
        <f>IF(CP$3=1,-Inputs!C85,0)</f>
        <v>0</v>
      </c>
      <c r="CQ27" s="152">
        <f>IF(CQ$3=1,-Inputs!C85,0)</f>
        <v>0</v>
      </c>
      <c r="CR27" s="152">
        <f>IF(CR$3=1,-Inputs!C85,0)</f>
        <v>0</v>
      </c>
      <c r="CS27" s="152">
        <f>IF(CS$3=1,-Inputs!C85,0)</f>
        <v>0</v>
      </c>
      <c r="CT27" s="152">
        <f>IF(CT$3=1,-Inputs!C85,0)</f>
        <v>0</v>
      </c>
      <c r="CU27" s="152">
        <f>IF(CU$3=1,-Inputs!C85,0)</f>
        <v>0</v>
      </c>
      <c r="CV27" s="152">
        <f>IF(CV$3=1,-Inputs!C85,0)</f>
        <v>0</v>
      </c>
      <c r="CW27" s="152">
        <f>IF(CW$3=1,-Inputs!C85,0)</f>
        <v>0</v>
      </c>
      <c r="CX27" s="152">
        <f>IF(CX$3=1,-Inputs!C85,0)</f>
        <v>0</v>
      </c>
      <c r="CY27" s="152">
        <f>IF(CY$3=1,-Inputs!C85,0)</f>
        <v>0</v>
      </c>
      <c r="CZ27" s="152">
        <f>IF(CZ$3=1,-Inputs!C85,0)</f>
        <v>0</v>
      </c>
      <c r="DA27" s="152">
        <f>IF(DA$3=1,-Inputs!C85,0)</f>
        <v>0</v>
      </c>
      <c r="DB27" s="152">
        <f>IF(DB$3=1,-Inputs!C85,0)</f>
        <v>0</v>
      </c>
      <c r="DC27" s="152">
        <f>IF(DC$3=1,-Inputs!C85,0)</f>
        <v>0</v>
      </c>
      <c r="DD27" s="152">
        <f>IF(DD$3=1,-Inputs!C85,0)</f>
        <v>0</v>
      </c>
      <c r="DE27" s="152">
        <f>IF(DE$3=1,-Inputs!C85,0)</f>
        <v>0</v>
      </c>
      <c r="DF27" s="152">
        <f>IF(DF$3=1,-Inputs!C85,0)</f>
        <v>0</v>
      </c>
      <c r="DG27" s="152">
        <f>IF(DG$3=1,-Inputs!C85,0)</f>
        <v>0</v>
      </c>
      <c r="DH27" s="152">
        <f>IF(DH$3=1,-Inputs!C85,0)</f>
        <v>0</v>
      </c>
      <c r="DI27" s="152">
        <f>IF(DI$3=1,-Inputs!C85,0)</f>
        <v>0</v>
      </c>
      <c r="DJ27" s="152">
        <f>IF(DJ$3=1,-Inputs!C85,0)</f>
        <v>0</v>
      </c>
      <c r="DK27" s="152">
        <f>IF(DK$3=1,-Inputs!C85,0)</f>
        <v>0</v>
      </c>
      <c r="DL27" s="152">
        <f>IF(DL$3=1,-Inputs!C85,0)</f>
        <v>0</v>
      </c>
      <c r="DM27" s="152">
        <f>IF(DM$3=1,-Inputs!C85,0)</f>
        <v>0</v>
      </c>
      <c r="DN27" s="152">
        <f>IF(DN$3=1,-Inputs!C85,0)</f>
        <v>0</v>
      </c>
      <c r="DO27" s="152">
        <f>IF(DO$3=1,-Inputs!C85,0)</f>
        <v>0</v>
      </c>
      <c r="DP27" s="152">
        <f>IF(DP$3=1,-Inputs!C85,0)</f>
        <v>0</v>
      </c>
      <c r="DQ27" s="152">
        <f>IF(DQ$3=1,-Inputs!C85,0)</f>
        <v>0</v>
      </c>
      <c r="DR27" s="152">
        <f>IF(DR$3=1,-Inputs!C85,0)</f>
        <v>0</v>
      </c>
      <c r="DS27" s="44">
        <f>IF(DS$3=1,-Inputs!C85,0)</f>
        <v>0</v>
      </c>
    </row>
    <row r="28" ht="16.5" customHeight="1">
      <c r="A28" s="44"/>
      <c r="B28" s="46" t="s">
        <v>153</v>
      </c>
      <c r="C28" s="152">
        <f>IF(C$3=1,-Inputs!C86,0)</f>
        <v>-5000</v>
      </c>
      <c r="D28" s="152">
        <f>IF(D$3=1,-Inputs!C86,0)</f>
        <v>0</v>
      </c>
      <c r="E28" s="152">
        <f>IF(E$3=1,-Inputs!C86,0)</f>
        <v>0</v>
      </c>
      <c r="F28" s="152">
        <f>IF(F$3=1,-Inputs!C86,0)</f>
        <v>0</v>
      </c>
      <c r="G28" s="152">
        <f>IF(G$3=1,-Inputs!C86,0)</f>
        <v>0</v>
      </c>
      <c r="H28" s="152">
        <f>IF(H$3=1,-Inputs!C86,0)</f>
        <v>0</v>
      </c>
      <c r="I28" s="152">
        <f>IF(I$3=1,-Inputs!C86,0)</f>
        <v>0</v>
      </c>
      <c r="J28" s="152">
        <f>IF(J$3=1,-Inputs!C86,0)</f>
        <v>0</v>
      </c>
      <c r="K28" s="152">
        <f>IF(K$3=1,-Inputs!C86,0)</f>
        <v>0</v>
      </c>
      <c r="L28" s="152">
        <f>IF(L$3=1,-Inputs!C86,0)</f>
        <v>0</v>
      </c>
      <c r="M28" s="152">
        <f>IF(M$3=1,-Inputs!C86,0)</f>
        <v>0</v>
      </c>
      <c r="N28" s="152">
        <f>IF(N$3=1,-Inputs!C86,0)</f>
        <v>0</v>
      </c>
      <c r="O28" s="152">
        <f>IF(O$3=1,-Inputs!C86,0)</f>
        <v>0</v>
      </c>
      <c r="P28" s="152">
        <f>IF(P$3=1,-Inputs!C86,0)</f>
        <v>0</v>
      </c>
      <c r="Q28" s="152">
        <f>IF(Q$3=1,-Inputs!C86,0)</f>
        <v>0</v>
      </c>
      <c r="R28" s="152">
        <f>IF(R$3=1,-Inputs!C86,0)</f>
        <v>0</v>
      </c>
      <c r="S28" s="152">
        <f>IF(S$3=1,-Inputs!C86,0)</f>
        <v>0</v>
      </c>
      <c r="T28" s="152">
        <f>IF(T$3=1,-Inputs!C86,0)</f>
        <v>0</v>
      </c>
      <c r="U28" s="152">
        <f>IF(U$3=1,-Inputs!C86,0)</f>
        <v>0</v>
      </c>
      <c r="V28" s="152">
        <f>IF(V$3=1,-Inputs!C86,0)</f>
        <v>0</v>
      </c>
      <c r="W28" s="152">
        <f>IF(W$3=1,-Inputs!C86,0)</f>
        <v>0</v>
      </c>
      <c r="X28" s="152">
        <f>IF(X$3=1,-Inputs!C86,0)</f>
        <v>0</v>
      </c>
      <c r="Y28" s="152">
        <f>IF(Y$3=1,-Inputs!C86,0)</f>
        <v>0</v>
      </c>
      <c r="Z28" s="152">
        <f>IF(Z$3=1,-Inputs!C86,0)</f>
        <v>0</v>
      </c>
      <c r="AA28" s="152">
        <f>IF(AA$3=1,-Inputs!C86,0)</f>
        <v>0</v>
      </c>
      <c r="AB28" s="152">
        <f>IF(AB$3=1,-Inputs!C86,0)</f>
        <v>0</v>
      </c>
      <c r="AC28" s="152">
        <f>IF(AC$3=1,-Inputs!C86,0)</f>
        <v>0</v>
      </c>
      <c r="AD28" s="152">
        <f>IF(AD$3=1,-Inputs!C86,0)</f>
        <v>0</v>
      </c>
      <c r="AE28" s="152">
        <f>IF(AE$3=1,-Inputs!C86,0)</f>
        <v>0</v>
      </c>
      <c r="AF28" s="152">
        <f>IF(AF$3=1,-Inputs!C86,0)</f>
        <v>0</v>
      </c>
      <c r="AG28" s="152">
        <f>IF(AG$3=1,-Inputs!C86,0)</f>
        <v>0</v>
      </c>
      <c r="AH28" s="152">
        <f>IF(AH$3=1,-Inputs!C86,0)</f>
        <v>0</v>
      </c>
      <c r="AI28" s="152">
        <f>IF(AI$3=1,-Inputs!C86,0)</f>
        <v>0</v>
      </c>
      <c r="AJ28" s="152">
        <f>IF(AJ$3=1,-Inputs!C86,0)</f>
        <v>0</v>
      </c>
      <c r="AK28" s="152">
        <f>IF(AK$3=1,-Inputs!C86,0)</f>
        <v>0</v>
      </c>
      <c r="AL28" s="152">
        <f>IF(AL$3=1,-Inputs!C86,0)</f>
        <v>0</v>
      </c>
      <c r="AM28" s="152">
        <f>IF(AM$3=1,-Inputs!C86,0)</f>
        <v>0</v>
      </c>
      <c r="AN28" s="152">
        <f>IF(AN$3=1,-Inputs!C86,0)</f>
        <v>0</v>
      </c>
      <c r="AO28" s="152">
        <f>IF(AO$3=1,-Inputs!C86,0)</f>
        <v>0</v>
      </c>
      <c r="AP28" s="152">
        <f>IF(AP$3=1,-Inputs!C86,0)</f>
        <v>0</v>
      </c>
      <c r="AQ28" s="152">
        <f>IF(AQ$3=1,-Inputs!C86,0)</f>
        <v>0</v>
      </c>
      <c r="AR28" s="152">
        <f>IF(AR$3=1,-Inputs!C86,0)</f>
        <v>0</v>
      </c>
      <c r="AS28" s="152">
        <f>IF(AS$3=1,-Inputs!C86,0)</f>
        <v>0</v>
      </c>
      <c r="AT28" s="152">
        <f>IF(AT$3=1,-Inputs!C86,0)</f>
        <v>0</v>
      </c>
      <c r="AU28" s="152">
        <f>IF(AU$3=1,-Inputs!C86,0)</f>
        <v>0</v>
      </c>
      <c r="AV28" s="152">
        <f>IF(AV$3=1,-Inputs!C86,0)</f>
        <v>0</v>
      </c>
      <c r="AW28" s="152">
        <f>IF(AW$3=1,-Inputs!C86,0)</f>
        <v>0</v>
      </c>
      <c r="AX28" s="152">
        <f>IF(AX$3=1,-Inputs!C86,0)</f>
        <v>0</v>
      </c>
      <c r="AY28" s="152">
        <f>IF(AY$3=1,-Inputs!C86,0)</f>
        <v>0</v>
      </c>
      <c r="AZ28" s="152">
        <f>IF(AZ$3=1,-Inputs!C86,0)</f>
        <v>0</v>
      </c>
      <c r="BA28" s="152">
        <f>IF(BA$3=1,-Inputs!C86,0)</f>
        <v>0</v>
      </c>
      <c r="BB28" s="152">
        <f>IF(BB$3=1,-Inputs!C86,0)</f>
        <v>0</v>
      </c>
      <c r="BC28" s="152">
        <f>IF(BC$3=1,-Inputs!C86,0)</f>
        <v>0</v>
      </c>
      <c r="BD28" s="152">
        <f>IF(BD$3=1,-Inputs!C86,0)</f>
        <v>0</v>
      </c>
      <c r="BE28" s="152">
        <f>IF(BE$3=1,-Inputs!C86,0)</f>
        <v>0</v>
      </c>
      <c r="BF28" s="152">
        <f>IF(BF$3=1,-Inputs!C86,0)</f>
        <v>0</v>
      </c>
      <c r="BG28" s="152">
        <f>IF(BG$3=1,-Inputs!C86,0)</f>
        <v>0</v>
      </c>
      <c r="BH28" s="152">
        <f>IF(BH$3=1,-Inputs!C86,0)</f>
        <v>0</v>
      </c>
      <c r="BI28" s="152">
        <f>IF(BI$3=1,-Inputs!C86,0)</f>
        <v>0</v>
      </c>
      <c r="BJ28" s="152">
        <f>IF(BJ$3=1,-Inputs!C86,0)</f>
        <v>0</v>
      </c>
      <c r="BK28" s="152">
        <f>IF(BK$3=1,-Inputs!C86,0)</f>
        <v>0</v>
      </c>
      <c r="BL28" s="152">
        <f>IF(BL$3=1,-Inputs!C86,0)</f>
        <v>0</v>
      </c>
      <c r="BM28" s="152">
        <f>IF(BM$3=1,-Inputs!C86,0)</f>
        <v>0</v>
      </c>
      <c r="BN28" s="152">
        <f>IF(BN$3=1,-Inputs!C86,0)</f>
        <v>0</v>
      </c>
      <c r="BO28" s="152">
        <f>IF(BO$3=1,-Inputs!C86,0)</f>
        <v>0</v>
      </c>
      <c r="BP28" s="152">
        <f>IF(BP$3=1,-Inputs!C86,0)</f>
        <v>0</v>
      </c>
      <c r="BQ28" s="152">
        <f>IF(BQ$3=1,-Inputs!C86,0)</f>
        <v>0</v>
      </c>
      <c r="BR28" s="152">
        <f>IF(BR$3=1,-Inputs!C86,0)</f>
        <v>0</v>
      </c>
      <c r="BS28" s="152">
        <f>IF(BS$3=1,-Inputs!C86,0)</f>
        <v>0</v>
      </c>
      <c r="BT28" s="152">
        <f>IF(BT$3=1,-Inputs!C86,0)</f>
        <v>0</v>
      </c>
      <c r="BU28" s="152">
        <f>IF(BU$3=1,-Inputs!C86,0)</f>
        <v>0</v>
      </c>
      <c r="BV28" s="152">
        <f>IF(BV$3=1,-Inputs!C86,0)</f>
        <v>0</v>
      </c>
      <c r="BW28" s="152">
        <f>IF(BW$3=1,-Inputs!C86,0)</f>
        <v>0</v>
      </c>
      <c r="BX28" s="152">
        <f>IF(BX$3=1,-Inputs!C86,0)</f>
        <v>0</v>
      </c>
      <c r="BY28" s="152">
        <f>IF(BY$3=1,-Inputs!C86,0)</f>
        <v>0</v>
      </c>
      <c r="BZ28" s="152">
        <f>IF(BZ$3=1,-Inputs!C86,0)</f>
        <v>0</v>
      </c>
      <c r="CA28" s="152">
        <f>IF(CA$3=1,-Inputs!C86,0)</f>
        <v>0</v>
      </c>
      <c r="CB28" s="152">
        <f>IF(CB$3=1,-Inputs!C86,0)</f>
        <v>0</v>
      </c>
      <c r="CC28" s="152">
        <f>IF(CC$3=1,-Inputs!C86,0)</f>
        <v>0</v>
      </c>
      <c r="CD28" s="152">
        <f>IF(CD$3=1,-Inputs!C86,0)</f>
        <v>0</v>
      </c>
      <c r="CE28" s="152">
        <f>IF(CE$3=1,-Inputs!C86,0)</f>
        <v>0</v>
      </c>
      <c r="CF28" s="152">
        <f>IF(CF$3=1,-Inputs!C86,0)</f>
        <v>0</v>
      </c>
      <c r="CG28" s="152">
        <f>IF(CG$3=1,-Inputs!C86,0)</f>
        <v>0</v>
      </c>
      <c r="CH28" s="152">
        <f>IF(CH$3=1,-Inputs!C86,0)</f>
        <v>0</v>
      </c>
      <c r="CI28" s="152">
        <f>IF(CI$3=1,-Inputs!C86,0)</f>
        <v>0</v>
      </c>
      <c r="CJ28" s="152">
        <f>IF(CJ$3=1,-Inputs!C86,0)</f>
        <v>0</v>
      </c>
      <c r="CK28" s="152">
        <f>IF(CK$3=1,-Inputs!C86,0)</f>
        <v>0</v>
      </c>
      <c r="CL28" s="152">
        <f>IF(CL$3=1,-Inputs!C86,0)</f>
        <v>0</v>
      </c>
      <c r="CM28" s="152">
        <f>IF(CM$3=1,-Inputs!C86,0)</f>
        <v>0</v>
      </c>
      <c r="CN28" s="152">
        <f>IF(CN$3=1,-Inputs!C86,0)</f>
        <v>0</v>
      </c>
      <c r="CO28" s="152">
        <f>IF(CO$3=1,-Inputs!C86,0)</f>
        <v>0</v>
      </c>
      <c r="CP28" s="152">
        <f>IF(CP$3=1,-Inputs!C86,0)</f>
        <v>0</v>
      </c>
      <c r="CQ28" s="152">
        <f>IF(CQ$3=1,-Inputs!C86,0)</f>
        <v>0</v>
      </c>
      <c r="CR28" s="152">
        <f>IF(CR$3=1,-Inputs!C86,0)</f>
        <v>0</v>
      </c>
      <c r="CS28" s="152">
        <f>IF(CS$3=1,-Inputs!C86,0)</f>
        <v>0</v>
      </c>
      <c r="CT28" s="152">
        <f>IF(CT$3=1,-Inputs!C86,0)</f>
        <v>0</v>
      </c>
      <c r="CU28" s="152">
        <f>IF(CU$3=1,-Inputs!C86,0)</f>
        <v>0</v>
      </c>
      <c r="CV28" s="152">
        <f>IF(CV$3=1,-Inputs!C86,0)</f>
        <v>0</v>
      </c>
      <c r="CW28" s="152">
        <f>IF(CW$3=1,-Inputs!C86,0)</f>
        <v>0</v>
      </c>
      <c r="CX28" s="152">
        <f>IF(CX$3=1,-Inputs!C86,0)</f>
        <v>0</v>
      </c>
      <c r="CY28" s="152">
        <f>IF(CY$3=1,-Inputs!C86,0)</f>
        <v>0</v>
      </c>
      <c r="CZ28" s="152">
        <f>IF(CZ$3=1,-Inputs!C86,0)</f>
        <v>0</v>
      </c>
      <c r="DA28" s="152">
        <f>IF(DA$3=1,-Inputs!C86,0)</f>
        <v>0</v>
      </c>
      <c r="DB28" s="152">
        <f>IF(DB$3=1,-Inputs!C86,0)</f>
        <v>0</v>
      </c>
      <c r="DC28" s="152">
        <f>IF(DC$3=1,-Inputs!C86,0)</f>
        <v>0</v>
      </c>
      <c r="DD28" s="152">
        <f>IF(DD$3=1,-Inputs!C86,0)</f>
        <v>0</v>
      </c>
      <c r="DE28" s="152">
        <f>IF(DE$3=1,-Inputs!C86,0)</f>
        <v>0</v>
      </c>
      <c r="DF28" s="152">
        <f>IF(DF$3=1,-Inputs!C86,0)</f>
        <v>0</v>
      </c>
      <c r="DG28" s="152">
        <f>IF(DG$3=1,-Inputs!C86,0)</f>
        <v>0</v>
      </c>
      <c r="DH28" s="152">
        <f>IF(DH$3=1,-Inputs!C86,0)</f>
        <v>0</v>
      </c>
      <c r="DI28" s="152">
        <f>IF(DI$3=1,-Inputs!C86,0)</f>
        <v>0</v>
      </c>
      <c r="DJ28" s="152">
        <f>IF(DJ$3=1,-Inputs!C86,0)</f>
        <v>0</v>
      </c>
      <c r="DK28" s="152">
        <f>IF(DK$3=1,-Inputs!C86,0)</f>
        <v>0</v>
      </c>
      <c r="DL28" s="152">
        <f>IF(DL$3=1,-Inputs!C86,0)</f>
        <v>0</v>
      </c>
      <c r="DM28" s="152">
        <f>IF(DM$3=1,-Inputs!C86,0)</f>
        <v>0</v>
      </c>
      <c r="DN28" s="152">
        <f>IF(DN$3=1,-Inputs!C86,0)</f>
        <v>0</v>
      </c>
      <c r="DO28" s="152">
        <f>IF(DO$3=1,-Inputs!C86,0)</f>
        <v>0</v>
      </c>
      <c r="DP28" s="152">
        <f>IF(DP$3=1,-Inputs!C86,0)</f>
        <v>0</v>
      </c>
      <c r="DQ28" s="152">
        <f>IF(DQ$3=1,-Inputs!C86,0)</f>
        <v>0</v>
      </c>
      <c r="DR28" s="152">
        <f>IF(DR$3=1,-Inputs!C86,0)</f>
        <v>0</v>
      </c>
      <c r="DS28" s="44">
        <f>IF(DS$3=1,-Inputs!C86,0)</f>
        <v>0</v>
      </c>
    </row>
    <row r="29" ht="16.5" customHeight="1">
      <c r="A29" s="44"/>
      <c r="B29" s="46" t="s">
        <v>150</v>
      </c>
      <c r="C29" s="151">
        <f t="array" ref="C29">IF(C$3=1,-INDEX(Inputs!$C:$C,MATCH("*Purchase Price*",Inputs!$B:$B,0))*Inputs!C93,0)</f>
        <v>0</v>
      </c>
      <c r="D29" s="152">
        <f t="array" ref="D29">IF(D$3=1,-INDEX(Inputs!$C:$C,MATCH("*Purchase Price*",Inputs!$B:$B,0))*Inputs!C93,0)</f>
        <v>0</v>
      </c>
      <c r="E29" s="152">
        <f t="array" ref="E29">IF(E$3=1,-INDEX(Inputs!$C:$C,MATCH("*Purchase Price*",Inputs!$B:$B,0))*Inputs!C93,0)</f>
        <v>0</v>
      </c>
      <c r="F29" s="152">
        <f t="array" ref="F29">IF(F$3=1,-INDEX(Inputs!$C:$C,MATCH("*Purchase Price*",Inputs!$B:$B,0))*Inputs!C93,0)</f>
        <v>0</v>
      </c>
      <c r="G29" s="152">
        <f t="array" ref="G29">IF(G$3=1,-INDEX(Inputs!$C:$C,MATCH("*Purchase Price*",Inputs!$B:$B,0))*Inputs!C93,0)</f>
        <v>0</v>
      </c>
      <c r="H29" s="152">
        <f t="array" ref="H29">IF(H$3=1,-INDEX(Inputs!$C:$C,MATCH("*Purchase Price*",Inputs!$B:$B,0))*Inputs!C93,0)</f>
        <v>0</v>
      </c>
      <c r="I29" s="152">
        <f t="array" ref="I29">IF(I$3=1,-INDEX(Inputs!$C:$C,MATCH("*Purchase Price*",Inputs!$B:$B,0))*Inputs!C93,0)</f>
        <v>0</v>
      </c>
      <c r="J29" s="152">
        <f t="array" ref="J29">IF(J$3=1,-INDEX(Inputs!$C:$C,MATCH("*Purchase Price*",Inputs!$B:$B,0))*Inputs!C93,0)</f>
        <v>0</v>
      </c>
      <c r="K29" s="152">
        <f t="array" ref="K29">IF(K$3=1,-INDEX(Inputs!$C:$C,MATCH("*Purchase Price*",Inputs!$B:$B,0))*Inputs!C93,0)</f>
        <v>0</v>
      </c>
      <c r="L29" s="152">
        <f t="array" ref="L29">IF(L$3=1,-INDEX(Inputs!$C:$C,MATCH("*Purchase Price*",Inputs!$B:$B,0))*Inputs!C93,0)</f>
        <v>0</v>
      </c>
      <c r="M29" s="152">
        <f t="array" ref="M29">IF(M$3=1,-INDEX(Inputs!$C:$C,MATCH("*Purchase Price*",Inputs!$B:$B,0))*Inputs!C93,0)</f>
        <v>0</v>
      </c>
      <c r="N29" s="152">
        <f t="array" ref="N29">IF(N$3=1,-INDEX(Inputs!$C:$C,MATCH("*Purchase Price*",Inputs!$B:$B,0))*Inputs!C93,0)</f>
        <v>0</v>
      </c>
      <c r="O29" s="152">
        <f t="array" ref="O29">IF(O$3=1,-INDEX(Inputs!$C:$C,MATCH("*Purchase Price*",Inputs!$B:$B,0))*Inputs!C93,0)</f>
        <v>0</v>
      </c>
      <c r="P29" s="152">
        <f t="array" ref="P29">IF(P$3=1,-INDEX(Inputs!$C:$C,MATCH("*Purchase Price*",Inputs!$B:$B,0))*Inputs!C93,0)</f>
        <v>0</v>
      </c>
      <c r="Q29" s="152">
        <f t="array" ref="Q29">IF(Q$3=1,-INDEX(Inputs!$C:$C,MATCH("*Purchase Price*",Inputs!$B:$B,0))*Inputs!C93,0)</f>
        <v>0</v>
      </c>
      <c r="R29" s="152">
        <f t="array" ref="R29">IF(R$3=1,-INDEX(Inputs!$C:$C,MATCH("*Purchase Price*",Inputs!$B:$B,0))*Inputs!C93,0)</f>
        <v>0</v>
      </c>
      <c r="S29" s="152">
        <f t="array" ref="S29">IF(S$3=1,-INDEX(Inputs!$C:$C,MATCH("*Purchase Price*",Inputs!$B:$B,0))*Inputs!C93,0)</f>
        <v>0</v>
      </c>
      <c r="T29" s="152">
        <f t="array" ref="T29">IF(T$3=1,-INDEX(Inputs!$C:$C,MATCH("*Purchase Price*",Inputs!$B:$B,0))*Inputs!C93,0)</f>
        <v>0</v>
      </c>
      <c r="U29" s="152">
        <f t="array" ref="U29">IF(U$3=1,-INDEX(Inputs!$C:$C,MATCH("*Purchase Price*",Inputs!$B:$B,0))*Inputs!C93,0)</f>
        <v>0</v>
      </c>
      <c r="V29" s="152">
        <f t="array" ref="V29">IF(V$3=1,-INDEX(Inputs!$C:$C,MATCH("*Purchase Price*",Inputs!$B:$B,0))*Inputs!C93,0)</f>
        <v>0</v>
      </c>
      <c r="W29" s="152">
        <f t="array" ref="W29">IF(W$3=1,-INDEX(Inputs!$C:$C,MATCH("*Purchase Price*",Inputs!$B:$B,0))*Inputs!C93,0)</f>
        <v>0</v>
      </c>
      <c r="X29" s="152">
        <f t="array" ref="X29">IF(X$3=1,-INDEX(Inputs!$C:$C,MATCH("*Purchase Price*",Inputs!$B:$B,0))*Inputs!C93,0)</f>
        <v>0</v>
      </c>
      <c r="Y29" s="152">
        <f t="array" ref="Y29">IF(Y$3=1,-INDEX(Inputs!$C:$C,MATCH("*Purchase Price*",Inputs!$B:$B,0))*Inputs!C93,0)</f>
        <v>0</v>
      </c>
      <c r="Z29" s="152">
        <f t="array" ref="Z29">IF(Z$3=1,-INDEX(Inputs!$C:$C,MATCH("*Purchase Price*",Inputs!$B:$B,0))*Inputs!C93,0)</f>
        <v>0</v>
      </c>
      <c r="AA29" s="152">
        <f t="array" ref="AA29">IF(AA$3=1,-INDEX(Inputs!$C:$C,MATCH("*Purchase Price*",Inputs!$B:$B,0))*Inputs!C93,0)</f>
        <v>0</v>
      </c>
      <c r="AB29" s="152">
        <f t="array" ref="AB29">IF(AB$3=1,-INDEX(Inputs!$C:$C,MATCH("*Purchase Price*",Inputs!$B:$B,0))*Inputs!C93,0)</f>
        <v>0</v>
      </c>
      <c r="AC29" s="152">
        <f t="array" ref="AC29">IF(AC$3=1,-INDEX(Inputs!$C:$C,MATCH("*Purchase Price*",Inputs!$B:$B,0))*Inputs!C93,0)</f>
        <v>0</v>
      </c>
      <c r="AD29" s="152">
        <f t="array" ref="AD29">IF(AD$3=1,-INDEX(Inputs!$C:$C,MATCH("*Purchase Price*",Inputs!$B:$B,0))*Inputs!C93,0)</f>
        <v>0</v>
      </c>
      <c r="AE29" s="152">
        <f t="array" ref="AE29">IF(AE$3=1,-INDEX(Inputs!$C:$C,MATCH("*Purchase Price*",Inputs!$B:$B,0))*Inputs!C93,0)</f>
        <v>0</v>
      </c>
      <c r="AF29" s="152">
        <f t="array" ref="AF29">IF(AF$3=1,-INDEX(Inputs!$C:$C,MATCH("*Purchase Price*",Inputs!$B:$B,0))*Inputs!C93,0)</f>
        <v>0</v>
      </c>
      <c r="AG29" s="152">
        <f t="array" ref="AG29">IF(AG$3=1,-INDEX(Inputs!$C:$C,MATCH("*Purchase Price*",Inputs!$B:$B,0))*Inputs!C93,0)</f>
        <v>0</v>
      </c>
      <c r="AH29" s="152">
        <f t="array" ref="AH29">IF(AH$3=1,-INDEX(Inputs!$C:$C,MATCH("*Purchase Price*",Inputs!$B:$B,0))*Inputs!C93,0)</f>
        <v>0</v>
      </c>
      <c r="AI29" s="152">
        <f t="array" ref="AI29">IF(AI$3=1,-INDEX(Inputs!$C:$C,MATCH("*Purchase Price*",Inputs!$B:$B,0))*Inputs!C93,0)</f>
        <v>0</v>
      </c>
      <c r="AJ29" s="152">
        <f t="array" ref="AJ29">IF(AJ$3=1,-INDEX(Inputs!$C:$C,MATCH("*Purchase Price*",Inputs!$B:$B,0))*Inputs!C93,0)</f>
        <v>0</v>
      </c>
      <c r="AK29" s="152">
        <f t="array" ref="AK29">IF(AK$3=1,-INDEX(Inputs!$C:$C,MATCH("*Purchase Price*",Inputs!$B:$B,0))*Inputs!C93,0)</f>
        <v>0</v>
      </c>
      <c r="AL29" s="152">
        <f t="array" ref="AL29">IF(AL$3=1,-INDEX(Inputs!$C:$C,MATCH("*Purchase Price*",Inputs!$B:$B,0))*Inputs!C93,0)</f>
        <v>0</v>
      </c>
      <c r="AM29" s="152">
        <f t="array" ref="AM29">IF(AM$3=1,-INDEX(Inputs!$C:$C,MATCH("*Purchase Price*",Inputs!$B:$B,0))*Inputs!C93,0)</f>
        <v>0</v>
      </c>
      <c r="AN29" s="152">
        <f t="array" ref="AN29">IF(AN$3=1,-INDEX(Inputs!$C:$C,MATCH("*Purchase Price*",Inputs!$B:$B,0))*Inputs!C93,0)</f>
        <v>0</v>
      </c>
      <c r="AO29" s="152">
        <f t="array" ref="AO29">IF(AO$3=1,-INDEX(Inputs!$C:$C,MATCH("*Purchase Price*",Inputs!$B:$B,0))*Inputs!C93,0)</f>
        <v>0</v>
      </c>
      <c r="AP29" s="152">
        <f t="array" ref="AP29">IF(AP$3=1,-INDEX(Inputs!$C:$C,MATCH("*Purchase Price*",Inputs!$B:$B,0))*Inputs!C93,0)</f>
        <v>0</v>
      </c>
      <c r="AQ29" s="152">
        <f t="array" ref="AQ29">IF(AQ$3=1,-INDEX(Inputs!$C:$C,MATCH("*Purchase Price*",Inputs!$B:$B,0))*Inputs!C93,0)</f>
        <v>0</v>
      </c>
      <c r="AR29" s="152">
        <f t="array" ref="AR29">IF(AR$3=1,-INDEX(Inputs!$C:$C,MATCH("*Purchase Price*",Inputs!$B:$B,0))*Inputs!C93,0)</f>
        <v>0</v>
      </c>
      <c r="AS29" s="152">
        <f t="array" ref="AS29">IF(AS$3=1,-INDEX(Inputs!$C:$C,MATCH("*Purchase Price*",Inputs!$B:$B,0))*Inputs!C93,0)</f>
        <v>0</v>
      </c>
      <c r="AT29" s="152">
        <f t="array" ref="AT29">IF(AT$3=1,-INDEX(Inputs!$C:$C,MATCH("*Purchase Price*",Inputs!$B:$B,0))*Inputs!C93,0)</f>
        <v>0</v>
      </c>
      <c r="AU29" s="152">
        <f t="array" ref="AU29">IF(AU$3=1,-INDEX(Inputs!$C:$C,MATCH("*Purchase Price*",Inputs!$B:$B,0))*Inputs!C93,0)</f>
        <v>0</v>
      </c>
      <c r="AV29" s="152">
        <f t="array" ref="AV29">IF(AV$3=1,-INDEX(Inputs!$C:$C,MATCH("*Purchase Price*",Inputs!$B:$B,0))*Inputs!C93,0)</f>
        <v>0</v>
      </c>
      <c r="AW29" s="152">
        <f t="array" ref="AW29">IF(AW$3=1,-INDEX(Inputs!$C:$C,MATCH("*Purchase Price*",Inputs!$B:$B,0))*Inputs!C93,0)</f>
        <v>0</v>
      </c>
      <c r="AX29" s="152">
        <f t="array" ref="AX29">IF(AX$3=1,-INDEX(Inputs!$C:$C,MATCH("*Purchase Price*",Inputs!$B:$B,0))*Inputs!C93,0)</f>
        <v>0</v>
      </c>
      <c r="AY29" s="152">
        <f t="array" ref="AY29">IF(AY$3=1,-INDEX(Inputs!$C:$C,MATCH("*Purchase Price*",Inputs!$B:$B,0))*Inputs!C93,0)</f>
        <v>0</v>
      </c>
      <c r="AZ29" s="152">
        <f t="array" ref="AZ29">IF(AZ$3=1,-INDEX(Inputs!$C:$C,MATCH("*Purchase Price*",Inputs!$B:$B,0))*Inputs!C93,0)</f>
        <v>0</v>
      </c>
      <c r="BA29" s="152">
        <f t="array" ref="BA29">IF(BA$3=1,-INDEX(Inputs!$C:$C,MATCH("*Purchase Price*",Inputs!$B:$B,0))*Inputs!C93,0)</f>
        <v>0</v>
      </c>
      <c r="BB29" s="152">
        <f t="array" ref="BB29">IF(BB$3=1,-INDEX(Inputs!$C:$C,MATCH("*Purchase Price*",Inputs!$B:$B,0))*Inputs!C93,0)</f>
        <v>0</v>
      </c>
      <c r="BC29" s="152">
        <f t="array" ref="BC29">IF(BC$3=1,-INDEX(Inputs!$C:$C,MATCH("*Purchase Price*",Inputs!$B:$B,0))*Inputs!C93,0)</f>
        <v>0</v>
      </c>
      <c r="BD29" s="152">
        <f t="array" ref="BD29">IF(BD$3=1,-INDEX(Inputs!$C:$C,MATCH("*Purchase Price*",Inputs!$B:$B,0))*Inputs!C93,0)</f>
        <v>0</v>
      </c>
      <c r="BE29" s="152">
        <f t="array" ref="BE29">IF(BE$3=1,-INDEX(Inputs!$C:$C,MATCH("*Purchase Price*",Inputs!$B:$B,0))*Inputs!C93,0)</f>
        <v>0</v>
      </c>
      <c r="BF29" s="152">
        <f t="array" ref="BF29">IF(BF$3=1,-INDEX(Inputs!$C:$C,MATCH("*Purchase Price*",Inputs!$B:$B,0))*Inputs!C93,0)</f>
        <v>0</v>
      </c>
      <c r="BG29" s="152">
        <f t="array" ref="BG29">IF(BG$3=1,-INDEX(Inputs!$C:$C,MATCH("*Purchase Price*",Inputs!$B:$B,0))*Inputs!C93,0)</f>
        <v>0</v>
      </c>
      <c r="BH29" s="152">
        <f t="array" ref="BH29">IF(BH$3=1,-INDEX(Inputs!$C:$C,MATCH("*Purchase Price*",Inputs!$B:$B,0))*Inputs!C93,0)</f>
        <v>0</v>
      </c>
      <c r="BI29" s="152">
        <f t="array" ref="BI29">IF(BI$3=1,-INDEX(Inputs!$C:$C,MATCH("*Purchase Price*",Inputs!$B:$B,0))*Inputs!C93,0)</f>
        <v>0</v>
      </c>
      <c r="BJ29" s="152">
        <f t="array" ref="BJ29">IF(BJ$3=1,-INDEX(Inputs!$C:$C,MATCH("*Purchase Price*",Inputs!$B:$B,0))*Inputs!C93,0)</f>
        <v>0</v>
      </c>
      <c r="BK29" s="152">
        <f t="array" ref="BK29">IF(BK$3=1,-INDEX(Inputs!$C:$C,MATCH("*Purchase Price*",Inputs!$B:$B,0))*Inputs!C93,0)</f>
        <v>0</v>
      </c>
      <c r="BL29" s="152">
        <f t="array" ref="BL29">IF(BL$3=1,-INDEX(Inputs!$C:$C,MATCH("*Purchase Price*",Inputs!$B:$B,0))*Inputs!C93,0)</f>
        <v>0</v>
      </c>
      <c r="BM29" s="152">
        <f t="array" ref="BM29">IF(BM$3=1,-INDEX(Inputs!$C:$C,MATCH("*Purchase Price*",Inputs!$B:$B,0))*Inputs!C93,0)</f>
        <v>0</v>
      </c>
      <c r="BN29" s="152">
        <f t="array" ref="BN29">IF(BN$3=1,-INDEX(Inputs!$C:$C,MATCH("*Purchase Price*",Inputs!$B:$B,0))*Inputs!C93,0)</f>
        <v>0</v>
      </c>
      <c r="BO29" s="152">
        <f t="array" ref="BO29">IF(BO$3=1,-INDEX(Inputs!$C:$C,MATCH("*Purchase Price*",Inputs!$B:$B,0))*Inputs!C93,0)</f>
        <v>0</v>
      </c>
      <c r="BP29" s="152">
        <f t="array" ref="BP29">IF(BP$3=1,-INDEX(Inputs!$C:$C,MATCH("*Purchase Price*",Inputs!$B:$B,0))*Inputs!C93,0)</f>
        <v>0</v>
      </c>
      <c r="BQ29" s="152">
        <f t="array" ref="BQ29">IF(BQ$3=1,-INDEX(Inputs!$C:$C,MATCH("*Purchase Price*",Inputs!$B:$B,0))*Inputs!C93,0)</f>
        <v>0</v>
      </c>
      <c r="BR29" s="152">
        <f t="array" ref="BR29">IF(BR$3=1,-INDEX(Inputs!$C:$C,MATCH("*Purchase Price*",Inputs!$B:$B,0))*Inputs!C93,0)</f>
        <v>0</v>
      </c>
      <c r="BS29" s="152">
        <f t="array" ref="BS29">IF(BS$3=1,-INDEX(Inputs!$C:$C,MATCH("*Purchase Price*",Inputs!$B:$B,0))*Inputs!C93,0)</f>
        <v>0</v>
      </c>
      <c r="BT29" s="152">
        <f t="array" ref="BT29">IF(BT$3=1,-INDEX(Inputs!$C:$C,MATCH("*Purchase Price*",Inputs!$B:$B,0))*Inputs!C93,0)</f>
        <v>0</v>
      </c>
      <c r="BU29" s="152">
        <f t="array" ref="BU29">IF(BU$3=1,-INDEX(Inputs!$C:$C,MATCH("*Purchase Price*",Inputs!$B:$B,0))*Inputs!C93,0)</f>
        <v>0</v>
      </c>
      <c r="BV29" s="152">
        <f t="array" ref="BV29">IF(BV$3=1,-INDEX(Inputs!$C:$C,MATCH("*Purchase Price*",Inputs!$B:$B,0))*Inputs!C93,0)</f>
        <v>0</v>
      </c>
      <c r="BW29" s="152">
        <f t="array" ref="BW29">IF(BW$3=1,-INDEX(Inputs!$C:$C,MATCH("*Purchase Price*",Inputs!$B:$B,0))*Inputs!C93,0)</f>
        <v>0</v>
      </c>
      <c r="BX29" s="152">
        <f t="array" ref="BX29">IF(BX$3=1,-INDEX(Inputs!$C:$C,MATCH("*Purchase Price*",Inputs!$B:$B,0))*Inputs!C93,0)</f>
        <v>0</v>
      </c>
      <c r="BY29" s="152">
        <f t="array" ref="BY29">IF(BY$3=1,-INDEX(Inputs!$C:$C,MATCH("*Purchase Price*",Inputs!$B:$B,0))*Inputs!C93,0)</f>
        <v>0</v>
      </c>
      <c r="BZ29" s="152">
        <f t="array" ref="BZ29">IF(BZ$3=1,-INDEX(Inputs!$C:$C,MATCH("*Purchase Price*",Inputs!$B:$B,0))*Inputs!C93,0)</f>
        <v>0</v>
      </c>
      <c r="CA29" s="152">
        <f t="array" ref="CA29">IF(CA$3=1,-INDEX(Inputs!$C:$C,MATCH("*Purchase Price*",Inputs!$B:$B,0))*Inputs!C93,0)</f>
        <v>0</v>
      </c>
      <c r="CB29" s="152">
        <f t="array" ref="CB29">IF(CB$3=1,-INDEX(Inputs!$C:$C,MATCH("*Purchase Price*",Inputs!$B:$B,0))*Inputs!C93,0)</f>
        <v>0</v>
      </c>
      <c r="CC29" s="152">
        <f t="array" ref="CC29">IF(CC$3=1,-INDEX(Inputs!$C:$C,MATCH("*Purchase Price*",Inputs!$B:$B,0))*Inputs!C93,0)</f>
        <v>0</v>
      </c>
      <c r="CD29" s="152">
        <f t="array" ref="CD29">IF(CD$3=1,-INDEX(Inputs!$C:$C,MATCH("*Purchase Price*",Inputs!$B:$B,0))*Inputs!C93,0)</f>
        <v>0</v>
      </c>
      <c r="CE29" s="152">
        <f t="array" ref="CE29">IF(CE$3=1,-INDEX(Inputs!$C:$C,MATCH("*Purchase Price*",Inputs!$B:$B,0))*Inputs!C93,0)</f>
        <v>0</v>
      </c>
      <c r="CF29" s="152">
        <f t="array" ref="CF29">IF(CF$3=1,-INDEX(Inputs!$C:$C,MATCH("*Purchase Price*",Inputs!$B:$B,0))*Inputs!C93,0)</f>
        <v>0</v>
      </c>
      <c r="CG29" s="152">
        <f t="array" ref="CG29">IF(CG$3=1,-INDEX(Inputs!$C:$C,MATCH("*Purchase Price*",Inputs!$B:$B,0))*Inputs!C93,0)</f>
        <v>0</v>
      </c>
      <c r="CH29" s="152">
        <f t="array" ref="CH29">IF(CH$3=1,-INDEX(Inputs!$C:$C,MATCH("*Purchase Price*",Inputs!$B:$B,0))*Inputs!C93,0)</f>
        <v>0</v>
      </c>
      <c r="CI29" s="152">
        <f t="array" ref="CI29">IF(CI$3=1,-INDEX(Inputs!$C:$C,MATCH("*Purchase Price*",Inputs!$B:$B,0))*Inputs!C93,0)</f>
        <v>0</v>
      </c>
      <c r="CJ29" s="152">
        <f t="array" ref="CJ29">IF(CJ$3=1,-INDEX(Inputs!$C:$C,MATCH("*Purchase Price*",Inputs!$B:$B,0))*Inputs!C93,0)</f>
        <v>0</v>
      </c>
      <c r="CK29" s="152">
        <f t="array" ref="CK29">IF(CK$3=1,-INDEX(Inputs!$C:$C,MATCH("*Purchase Price*",Inputs!$B:$B,0))*Inputs!C93,0)</f>
        <v>0</v>
      </c>
      <c r="CL29" s="152">
        <f t="array" ref="CL29">IF(CL$3=1,-INDEX(Inputs!$C:$C,MATCH("*Purchase Price*",Inputs!$B:$B,0))*Inputs!C93,0)</f>
        <v>0</v>
      </c>
      <c r="CM29" s="152">
        <f t="array" ref="CM29">IF(CM$3=1,-INDEX(Inputs!$C:$C,MATCH("*Purchase Price*",Inputs!$B:$B,0))*Inputs!C93,0)</f>
        <v>0</v>
      </c>
      <c r="CN29" s="152">
        <f t="array" ref="CN29">IF(CN$3=1,-INDEX(Inputs!$C:$C,MATCH("*Purchase Price*",Inputs!$B:$B,0))*Inputs!C93,0)</f>
        <v>0</v>
      </c>
      <c r="CO29" s="152">
        <f t="array" ref="CO29">IF(CO$3=1,-INDEX(Inputs!$C:$C,MATCH("*Purchase Price*",Inputs!$B:$B,0))*Inputs!C93,0)</f>
        <v>0</v>
      </c>
      <c r="CP29" s="152">
        <f t="array" ref="CP29">IF(CP$3=1,-INDEX(Inputs!$C:$C,MATCH("*Purchase Price*",Inputs!$B:$B,0))*Inputs!C93,0)</f>
        <v>0</v>
      </c>
      <c r="CQ29" s="152">
        <f t="array" ref="CQ29">IF(CQ$3=1,-INDEX(Inputs!$C:$C,MATCH("*Purchase Price*",Inputs!$B:$B,0))*Inputs!C93,0)</f>
        <v>0</v>
      </c>
      <c r="CR29" s="152">
        <f t="array" ref="CR29">IF(CR$3=1,-INDEX(Inputs!$C:$C,MATCH("*Purchase Price*",Inputs!$B:$B,0))*Inputs!C93,0)</f>
        <v>0</v>
      </c>
      <c r="CS29" s="152">
        <f t="array" ref="CS29">IF(CS$3=1,-INDEX(Inputs!$C:$C,MATCH("*Purchase Price*",Inputs!$B:$B,0))*Inputs!C93,0)</f>
        <v>0</v>
      </c>
      <c r="CT29" s="152">
        <f t="array" ref="CT29">IF(CT$3=1,-INDEX(Inputs!$C:$C,MATCH("*Purchase Price*",Inputs!$B:$B,0))*Inputs!C93,0)</f>
        <v>0</v>
      </c>
      <c r="CU29" s="152">
        <f t="array" ref="CU29">IF(CU$3=1,-INDEX(Inputs!$C:$C,MATCH("*Purchase Price*",Inputs!$B:$B,0))*Inputs!C93,0)</f>
        <v>0</v>
      </c>
      <c r="CV29" s="152">
        <f t="array" ref="CV29">IF(CV$3=1,-INDEX(Inputs!$C:$C,MATCH("*Purchase Price*",Inputs!$B:$B,0))*Inputs!C93,0)</f>
        <v>0</v>
      </c>
      <c r="CW29" s="152">
        <f t="array" ref="CW29">IF(CW$3=1,-INDEX(Inputs!$C:$C,MATCH("*Purchase Price*",Inputs!$B:$B,0))*Inputs!C93,0)</f>
        <v>0</v>
      </c>
      <c r="CX29" s="152">
        <f t="array" ref="CX29">IF(CX$3=1,-INDEX(Inputs!$C:$C,MATCH("*Purchase Price*",Inputs!$B:$B,0))*Inputs!C93,0)</f>
        <v>0</v>
      </c>
      <c r="CY29" s="152">
        <f t="array" ref="CY29">IF(CY$3=1,-INDEX(Inputs!$C:$C,MATCH("*Purchase Price*",Inputs!$B:$B,0))*Inputs!C93,0)</f>
        <v>0</v>
      </c>
      <c r="CZ29" s="152">
        <f t="array" ref="CZ29">IF(CZ$3=1,-INDEX(Inputs!$C:$C,MATCH("*Purchase Price*",Inputs!$B:$B,0))*Inputs!C93,0)</f>
        <v>0</v>
      </c>
      <c r="DA29" s="152">
        <f t="array" ref="DA29">IF(DA$3=1,-INDEX(Inputs!$C:$C,MATCH("*Purchase Price*",Inputs!$B:$B,0))*Inputs!C93,0)</f>
        <v>0</v>
      </c>
      <c r="DB29" s="152">
        <f t="array" ref="DB29">IF(DB$3=1,-INDEX(Inputs!$C:$C,MATCH("*Purchase Price*",Inputs!$B:$B,0))*Inputs!C93,0)</f>
        <v>0</v>
      </c>
      <c r="DC29" s="152">
        <f t="array" ref="DC29">IF(DC$3=1,-INDEX(Inputs!$C:$C,MATCH("*Purchase Price*",Inputs!$B:$B,0))*Inputs!C93,0)</f>
        <v>0</v>
      </c>
      <c r="DD29" s="152">
        <f t="array" ref="DD29">IF(DD$3=1,-INDEX(Inputs!$C:$C,MATCH("*Purchase Price*",Inputs!$B:$B,0))*Inputs!C93,0)</f>
        <v>0</v>
      </c>
      <c r="DE29" s="152">
        <f t="array" ref="DE29">IF(DE$3=1,-INDEX(Inputs!$C:$C,MATCH("*Purchase Price*",Inputs!$B:$B,0))*Inputs!C93,0)</f>
        <v>0</v>
      </c>
      <c r="DF29" s="152">
        <f t="array" ref="DF29">IF(DF$3=1,-INDEX(Inputs!$C:$C,MATCH("*Purchase Price*",Inputs!$B:$B,0))*Inputs!C93,0)</f>
        <v>0</v>
      </c>
      <c r="DG29" s="152">
        <f t="array" ref="DG29">IF(DG$3=1,-INDEX(Inputs!$C:$C,MATCH("*Purchase Price*",Inputs!$B:$B,0))*Inputs!C93,0)</f>
        <v>0</v>
      </c>
      <c r="DH29" s="152">
        <f t="array" ref="DH29">IF(DH$3=1,-INDEX(Inputs!$C:$C,MATCH("*Purchase Price*",Inputs!$B:$B,0))*Inputs!C93,0)</f>
        <v>0</v>
      </c>
      <c r="DI29" s="152">
        <f t="array" ref="DI29">IF(DI$3=1,-INDEX(Inputs!$C:$C,MATCH("*Purchase Price*",Inputs!$B:$B,0))*Inputs!C93,0)</f>
        <v>0</v>
      </c>
      <c r="DJ29" s="152">
        <f t="array" ref="DJ29">IF(DJ$3=1,-INDEX(Inputs!$C:$C,MATCH("*Purchase Price*",Inputs!$B:$B,0))*Inputs!C93,0)</f>
        <v>0</v>
      </c>
      <c r="DK29" s="152">
        <f t="array" ref="DK29">IF(DK$3=1,-INDEX(Inputs!$C:$C,MATCH("*Purchase Price*",Inputs!$B:$B,0))*Inputs!C93,0)</f>
        <v>0</v>
      </c>
      <c r="DL29" s="152">
        <f t="array" ref="DL29">IF(DL$3=1,-INDEX(Inputs!$C:$C,MATCH("*Purchase Price*",Inputs!$B:$B,0))*Inputs!C93,0)</f>
        <v>0</v>
      </c>
      <c r="DM29" s="152">
        <f t="array" ref="DM29">IF(DM$3=1,-INDEX(Inputs!$C:$C,MATCH("*Purchase Price*",Inputs!$B:$B,0))*Inputs!C93,0)</f>
        <v>0</v>
      </c>
      <c r="DN29" s="152">
        <f t="array" ref="DN29">IF(DN$3=1,-INDEX(Inputs!$C:$C,MATCH("*Purchase Price*",Inputs!$B:$B,0))*Inputs!C93,0)</f>
        <v>0</v>
      </c>
      <c r="DO29" s="152">
        <f t="array" ref="DO29">IF(DO$3=1,-INDEX(Inputs!$C:$C,MATCH("*Purchase Price*",Inputs!$B:$B,0))*Inputs!C93,0)</f>
        <v>0</v>
      </c>
      <c r="DP29" s="152">
        <f t="array" ref="DP29">IF(DP$3=1,-INDEX(Inputs!$C:$C,MATCH("*Purchase Price*",Inputs!$B:$B,0))*Inputs!C93,0)</f>
        <v>0</v>
      </c>
      <c r="DQ29" s="152">
        <f t="array" ref="DQ29">IF(DQ$3=1,-INDEX(Inputs!$C:$C,MATCH("*Purchase Price*",Inputs!$B:$B,0))*Inputs!C93,0)</f>
        <v>0</v>
      </c>
      <c r="DR29" s="152">
        <f t="array" ref="DR29">IF(DR$3=1,-INDEX(Inputs!$C:$C,MATCH("*Purchase Price*",Inputs!$B:$B,0))*Inputs!C93,0)</f>
        <v>0</v>
      </c>
      <c r="DS29" s="44">
        <f t="array" ref="DS29">IF(DS$3=1,-INDEX(Inputs!$C:$C,MATCH("*Purchase Price*",Inputs!$B:$B,0))*Inputs!C93,0)</f>
        <v>0</v>
      </c>
    </row>
    <row r="30" ht="16.5" customHeight="1">
      <c r="A30" s="44"/>
      <c r="B30" s="51" t="s">
        <v>329</v>
      </c>
      <c r="C30" s="164">
        <f t="array" ref="C30">IF(C$3=1,-INDEX(Inputs!$D:$D,MATCH("*Due Diligence Costs*",Inputs!$B:$B,0)),0)</f>
        <v>0</v>
      </c>
      <c r="D30" s="152" t="s">
        <v>330</v>
      </c>
      <c r="E30" s="152" t="s">
        <v>330</v>
      </c>
      <c r="F30" s="152" t="s">
        <v>330</v>
      </c>
      <c r="G30" s="152" t="s">
        <v>330</v>
      </c>
      <c r="H30" s="152" t="s">
        <v>330</v>
      </c>
      <c r="I30" s="152" t="s">
        <v>330</v>
      </c>
      <c r="J30" s="152" t="s">
        <v>330</v>
      </c>
      <c r="K30" s="152" t="s">
        <v>330</v>
      </c>
      <c r="L30" s="152" t="s">
        <v>330</v>
      </c>
      <c r="M30" s="152" t="s">
        <v>330</v>
      </c>
      <c r="N30" s="152" t="s">
        <v>330</v>
      </c>
      <c r="O30" s="152" t="s">
        <v>330</v>
      </c>
      <c r="P30" s="152" t="s">
        <v>330</v>
      </c>
      <c r="Q30" s="152" t="s">
        <v>330</v>
      </c>
      <c r="R30" s="152" t="s">
        <v>330</v>
      </c>
      <c r="S30" s="152" t="s">
        <v>330</v>
      </c>
      <c r="T30" s="152" t="s">
        <v>330</v>
      </c>
      <c r="U30" s="152" t="s">
        <v>330</v>
      </c>
      <c r="V30" s="152" t="s">
        <v>330</v>
      </c>
      <c r="W30" s="152" t="s">
        <v>330</v>
      </c>
      <c r="X30" s="152" t="s">
        <v>330</v>
      </c>
      <c r="Y30" s="152" t="s">
        <v>330</v>
      </c>
      <c r="Z30" s="152" t="s">
        <v>330</v>
      </c>
      <c r="AA30" s="152" t="s">
        <v>330</v>
      </c>
      <c r="AB30" s="152" t="s">
        <v>330</v>
      </c>
      <c r="AC30" s="152" t="s">
        <v>330</v>
      </c>
      <c r="AD30" s="152" t="s">
        <v>330</v>
      </c>
      <c r="AE30" s="152" t="s">
        <v>330</v>
      </c>
      <c r="AF30" s="152" t="s">
        <v>330</v>
      </c>
      <c r="AG30" s="152" t="s">
        <v>330</v>
      </c>
      <c r="AH30" s="152" t="s">
        <v>330</v>
      </c>
      <c r="AI30" s="152" t="s">
        <v>330</v>
      </c>
      <c r="AJ30" s="152" t="s">
        <v>330</v>
      </c>
      <c r="AK30" s="152" t="s">
        <v>330</v>
      </c>
      <c r="AL30" s="152" t="s">
        <v>330</v>
      </c>
      <c r="AM30" s="152" t="s">
        <v>330</v>
      </c>
      <c r="AN30" s="152" t="s">
        <v>330</v>
      </c>
      <c r="AO30" s="152" t="s">
        <v>330</v>
      </c>
      <c r="AP30" s="152" t="s">
        <v>330</v>
      </c>
      <c r="AQ30" s="152" t="s">
        <v>330</v>
      </c>
      <c r="AR30" s="152" t="s">
        <v>330</v>
      </c>
      <c r="AS30" s="152" t="s">
        <v>330</v>
      </c>
      <c r="AT30" s="152" t="s">
        <v>330</v>
      </c>
      <c r="AU30" s="152" t="s">
        <v>330</v>
      </c>
      <c r="AV30" s="152" t="s">
        <v>330</v>
      </c>
      <c r="AW30" s="152" t="s">
        <v>330</v>
      </c>
      <c r="AX30" s="152" t="s">
        <v>330</v>
      </c>
      <c r="AY30" s="152" t="s">
        <v>330</v>
      </c>
      <c r="AZ30" s="152" t="s">
        <v>330</v>
      </c>
      <c r="BA30" s="152" t="s">
        <v>330</v>
      </c>
      <c r="BB30" s="152" t="s">
        <v>330</v>
      </c>
      <c r="BC30" s="152" t="s">
        <v>330</v>
      </c>
      <c r="BD30" s="152" t="s">
        <v>330</v>
      </c>
      <c r="BE30" s="152" t="s">
        <v>330</v>
      </c>
      <c r="BF30" s="152" t="s">
        <v>330</v>
      </c>
      <c r="BG30" s="152" t="s">
        <v>330</v>
      </c>
      <c r="BH30" s="152" t="s">
        <v>330</v>
      </c>
      <c r="BI30" s="152" t="s">
        <v>330</v>
      </c>
      <c r="BJ30" s="152" t="s">
        <v>330</v>
      </c>
      <c r="BK30" s="152" t="s">
        <v>330</v>
      </c>
      <c r="BL30" s="152" t="s">
        <v>330</v>
      </c>
      <c r="BM30" s="152" t="s">
        <v>330</v>
      </c>
      <c r="BN30" s="152" t="s">
        <v>330</v>
      </c>
      <c r="BO30" s="152" t="s">
        <v>330</v>
      </c>
      <c r="BP30" s="152" t="s">
        <v>330</v>
      </c>
      <c r="BQ30" s="152" t="s">
        <v>330</v>
      </c>
      <c r="BR30" s="152" t="s">
        <v>330</v>
      </c>
      <c r="BS30" s="152" t="s">
        <v>330</v>
      </c>
      <c r="BT30" s="152" t="s">
        <v>330</v>
      </c>
      <c r="BU30" s="152" t="s">
        <v>330</v>
      </c>
      <c r="BV30" s="152" t="s">
        <v>330</v>
      </c>
      <c r="BW30" s="152" t="s">
        <v>330</v>
      </c>
      <c r="BX30" s="152" t="s">
        <v>330</v>
      </c>
      <c r="BY30" s="152" t="s">
        <v>330</v>
      </c>
      <c r="BZ30" s="152" t="s">
        <v>330</v>
      </c>
      <c r="CA30" s="152" t="s">
        <v>330</v>
      </c>
      <c r="CB30" s="152" t="s">
        <v>330</v>
      </c>
      <c r="CC30" s="152" t="s">
        <v>330</v>
      </c>
      <c r="CD30" s="152" t="s">
        <v>330</v>
      </c>
      <c r="CE30" s="152" t="s">
        <v>330</v>
      </c>
      <c r="CF30" s="152" t="s">
        <v>330</v>
      </c>
      <c r="CG30" s="152" t="s">
        <v>330</v>
      </c>
      <c r="CH30" s="152" t="s">
        <v>330</v>
      </c>
      <c r="CI30" s="152" t="s">
        <v>330</v>
      </c>
      <c r="CJ30" s="152" t="s">
        <v>330</v>
      </c>
      <c r="CK30" s="152" t="s">
        <v>330</v>
      </c>
      <c r="CL30" s="152" t="s">
        <v>330</v>
      </c>
      <c r="CM30" s="152" t="s">
        <v>330</v>
      </c>
      <c r="CN30" s="152" t="s">
        <v>330</v>
      </c>
      <c r="CO30" s="152" t="s">
        <v>330</v>
      </c>
      <c r="CP30" s="152" t="s">
        <v>330</v>
      </c>
      <c r="CQ30" s="152" t="s">
        <v>330</v>
      </c>
      <c r="CR30" s="152" t="s">
        <v>330</v>
      </c>
      <c r="CS30" s="152" t="s">
        <v>330</v>
      </c>
      <c r="CT30" s="152" t="s">
        <v>330</v>
      </c>
      <c r="CU30" s="152" t="s">
        <v>330</v>
      </c>
      <c r="CV30" s="152" t="s">
        <v>330</v>
      </c>
      <c r="CW30" s="152" t="s">
        <v>330</v>
      </c>
      <c r="CX30" s="152" t="s">
        <v>330</v>
      </c>
      <c r="CY30" s="152" t="s">
        <v>330</v>
      </c>
      <c r="CZ30" s="152" t="s">
        <v>330</v>
      </c>
      <c r="DA30" s="152" t="s">
        <v>330</v>
      </c>
      <c r="DB30" s="152" t="s">
        <v>330</v>
      </c>
      <c r="DC30" s="152" t="s">
        <v>330</v>
      </c>
      <c r="DD30" s="152" t="s">
        <v>330</v>
      </c>
      <c r="DE30" s="152" t="s">
        <v>330</v>
      </c>
      <c r="DF30" s="152" t="s">
        <v>330</v>
      </c>
      <c r="DG30" s="152" t="s">
        <v>330</v>
      </c>
      <c r="DH30" s="152" t="s">
        <v>330</v>
      </c>
      <c r="DI30" s="152" t="s">
        <v>330</v>
      </c>
      <c r="DJ30" s="152" t="s">
        <v>330</v>
      </c>
      <c r="DK30" s="152" t="s">
        <v>330</v>
      </c>
      <c r="DL30" s="152" t="s">
        <v>330</v>
      </c>
      <c r="DM30" s="152" t="s">
        <v>330</v>
      </c>
      <c r="DN30" s="152" t="s">
        <v>330</v>
      </c>
      <c r="DO30" s="152" t="s">
        <v>330</v>
      </c>
      <c r="DP30" s="152" t="s">
        <v>330</v>
      </c>
      <c r="DQ30" s="152" t="s">
        <v>330</v>
      </c>
      <c r="DR30" s="152" t="s">
        <v>330</v>
      </c>
      <c r="DS30" s="44" t="s">
        <v>330</v>
      </c>
    </row>
    <row r="31" ht="16.5" customHeight="1">
      <c r="A31" s="44"/>
      <c r="B31" s="51" t="s">
        <v>331</v>
      </c>
      <c r="C31" s="165">
        <f t="array" ref="C31">IF(C$3=1,-INDEX(Inputs!$D:$D,MATCH("*Loan Origination Costs*",Inputs!$B:$B,0)),0)</f>
        <v>0</v>
      </c>
      <c r="D31" s="152" t="s">
        <v>330</v>
      </c>
      <c r="E31" s="152" t="s">
        <v>330</v>
      </c>
      <c r="F31" s="152" t="s">
        <v>330</v>
      </c>
      <c r="G31" s="152" t="s">
        <v>330</v>
      </c>
      <c r="H31" s="152" t="s">
        <v>330</v>
      </c>
      <c r="I31" s="152" t="s">
        <v>330</v>
      </c>
      <c r="J31" s="152" t="s">
        <v>330</v>
      </c>
      <c r="K31" s="152" t="s">
        <v>330</v>
      </c>
      <c r="L31" s="152" t="s">
        <v>330</v>
      </c>
      <c r="M31" s="152" t="s">
        <v>330</v>
      </c>
      <c r="N31" s="152" t="s">
        <v>330</v>
      </c>
      <c r="O31" s="152" t="s">
        <v>330</v>
      </c>
      <c r="P31" s="152" t="s">
        <v>330</v>
      </c>
      <c r="Q31" s="152" t="s">
        <v>330</v>
      </c>
      <c r="R31" s="152" t="s">
        <v>330</v>
      </c>
      <c r="S31" s="152" t="s">
        <v>330</v>
      </c>
      <c r="T31" s="152" t="s">
        <v>330</v>
      </c>
      <c r="U31" s="152" t="s">
        <v>330</v>
      </c>
      <c r="V31" s="152" t="s">
        <v>330</v>
      </c>
      <c r="W31" s="152" t="s">
        <v>330</v>
      </c>
      <c r="X31" s="152" t="s">
        <v>330</v>
      </c>
      <c r="Y31" s="152" t="s">
        <v>330</v>
      </c>
      <c r="Z31" s="152" t="s">
        <v>330</v>
      </c>
      <c r="AA31" s="152" t="s">
        <v>330</v>
      </c>
      <c r="AB31" s="152" t="s">
        <v>330</v>
      </c>
      <c r="AC31" s="152" t="s">
        <v>330</v>
      </c>
      <c r="AD31" s="152" t="s">
        <v>330</v>
      </c>
      <c r="AE31" s="152" t="s">
        <v>330</v>
      </c>
      <c r="AF31" s="152" t="s">
        <v>330</v>
      </c>
      <c r="AG31" s="152" t="s">
        <v>330</v>
      </c>
      <c r="AH31" s="152" t="s">
        <v>330</v>
      </c>
      <c r="AI31" s="152" t="s">
        <v>330</v>
      </c>
      <c r="AJ31" s="152" t="s">
        <v>330</v>
      </c>
      <c r="AK31" s="152" t="s">
        <v>330</v>
      </c>
      <c r="AL31" s="152" t="s">
        <v>330</v>
      </c>
      <c r="AM31" s="152" t="s">
        <v>330</v>
      </c>
      <c r="AN31" s="152" t="s">
        <v>330</v>
      </c>
      <c r="AO31" s="152" t="s">
        <v>330</v>
      </c>
      <c r="AP31" s="152" t="s">
        <v>330</v>
      </c>
      <c r="AQ31" s="152" t="s">
        <v>330</v>
      </c>
      <c r="AR31" s="152" t="s">
        <v>330</v>
      </c>
      <c r="AS31" s="152" t="s">
        <v>330</v>
      </c>
      <c r="AT31" s="152" t="s">
        <v>330</v>
      </c>
      <c r="AU31" s="152" t="s">
        <v>330</v>
      </c>
      <c r="AV31" s="152" t="s">
        <v>330</v>
      </c>
      <c r="AW31" s="152" t="s">
        <v>330</v>
      </c>
      <c r="AX31" s="152" t="s">
        <v>330</v>
      </c>
      <c r="AY31" s="152" t="s">
        <v>330</v>
      </c>
      <c r="AZ31" s="152" t="s">
        <v>330</v>
      </c>
      <c r="BA31" s="152" t="s">
        <v>330</v>
      </c>
      <c r="BB31" s="152" t="s">
        <v>330</v>
      </c>
      <c r="BC31" s="152" t="s">
        <v>330</v>
      </c>
      <c r="BD31" s="152" t="s">
        <v>330</v>
      </c>
      <c r="BE31" s="152" t="s">
        <v>330</v>
      </c>
      <c r="BF31" s="152" t="s">
        <v>330</v>
      </c>
      <c r="BG31" s="152" t="s">
        <v>330</v>
      </c>
      <c r="BH31" s="152" t="s">
        <v>330</v>
      </c>
      <c r="BI31" s="152" t="s">
        <v>330</v>
      </c>
      <c r="BJ31" s="152" t="s">
        <v>330</v>
      </c>
      <c r="BK31" s="152" t="s">
        <v>330</v>
      </c>
      <c r="BL31" s="152" t="s">
        <v>330</v>
      </c>
      <c r="BM31" s="152" t="s">
        <v>330</v>
      </c>
      <c r="BN31" s="152" t="s">
        <v>330</v>
      </c>
      <c r="BO31" s="152" t="s">
        <v>330</v>
      </c>
      <c r="BP31" s="152" t="s">
        <v>330</v>
      </c>
      <c r="BQ31" s="152" t="s">
        <v>330</v>
      </c>
      <c r="BR31" s="152" t="s">
        <v>330</v>
      </c>
      <c r="BS31" s="152" t="s">
        <v>330</v>
      </c>
      <c r="BT31" s="152" t="s">
        <v>330</v>
      </c>
      <c r="BU31" s="152" t="s">
        <v>330</v>
      </c>
      <c r="BV31" s="152" t="s">
        <v>330</v>
      </c>
      <c r="BW31" s="152" t="s">
        <v>330</v>
      </c>
      <c r="BX31" s="152" t="s">
        <v>330</v>
      </c>
      <c r="BY31" s="152" t="s">
        <v>330</v>
      </c>
      <c r="BZ31" s="152" t="s">
        <v>330</v>
      </c>
      <c r="CA31" s="152" t="s">
        <v>330</v>
      </c>
      <c r="CB31" s="152" t="s">
        <v>330</v>
      </c>
      <c r="CC31" s="152" t="s">
        <v>330</v>
      </c>
      <c r="CD31" s="152" t="s">
        <v>330</v>
      </c>
      <c r="CE31" s="152" t="s">
        <v>330</v>
      </c>
      <c r="CF31" s="152" t="s">
        <v>330</v>
      </c>
      <c r="CG31" s="152" t="s">
        <v>330</v>
      </c>
      <c r="CH31" s="152" t="s">
        <v>330</v>
      </c>
      <c r="CI31" s="152" t="s">
        <v>330</v>
      </c>
      <c r="CJ31" s="152" t="s">
        <v>330</v>
      </c>
      <c r="CK31" s="152" t="s">
        <v>330</v>
      </c>
      <c r="CL31" s="152" t="s">
        <v>330</v>
      </c>
      <c r="CM31" s="152" t="s">
        <v>330</v>
      </c>
      <c r="CN31" s="152" t="s">
        <v>330</v>
      </c>
      <c r="CO31" s="152" t="s">
        <v>330</v>
      </c>
      <c r="CP31" s="152" t="s">
        <v>330</v>
      </c>
      <c r="CQ31" s="152" t="s">
        <v>330</v>
      </c>
      <c r="CR31" s="152" t="s">
        <v>330</v>
      </c>
      <c r="CS31" s="152" t="s">
        <v>330</v>
      </c>
      <c r="CT31" s="152" t="s">
        <v>330</v>
      </c>
      <c r="CU31" s="152" t="s">
        <v>330</v>
      </c>
      <c r="CV31" s="152" t="s">
        <v>330</v>
      </c>
      <c r="CW31" s="152" t="s">
        <v>330</v>
      </c>
      <c r="CX31" s="152" t="s">
        <v>330</v>
      </c>
      <c r="CY31" s="152" t="s">
        <v>330</v>
      </c>
      <c r="CZ31" s="152" t="s">
        <v>330</v>
      </c>
      <c r="DA31" s="152" t="s">
        <v>330</v>
      </c>
      <c r="DB31" s="152" t="s">
        <v>330</v>
      </c>
      <c r="DC31" s="152" t="s">
        <v>330</v>
      </c>
      <c r="DD31" s="152" t="s">
        <v>330</v>
      </c>
      <c r="DE31" s="152" t="s">
        <v>330</v>
      </c>
      <c r="DF31" s="152" t="s">
        <v>330</v>
      </c>
      <c r="DG31" s="152" t="s">
        <v>330</v>
      </c>
      <c r="DH31" s="152" t="s">
        <v>330</v>
      </c>
      <c r="DI31" s="152" t="s">
        <v>330</v>
      </c>
      <c r="DJ31" s="152" t="s">
        <v>330</v>
      </c>
      <c r="DK31" s="152" t="s">
        <v>330</v>
      </c>
      <c r="DL31" s="152" t="s">
        <v>330</v>
      </c>
      <c r="DM31" s="152" t="s">
        <v>330</v>
      </c>
      <c r="DN31" s="152" t="s">
        <v>330</v>
      </c>
      <c r="DO31" s="152" t="s">
        <v>330</v>
      </c>
      <c r="DP31" s="152" t="s">
        <v>330</v>
      </c>
      <c r="DQ31" s="152" t="s">
        <v>330</v>
      </c>
      <c r="DR31" s="152" t="s">
        <v>330</v>
      </c>
      <c r="DS31" s="44" t="s">
        <v>330</v>
      </c>
    </row>
    <row r="32" ht="15.75" customHeight="1">
      <c r="A32" s="44"/>
      <c r="B32" s="158" t="s">
        <v>332</v>
      </c>
      <c r="C32" s="166">
        <f t="shared" ref="C32:DS32" si="5">SUM(C26:C31)</f>
        <v>-5000</v>
      </c>
      <c r="D32" s="166">
        <f t="shared" si="5"/>
        <v>0</v>
      </c>
      <c r="E32" s="166">
        <f t="shared" si="5"/>
        <v>0</v>
      </c>
      <c r="F32" s="166">
        <f t="shared" si="5"/>
        <v>0</v>
      </c>
      <c r="G32" s="166">
        <f t="shared" si="5"/>
        <v>0</v>
      </c>
      <c r="H32" s="166">
        <f t="shared" si="5"/>
        <v>0</v>
      </c>
      <c r="I32" s="166">
        <f t="shared" si="5"/>
        <v>0</v>
      </c>
      <c r="J32" s="166">
        <f t="shared" si="5"/>
        <v>0</v>
      </c>
      <c r="K32" s="166">
        <f t="shared" si="5"/>
        <v>0</v>
      </c>
      <c r="L32" s="166">
        <f t="shared" si="5"/>
        <v>0</v>
      </c>
      <c r="M32" s="166">
        <f t="shared" si="5"/>
        <v>0</v>
      </c>
      <c r="N32" s="166">
        <f t="shared" si="5"/>
        <v>0</v>
      </c>
      <c r="O32" s="166">
        <f t="shared" si="5"/>
        <v>0</v>
      </c>
      <c r="P32" s="166">
        <f t="shared" si="5"/>
        <v>0</v>
      </c>
      <c r="Q32" s="166">
        <f t="shared" si="5"/>
        <v>0</v>
      </c>
      <c r="R32" s="166">
        <f t="shared" si="5"/>
        <v>0</v>
      </c>
      <c r="S32" s="166">
        <f t="shared" si="5"/>
        <v>0</v>
      </c>
      <c r="T32" s="166">
        <f t="shared" si="5"/>
        <v>0</v>
      </c>
      <c r="U32" s="166">
        <f t="shared" si="5"/>
        <v>0</v>
      </c>
      <c r="V32" s="166">
        <f t="shared" si="5"/>
        <v>0</v>
      </c>
      <c r="W32" s="166">
        <f t="shared" si="5"/>
        <v>0</v>
      </c>
      <c r="X32" s="166">
        <f t="shared" si="5"/>
        <v>0</v>
      </c>
      <c r="Y32" s="166">
        <f t="shared" si="5"/>
        <v>0</v>
      </c>
      <c r="Z32" s="166">
        <f t="shared" si="5"/>
        <v>0</v>
      </c>
      <c r="AA32" s="166">
        <f t="shared" si="5"/>
        <v>0</v>
      </c>
      <c r="AB32" s="166">
        <f t="shared" si="5"/>
        <v>0</v>
      </c>
      <c r="AC32" s="166">
        <f t="shared" si="5"/>
        <v>0</v>
      </c>
      <c r="AD32" s="166">
        <f t="shared" si="5"/>
        <v>0</v>
      </c>
      <c r="AE32" s="166">
        <f t="shared" si="5"/>
        <v>0</v>
      </c>
      <c r="AF32" s="166">
        <f t="shared" si="5"/>
        <v>0</v>
      </c>
      <c r="AG32" s="166">
        <f t="shared" si="5"/>
        <v>0</v>
      </c>
      <c r="AH32" s="166">
        <f t="shared" si="5"/>
        <v>0</v>
      </c>
      <c r="AI32" s="166">
        <f t="shared" si="5"/>
        <v>0</v>
      </c>
      <c r="AJ32" s="166">
        <f t="shared" si="5"/>
        <v>0</v>
      </c>
      <c r="AK32" s="166">
        <f t="shared" si="5"/>
        <v>0</v>
      </c>
      <c r="AL32" s="166">
        <f t="shared" si="5"/>
        <v>0</v>
      </c>
      <c r="AM32" s="166">
        <f t="shared" si="5"/>
        <v>0</v>
      </c>
      <c r="AN32" s="166">
        <f t="shared" si="5"/>
        <v>0</v>
      </c>
      <c r="AO32" s="166">
        <f t="shared" si="5"/>
        <v>0</v>
      </c>
      <c r="AP32" s="166">
        <f t="shared" si="5"/>
        <v>0</v>
      </c>
      <c r="AQ32" s="166">
        <f t="shared" si="5"/>
        <v>0</v>
      </c>
      <c r="AR32" s="166">
        <f t="shared" si="5"/>
        <v>0</v>
      </c>
      <c r="AS32" s="166">
        <f t="shared" si="5"/>
        <v>0</v>
      </c>
      <c r="AT32" s="166">
        <f t="shared" si="5"/>
        <v>0</v>
      </c>
      <c r="AU32" s="166">
        <f t="shared" si="5"/>
        <v>0</v>
      </c>
      <c r="AV32" s="166">
        <f t="shared" si="5"/>
        <v>0</v>
      </c>
      <c r="AW32" s="166">
        <f t="shared" si="5"/>
        <v>0</v>
      </c>
      <c r="AX32" s="166">
        <f t="shared" si="5"/>
        <v>0</v>
      </c>
      <c r="AY32" s="166">
        <f t="shared" si="5"/>
        <v>0</v>
      </c>
      <c r="AZ32" s="166">
        <f t="shared" si="5"/>
        <v>0</v>
      </c>
      <c r="BA32" s="166">
        <f t="shared" si="5"/>
        <v>0</v>
      </c>
      <c r="BB32" s="166">
        <f t="shared" si="5"/>
        <v>0</v>
      </c>
      <c r="BC32" s="166">
        <f t="shared" si="5"/>
        <v>0</v>
      </c>
      <c r="BD32" s="166">
        <f t="shared" si="5"/>
        <v>0</v>
      </c>
      <c r="BE32" s="166">
        <f t="shared" si="5"/>
        <v>0</v>
      </c>
      <c r="BF32" s="166">
        <f t="shared" si="5"/>
        <v>0</v>
      </c>
      <c r="BG32" s="166">
        <f t="shared" si="5"/>
        <v>0</v>
      </c>
      <c r="BH32" s="166">
        <f t="shared" si="5"/>
        <v>0</v>
      </c>
      <c r="BI32" s="166">
        <f t="shared" si="5"/>
        <v>0</v>
      </c>
      <c r="BJ32" s="166">
        <f t="shared" si="5"/>
        <v>0</v>
      </c>
      <c r="BK32" s="166">
        <f t="shared" si="5"/>
        <v>0</v>
      </c>
      <c r="BL32" s="166">
        <f t="shared" si="5"/>
        <v>0</v>
      </c>
      <c r="BM32" s="166">
        <f t="shared" si="5"/>
        <v>0</v>
      </c>
      <c r="BN32" s="166">
        <f t="shared" si="5"/>
        <v>0</v>
      </c>
      <c r="BO32" s="166">
        <f t="shared" si="5"/>
        <v>0</v>
      </c>
      <c r="BP32" s="166">
        <f t="shared" si="5"/>
        <v>0</v>
      </c>
      <c r="BQ32" s="166">
        <f t="shared" si="5"/>
        <v>0</v>
      </c>
      <c r="BR32" s="166">
        <f t="shared" si="5"/>
        <v>0</v>
      </c>
      <c r="BS32" s="166">
        <f t="shared" si="5"/>
        <v>0</v>
      </c>
      <c r="BT32" s="166">
        <f t="shared" si="5"/>
        <v>0</v>
      </c>
      <c r="BU32" s="166">
        <f t="shared" si="5"/>
        <v>0</v>
      </c>
      <c r="BV32" s="166">
        <f t="shared" si="5"/>
        <v>0</v>
      </c>
      <c r="BW32" s="166">
        <f t="shared" si="5"/>
        <v>0</v>
      </c>
      <c r="BX32" s="166">
        <f t="shared" si="5"/>
        <v>0</v>
      </c>
      <c r="BY32" s="166">
        <f t="shared" si="5"/>
        <v>0</v>
      </c>
      <c r="BZ32" s="166">
        <f t="shared" si="5"/>
        <v>0</v>
      </c>
      <c r="CA32" s="166">
        <f t="shared" si="5"/>
        <v>0</v>
      </c>
      <c r="CB32" s="166">
        <f t="shared" si="5"/>
        <v>0</v>
      </c>
      <c r="CC32" s="166">
        <f t="shared" si="5"/>
        <v>0</v>
      </c>
      <c r="CD32" s="166">
        <f t="shared" si="5"/>
        <v>0</v>
      </c>
      <c r="CE32" s="166">
        <f t="shared" si="5"/>
        <v>0</v>
      </c>
      <c r="CF32" s="166">
        <f t="shared" si="5"/>
        <v>0</v>
      </c>
      <c r="CG32" s="166">
        <f t="shared" si="5"/>
        <v>0</v>
      </c>
      <c r="CH32" s="166">
        <f t="shared" si="5"/>
        <v>0</v>
      </c>
      <c r="CI32" s="166">
        <f t="shared" si="5"/>
        <v>0</v>
      </c>
      <c r="CJ32" s="166">
        <f t="shared" si="5"/>
        <v>0</v>
      </c>
      <c r="CK32" s="166">
        <f t="shared" si="5"/>
        <v>0</v>
      </c>
      <c r="CL32" s="166">
        <f t="shared" si="5"/>
        <v>0</v>
      </c>
      <c r="CM32" s="166">
        <f t="shared" si="5"/>
        <v>0</v>
      </c>
      <c r="CN32" s="166">
        <f t="shared" si="5"/>
        <v>0</v>
      </c>
      <c r="CO32" s="166">
        <f t="shared" si="5"/>
        <v>0</v>
      </c>
      <c r="CP32" s="166">
        <f t="shared" si="5"/>
        <v>0</v>
      </c>
      <c r="CQ32" s="166">
        <f t="shared" si="5"/>
        <v>0</v>
      </c>
      <c r="CR32" s="166">
        <f t="shared" si="5"/>
        <v>0</v>
      </c>
      <c r="CS32" s="166">
        <f t="shared" si="5"/>
        <v>0</v>
      </c>
      <c r="CT32" s="166">
        <f t="shared" si="5"/>
        <v>0</v>
      </c>
      <c r="CU32" s="166">
        <f t="shared" si="5"/>
        <v>0</v>
      </c>
      <c r="CV32" s="166">
        <f t="shared" si="5"/>
        <v>0</v>
      </c>
      <c r="CW32" s="166">
        <f t="shared" si="5"/>
        <v>0</v>
      </c>
      <c r="CX32" s="166">
        <f t="shared" si="5"/>
        <v>0</v>
      </c>
      <c r="CY32" s="166">
        <f t="shared" si="5"/>
        <v>0</v>
      </c>
      <c r="CZ32" s="166">
        <f t="shared" si="5"/>
        <v>0</v>
      </c>
      <c r="DA32" s="166">
        <f t="shared" si="5"/>
        <v>0</v>
      </c>
      <c r="DB32" s="166">
        <f t="shared" si="5"/>
        <v>0</v>
      </c>
      <c r="DC32" s="166">
        <f t="shared" si="5"/>
        <v>0</v>
      </c>
      <c r="DD32" s="166">
        <f t="shared" si="5"/>
        <v>0</v>
      </c>
      <c r="DE32" s="166">
        <f t="shared" si="5"/>
        <v>0</v>
      </c>
      <c r="DF32" s="166">
        <f t="shared" si="5"/>
        <v>0</v>
      </c>
      <c r="DG32" s="166">
        <f t="shared" si="5"/>
        <v>0</v>
      </c>
      <c r="DH32" s="166">
        <f t="shared" si="5"/>
        <v>0</v>
      </c>
      <c r="DI32" s="166">
        <f t="shared" si="5"/>
        <v>0</v>
      </c>
      <c r="DJ32" s="166">
        <f t="shared" si="5"/>
        <v>0</v>
      </c>
      <c r="DK32" s="166">
        <f t="shared" si="5"/>
        <v>0</v>
      </c>
      <c r="DL32" s="166">
        <f t="shared" si="5"/>
        <v>0</v>
      </c>
      <c r="DM32" s="166">
        <f t="shared" si="5"/>
        <v>0</v>
      </c>
      <c r="DN32" s="166">
        <f t="shared" si="5"/>
        <v>0</v>
      </c>
      <c r="DO32" s="166">
        <f t="shared" si="5"/>
        <v>0</v>
      </c>
      <c r="DP32" s="166">
        <f t="shared" si="5"/>
        <v>0</v>
      </c>
      <c r="DQ32" s="166">
        <f t="shared" si="5"/>
        <v>0</v>
      </c>
      <c r="DR32" s="166">
        <f t="shared" si="5"/>
        <v>0</v>
      </c>
      <c r="DS32" s="44">
        <f t="shared" si="5"/>
        <v>0</v>
      </c>
    </row>
    <row r="33" ht="18.75" customHeight="1">
      <c r="A33" s="44"/>
      <c r="B33" s="44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67"/>
      <c r="DM33" s="167"/>
      <c r="DN33" s="167"/>
      <c r="DO33" s="167"/>
      <c r="DP33" s="167"/>
      <c r="DQ33" s="167"/>
      <c r="DR33" s="167"/>
      <c r="DS33" s="44"/>
    </row>
    <row r="34" ht="15.75" customHeight="1">
      <c r="A34" s="44"/>
      <c r="B34" s="158" t="s">
        <v>333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44"/>
    </row>
    <row r="35" ht="16.5" customHeight="1">
      <c r="A35" s="44"/>
      <c r="B35" s="96" t="s">
        <v>334</v>
      </c>
      <c r="C35" s="169">
        <f t="array" ref="C35">IF(C$3=INDEX(Inputs!$C:$C,MATCH("End Year",Inputs!$B:$B,0))*12,Inputs!C101,0)</f>
        <v>0</v>
      </c>
      <c r="D35" s="169">
        <f t="array" ref="D35">IF(D$3=INDEX(Inputs!$C:$C,MATCH("End Year",Inputs!$B:$B,0))*12,Inputs!C101,0)</f>
        <v>0</v>
      </c>
      <c r="E35" s="169">
        <f t="array" ref="E35">IF(E$3=INDEX(Inputs!$C:$C,MATCH("End Year",Inputs!$B:$B,0))*12,Inputs!C101,0)</f>
        <v>0</v>
      </c>
      <c r="F35" s="169">
        <f t="array" ref="F35">IF(F$3=INDEX(Inputs!$C:$C,MATCH("End Year",Inputs!$B:$B,0))*12,Inputs!C101,0)</f>
        <v>0</v>
      </c>
      <c r="G35" s="169">
        <f t="array" ref="G35">IF(G$3=INDEX(Inputs!$C:$C,MATCH("End Year",Inputs!$B:$B,0))*12,Inputs!C101,0)</f>
        <v>0</v>
      </c>
      <c r="H35" s="169">
        <f t="array" ref="H35">IF(H$3=INDEX(Inputs!$C:$C,MATCH("End Year",Inputs!$B:$B,0))*12,Inputs!C101,0)</f>
        <v>0</v>
      </c>
      <c r="I35" s="169">
        <f t="array" ref="I35">IF(I$3=INDEX(Inputs!$C:$C,MATCH("End Year",Inputs!$B:$B,0))*12,Inputs!C101,0)</f>
        <v>0</v>
      </c>
      <c r="J35" s="169">
        <f t="array" ref="J35">IF(J$3=INDEX(Inputs!$C:$C,MATCH("End Year",Inputs!$B:$B,0))*12,Inputs!C101,0)</f>
        <v>0</v>
      </c>
      <c r="K35" s="169">
        <f t="array" ref="K35">IF(K$3=INDEX(Inputs!$C:$C,MATCH("End Year",Inputs!$B:$B,0))*12,Inputs!C101,0)</f>
        <v>0</v>
      </c>
      <c r="L35" s="169">
        <f t="array" ref="L35">IF(L$3=INDEX(Inputs!$C:$C,MATCH("End Year",Inputs!$B:$B,0))*12,Inputs!C101,0)</f>
        <v>0</v>
      </c>
      <c r="M35" s="169">
        <f t="array" ref="M35">IF(M$3=INDEX(Inputs!$C:$C,MATCH("End Year",Inputs!$B:$B,0))*12,Inputs!C101,0)</f>
        <v>0</v>
      </c>
      <c r="N35" s="169">
        <f t="array" ref="N35">IF(N$3=INDEX(Inputs!$C:$C,MATCH("End Year",Inputs!$B:$B,0))*12,Inputs!C101,0)</f>
        <v>0</v>
      </c>
      <c r="O35" s="169">
        <f t="array" ref="O35">IF(O$3=INDEX(Inputs!$C:$C,MATCH("End Year",Inputs!$B:$B,0))*12,Inputs!C101,0)</f>
        <v>0</v>
      </c>
      <c r="P35" s="169">
        <f t="array" ref="P35">IF(P$3=INDEX(Inputs!$C:$C,MATCH("End Year",Inputs!$B:$B,0))*12,Inputs!C101,0)</f>
        <v>0</v>
      </c>
      <c r="Q35" s="169">
        <f t="array" ref="Q35">IF(Q$3=INDEX(Inputs!$C:$C,MATCH("End Year",Inputs!$B:$B,0))*12,Inputs!C101,0)</f>
        <v>0</v>
      </c>
      <c r="R35" s="169">
        <f t="array" ref="R35">IF(R$3=INDEX(Inputs!$C:$C,MATCH("End Year",Inputs!$B:$B,0))*12,Inputs!C101,0)</f>
        <v>0</v>
      </c>
      <c r="S35" s="169">
        <f t="array" ref="S35">IF(S$3=INDEX(Inputs!$C:$C,MATCH("End Year",Inputs!$B:$B,0))*12,Inputs!C101,0)</f>
        <v>0</v>
      </c>
      <c r="T35" s="169">
        <f t="array" ref="T35">IF(T$3=INDEX(Inputs!$C:$C,MATCH("End Year",Inputs!$B:$B,0))*12,Inputs!C101,0)</f>
        <v>0</v>
      </c>
      <c r="U35" s="169">
        <f t="array" ref="U35">IF(U$3=INDEX(Inputs!$C:$C,MATCH("End Year",Inputs!$B:$B,0))*12,Inputs!C101,0)</f>
        <v>0</v>
      </c>
      <c r="V35" s="169">
        <f t="array" ref="V35">IF(V$3=INDEX(Inputs!$C:$C,MATCH("End Year",Inputs!$B:$B,0))*12,Inputs!C101,0)</f>
        <v>0</v>
      </c>
      <c r="W35" s="169">
        <f t="array" ref="W35">IF(W$3=INDEX(Inputs!$C:$C,MATCH("End Year",Inputs!$B:$B,0))*12,Inputs!C101,0)</f>
        <v>0</v>
      </c>
      <c r="X35" s="169">
        <f t="array" ref="X35">IF(X$3=INDEX(Inputs!$C:$C,MATCH("End Year",Inputs!$B:$B,0))*12,Inputs!C101,0)</f>
        <v>0</v>
      </c>
      <c r="Y35" s="169">
        <f t="array" ref="Y35">IF(Y$3=INDEX(Inputs!$C:$C,MATCH("End Year",Inputs!$B:$B,0))*12,Inputs!C101,0)</f>
        <v>0</v>
      </c>
      <c r="Z35" s="169">
        <f t="array" ref="Z35">IF(Z$3=INDEX(Inputs!$C:$C,MATCH("End Year",Inputs!$B:$B,0))*12,Inputs!C101,0)</f>
        <v>0</v>
      </c>
      <c r="AA35" s="169">
        <f t="array" ref="AA35">IF(AA$3=INDEX(Inputs!$C:$C,MATCH("End Year",Inputs!$B:$B,0))*12,Inputs!C101,0)</f>
        <v>0</v>
      </c>
      <c r="AB35" s="169">
        <f t="array" ref="AB35">IF(AB$3=INDEX(Inputs!$C:$C,MATCH("End Year",Inputs!$B:$B,0))*12,Inputs!C101,0)</f>
        <v>0</v>
      </c>
      <c r="AC35" s="169">
        <f t="array" ref="AC35">IF(AC$3=INDEX(Inputs!$C:$C,MATCH("End Year",Inputs!$B:$B,0))*12,Inputs!C101,0)</f>
        <v>0</v>
      </c>
      <c r="AD35" s="169">
        <f t="array" ref="AD35">IF(AD$3=INDEX(Inputs!$C:$C,MATCH("End Year",Inputs!$B:$B,0))*12,Inputs!C101,0)</f>
        <v>0</v>
      </c>
      <c r="AE35" s="169">
        <f t="array" ref="AE35">IF(AE$3=INDEX(Inputs!$C:$C,MATCH("End Year",Inputs!$B:$B,0))*12,Inputs!C101,0)</f>
        <v>0</v>
      </c>
      <c r="AF35" s="169">
        <f t="array" ref="AF35">IF(AF$3=INDEX(Inputs!$C:$C,MATCH("End Year",Inputs!$B:$B,0))*12,Inputs!C101,0)</f>
        <v>0</v>
      </c>
      <c r="AG35" s="169">
        <f t="array" ref="AG35">IF(AG$3=INDEX(Inputs!$C:$C,MATCH("End Year",Inputs!$B:$B,0))*12,Inputs!C101,0)</f>
        <v>0</v>
      </c>
      <c r="AH35" s="169">
        <f t="array" ref="AH35">IF(AH$3=INDEX(Inputs!$C:$C,MATCH("End Year",Inputs!$B:$B,0))*12,Inputs!C101,0)</f>
        <v>0</v>
      </c>
      <c r="AI35" s="169">
        <f t="array" ref="AI35">IF(AI$3=INDEX(Inputs!$C:$C,MATCH("End Year",Inputs!$B:$B,0))*12,Inputs!C101,0)</f>
        <v>0</v>
      </c>
      <c r="AJ35" s="169">
        <f t="array" ref="AJ35">IF(AJ$3=INDEX(Inputs!$C:$C,MATCH("End Year",Inputs!$B:$B,0))*12,Inputs!C101,0)</f>
        <v>0</v>
      </c>
      <c r="AK35" s="169">
        <f t="array" ref="AK35">IF(AK$3=INDEX(Inputs!$C:$C,MATCH("End Year",Inputs!$B:$B,0))*12,Inputs!C101,0)</f>
        <v>0</v>
      </c>
      <c r="AL35" s="169">
        <f t="array" ref="AL35">IF(AL$3=INDEX(Inputs!$C:$C,MATCH("End Year",Inputs!$B:$B,0))*12,Inputs!C101,0)</f>
        <v>0</v>
      </c>
      <c r="AM35" s="169">
        <f t="array" ref="AM35">IF(AM$3=INDEX(Inputs!$C:$C,MATCH("End Year",Inputs!$B:$B,0))*12,Inputs!C101,0)</f>
        <v>0</v>
      </c>
      <c r="AN35" s="169">
        <f t="array" ref="AN35">IF(AN$3=INDEX(Inputs!$C:$C,MATCH("End Year",Inputs!$B:$B,0))*12,Inputs!C101,0)</f>
        <v>0</v>
      </c>
      <c r="AO35" s="169">
        <f t="array" ref="AO35">IF(AO$3=INDEX(Inputs!$C:$C,MATCH("End Year",Inputs!$B:$B,0))*12,Inputs!C101,0)</f>
        <v>0</v>
      </c>
      <c r="AP35" s="169">
        <f t="array" ref="AP35">IF(AP$3=INDEX(Inputs!$C:$C,MATCH("End Year",Inputs!$B:$B,0))*12,Inputs!C101,0)</f>
        <v>0</v>
      </c>
      <c r="AQ35" s="169">
        <f t="array" ref="AQ35">IF(AQ$3=INDEX(Inputs!$C:$C,MATCH("End Year",Inputs!$B:$B,0))*12,Inputs!C101,0)</f>
        <v>0</v>
      </c>
      <c r="AR35" s="169">
        <f t="array" ref="AR35">IF(AR$3=INDEX(Inputs!$C:$C,MATCH("End Year",Inputs!$B:$B,0))*12,Inputs!C101,0)</f>
        <v>0</v>
      </c>
      <c r="AS35" s="169">
        <f t="array" ref="AS35">IF(AS$3=INDEX(Inputs!$C:$C,MATCH("End Year",Inputs!$B:$B,0))*12,Inputs!C101,0)</f>
        <v>0</v>
      </c>
      <c r="AT35" s="169">
        <f t="array" ref="AT35">IF(AT$3=INDEX(Inputs!$C:$C,MATCH("End Year",Inputs!$B:$B,0))*12,Inputs!C101,0)</f>
        <v>0</v>
      </c>
      <c r="AU35" s="169">
        <f t="array" ref="AU35">IF(AU$3=INDEX(Inputs!$C:$C,MATCH("End Year",Inputs!$B:$B,0))*12,Inputs!C101,0)</f>
        <v>0</v>
      </c>
      <c r="AV35" s="169">
        <f t="array" ref="AV35">IF(AV$3=INDEX(Inputs!$C:$C,MATCH("End Year",Inputs!$B:$B,0))*12,Inputs!C101,0)</f>
        <v>0</v>
      </c>
      <c r="AW35" s="169">
        <f t="array" ref="AW35">IF(AW$3=INDEX(Inputs!$C:$C,MATCH("End Year",Inputs!$B:$B,0))*12,Inputs!C101,0)</f>
        <v>0</v>
      </c>
      <c r="AX35" s="169">
        <f t="array" ref="AX35">IF(AX$3=INDEX(Inputs!$C:$C,MATCH("End Year",Inputs!$B:$B,0))*12,Inputs!C101,0)</f>
        <v>0</v>
      </c>
      <c r="AY35" s="169">
        <f t="array" ref="AY35">IF(AY$3=INDEX(Inputs!$C:$C,MATCH("End Year",Inputs!$B:$B,0))*12,Inputs!C101,0)</f>
        <v>0</v>
      </c>
      <c r="AZ35" s="169">
        <f t="array" ref="AZ35">IF(AZ$3=INDEX(Inputs!$C:$C,MATCH("End Year",Inputs!$B:$B,0))*12,Inputs!C101,0)</f>
        <v>0</v>
      </c>
      <c r="BA35" s="169">
        <f t="array" ref="BA35">IF(BA$3=INDEX(Inputs!$C:$C,MATCH("End Year",Inputs!$B:$B,0))*12,Inputs!C101,0)</f>
        <v>0</v>
      </c>
      <c r="BB35" s="169">
        <f t="array" ref="BB35">IF(BB$3=INDEX(Inputs!$C:$C,MATCH("End Year",Inputs!$B:$B,0))*12,Inputs!C101,0)</f>
        <v>0</v>
      </c>
      <c r="BC35" s="169">
        <f t="array" ref="BC35">IF(BC$3=INDEX(Inputs!$C:$C,MATCH("End Year",Inputs!$B:$B,0))*12,Inputs!C101,0)</f>
        <v>0</v>
      </c>
      <c r="BD35" s="169">
        <f t="array" ref="BD35">IF(BD$3=INDEX(Inputs!$C:$C,MATCH("End Year",Inputs!$B:$B,0))*12,Inputs!C101,0)</f>
        <v>0</v>
      </c>
      <c r="BE35" s="169">
        <f t="array" ref="BE35">IF(BE$3=INDEX(Inputs!$C:$C,MATCH("End Year",Inputs!$B:$B,0))*12,Inputs!C101,0)</f>
        <v>0</v>
      </c>
      <c r="BF35" s="169">
        <f t="array" ref="BF35">IF(BF$3=INDEX(Inputs!$C:$C,MATCH("End Year",Inputs!$B:$B,0))*12,Inputs!C101,0)</f>
        <v>0</v>
      </c>
      <c r="BG35" s="169">
        <f t="array" ref="BG35">IF(BG$3=INDEX(Inputs!$C:$C,MATCH("End Year",Inputs!$B:$B,0))*12,Inputs!C101,0)</f>
        <v>0</v>
      </c>
      <c r="BH35" s="169">
        <f t="array" ref="BH35">IF(BH$3=INDEX(Inputs!$C:$C,MATCH("End Year",Inputs!$B:$B,0))*12,Inputs!C101,0)</f>
        <v>0</v>
      </c>
      <c r="BI35" s="169">
        <f t="array" ref="BI35">IF(BI$3=INDEX(Inputs!$C:$C,MATCH("End Year",Inputs!$B:$B,0))*12,Inputs!C101,0)</f>
        <v>0</v>
      </c>
      <c r="BJ35" s="169">
        <f t="array" ref="BJ35">IF(BJ$3=INDEX(Inputs!$C:$C,MATCH("End Year",Inputs!$B:$B,0))*12,Inputs!C101,0)</f>
        <v>0</v>
      </c>
      <c r="BK35" s="169">
        <f t="array" ref="BK35">IF(BK$3=INDEX(Inputs!$C:$C,MATCH("End Year",Inputs!$B:$B,0))*12,Inputs!C101,0)</f>
        <v>0</v>
      </c>
      <c r="BL35" s="169">
        <f t="array" ref="BL35">IF(BL$3=INDEX(Inputs!$C:$C,MATCH("End Year",Inputs!$B:$B,0))*12,Inputs!C101,0)</f>
        <v>0</v>
      </c>
      <c r="BM35" s="169">
        <f t="array" ref="BM35">IF(BM$3=INDEX(Inputs!$C:$C,MATCH("End Year",Inputs!$B:$B,0))*12,Inputs!C101,0)</f>
        <v>0</v>
      </c>
      <c r="BN35" s="169">
        <f t="array" ref="BN35">IF(BN$3=INDEX(Inputs!$C:$C,MATCH("End Year",Inputs!$B:$B,0))*12,Inputs!C101,0)</f>
        <v>0</v>
      </c>
      <c r="BO35" s="169">
        <f t="array" ref="BO35">IF(BO$3=INDEX(Inputs!$C:$C,MATCH("End Year",Inputs!$B:$B,0))*12,Inputs!C101,0)</f>
        <v>0</v>
      </c>
      <c r="BP35" s="169">
        <f t="array" ref="BP35">IF(BP$3=INDEX(Inputs!$C:$C,MATCH("End Year",Inputs!$B:$B,0))*12,Inputs!C101,0)</f>
        <v>0</v>
      </c>
      <c r="BQ35" s="169">
        <f t="array" ref="BQ35">IF(BQ$3=INDEX(Inputs!$C:$C,MATCH("End Year",Inputs!$B:$B,0))*12,Inputs!C101,0)</f>
        <v>0</v>
      </c>
      <c r="BR35" s="169">
        <f t="array" ref="BR35">IF(BR$3=INDEX(Inputs!$C:$C,MATCH("End Year",Inputs!$B:$B,0))*12,Inputs!C101,0)</f>
        <v>0</v>
      </c>
      <c r="BS35" s="169">
        <f t="array" ref="BS35">IF(BS$3=INDEX(Inputs!$C:$C,MATCH("End Year",Inputs!$B:$B,0))*12,Inputs!C101,0)</f>
        <v>0</v>
      </c>
      <c r="BT35" s="169">
        <f t="array" ref="BT35">IF(BT$3=INDEX(Inputs!$C:$C,MATCH("End Year",Inputs!$B:$B,0))*12,Inputs!C101,0)</f>
        <v>0</v>
      </c>
      <c r="BU35" s="169">
        <f t="array" ref="BU35">IF(BU$3=INDEX(Inputs!$C:$C,MATCH("End Year",Inputs!$B:$B,0))*12,Inputs!C101,0)</f>
        <v>0</v>
      </c>
      <c r="BV35" s="169">
        <f t="array" ref="BV35">IF(BV$3=INDEX(Inputs!$C:$C,MATCH("End Year",Inputs!$B:$B,0))*12,Inputs!C101,0)</f>
        <v>0</v>
      </c>
      <c r="BW35" s="169">
        <f t="array" ref="BW35">IF(BW$3=INDEX(Inputs!$C:$C,MATCH("End Year",Inputs!$B:$B,0))*12,Inputs!C101,0)</f>
        <v>0</v>
      </c>
      <c r="BX35" s="169">
        <f t="array" ref="BX35">IF(BX$3=INDEX(Inputs!$C:$C,MATCH("End Year",Inputs!$B:$B,0))*12,Inputs!C101,0)</f>
        <v>0</v>
      </c>
      <c r="BY35" s="169">
        <f t="array" ref="BY35">IF(BY$3=INDEX(Inputs!$C:$C,MATCH("End Year",Inputs!$B:$B,0))*12,Inputs!C101,0)</f>
        <v>0</v>
      </c>
      <c r="BZ35" s="169">
        <f t="array" ref="BZ35">IF(BZ$3=INDEX(Inputs!$C:$C,MATCH("End Year",Inputs!$B:$B,0))*12,Inputs!C101,0)</f>
        <v>0</v>
      </c>
      <c r="CA35" s="169">
        <f t="array" ref="CA35">IF(CA$3=INDEX(Inputs!$C:$C,MATCH("End Year",Inputs!$B:$B,0))*12,Inputs!C101,0)</f>
        <v>0</v>
      </c>
      <c r="CB35" s="169">
        <f t="array" ref="CB35">IF(CB$3=INDEX(Inputs!$C:$C,MATCH("End Year",Inputs!$B:$B,0))*12,Inputs!C101,0)</f>
        <v>0</v>
      </c>
      <c r="CC35" s="169">
        <f t="array" ref="CC35">IF(CC$3=INDEX(Inputs!$C:$C,MATCH("End Year",Inputs!$B:$B,0))*12,Inputs!C101,0)</f>
        <v>0</v>
      </c>
      <c r="CD35" s="169">
        <f t="array" ref="CD35">IF(CD$3=INDEX(Inputs!$C:$C,MATCH("End Year",Inputs!$B:$B,0))*12,Inputs!C101,0)</f>
        <v>0</v>
      </c>
      <c r="CE35" s="169">
        <f t="array" ref="CE35">IF(CE$3=INDEX(Inputs!$C:$C,MATCH("End Year",Inputs!$B:$B,0))*12,Inputs!C101,0)</f>
        <v>0</v>
      </c>
      <c r="CF35" s="169">
        <f t="array" ref="CF35">IF(CF$3=INDEX(Inputs!$C:$C,MATCH("End Year",Inputs!$B:$B,0))*12,Inputs!C101,0)</f>
        <v>0</v>
      </c>
      <c r="CG35" s="169">
        <f t="array" ref="CG35">IF(CG$3=INDEX(Inputs!$C:$C,MATCH("End Year",Inputs!$B:$B,0))*12,Inputs!C101,0)</f>
        <v>0</v>
      </c>
      <c r="CH35" s="169">
        <f t="array" ref="CH35">IF(CH$3=INDEX(Inputs!$C:$C,MATCH("End Year",Inputs!$B:$B,0))*12,Inputs!C101,0)</f>
        <v>0</v>
      </c>
      <c r="CI35" s="169">
        <f t="array" ref="CI35">IF(CI$3=INDEX(Inputs!$C:$C,MATCH("End Year",Inputs!$B:$B,0))*12,Inputs!C101,0)</f>
        <v>0</v>
      </c>
      <c r="CJ35" s="169">
        <f t="array" ref="CJ35">IF(CJ$3=INDEX(Inputs!$C:$C,MATCH("End Year",Inputs!$B:$B,0))*12,Inputs!C101,0)</f>
        <v>0</v>
      </c>
      <c r="CK35" s="169">
        <f t="array" ref="CK35">IF(CK$3=INDEX(Inputs!$C:$C,MATCH("End Year",Inputs!$B:$B,0))*12,Inputs!C101,0)</f>
        <v>0</v>
      </c>
      <c r="CL35" s="169">
        <f t="array" ref="CL35">IF(CL$3=INDEX(Inputs!$C:$C,MATCH("End Year",Inputs!$B:$B,0))*12,Inputs!C101,0)</f>
        <v>0</v>
      </c>
      <c r="CM35" s="169">
        <f t="array" ref="CM35">IF(CM$3=INDEX(Inputs!$C:$C,MATCH("End Year",Inputs!$B:$B,0))*12,Inputs!C101,0)</f>
        <v>0</v>
      </c>
      <c r="CN35" s="169">
        <f t="array" ref="CN35">IF(CN$3=INDEX(Inputs!$C:$C,MATCH("End Year",Inputs!$B:$B,0))*12,Inputs!C101,0)</f>
        <v>0</v>
      </c>
      <c r="CO35" s="169">
        <f t="array" ref="CO35">IF(CO$3=INDEX(Inputs!$C:$C,MATCH("End Year",Inputs!$B:$B,0))*12,Inputs!C101,0)</f>
        <v>0</v>
      </c>
      <c r="CP35" s="169">
        <f t="array" ref="CP35">IF(CP$3=INDEX(Inputs!$C:$C,MATCH("End Year",Inputs!$B:$B,0))*12,Inputs!C101,0)</f>
        <v>0</v>
      </c>
      <c r="CQ35" s="169">
        <f t="array" ref="CQ35">IF(CQ$3=INDEX(Inputs!$C:$C,MATCH("End Year",Inputs!$B:$B,0))*12,Inputs!C101,0)</f>
        <v>0</v>
      </c>
      <c r="CR35" s="169">
        <f t="array" ref="CR35">IF(CR$3=INDEX(Inputs!$C:$C,MATCH("End Year",Inputs!$B:$B,0))*12,Inputs!C101,0)</f>
        <v>0</v>
      </c>
      <c r="CS35" s="169">
        <f t="array" ref="CS35">IF(CS$3=INDEX(Inputs!$C:$C,MATCH("End Year",Inputs!$B:$B,0))*12,Inputs!C101,0)</f>
        <v>0</v>
      </c>
      <c r="CT35" s="169">
        <f t="array" ref="CT35">IF(CT$3=INDEX(Inputs!$C:$C,MATCH("End Year",Inputs!$B:$B,0))*12,Inputs!C101,0)</f>
        <v>0</v>
      </c>
      <c r="CU35" s="169">
        <f t="array" ref="CU35">IF(CU$3=INDEX(Inputs!$C:$C,MATCH("End Year",Inputs!$B:$B,0))*12,Inputs!C101,0)</f>
        <v>0</v>
      </c>
      <c r="CV35" s="169">
        <f t="array" ref="CV35">IF(CV$3=INDEX(Inputs!$C:$C,MATCH("End Year",Inputs!$B:$B,0))*12,Inputs!C101,0)</f>
        <v>0</v>
      </c>
      <c r="CW35" s="169">
        <f t="array" ref="CW35">IF(CW$3=INDEX(Inputs!$C:$C,MATCH("End Year",Inputs!$B:$B,0))*12,Inputs!C101,0)</f>
        <v>0</v>
      </c>
      <c r="CX35" s="169">
        <f t="array" ref="CX35">IF(CX$3=INDEX(Inputs!$C:$C,MATCH("End Year",Inputs!$B:$B,0))*12,Inputs!C101,0)</f>
        <v>0</v>
      </c>
      <c r="CY35" s="169">
        <f t="array" ref="CY35">IF(CY$3=INDEX(Inputs!$C:$C,MATCH("End Year",Inputs!$B:$B,0))*12,Inputs!C101,0)</f>
        <v>0</v>
      </c>
      <c r="CZ35" s="169">
        <f t="array" ref="CZ35">IF(CZ$3=INDEX(Inputs!$C:$C,MATCH("End Year",Inputs!$B:$B,0))*12,Inputs!C101,0)</f>
        <v>0</v>
      </c>
      <c r="DA35" s="169">
        <f t="array" ref="DA35">IF(DA$3=INDEX(Inputs!$C:$C,MATCH("End Year",Inputs!$B:$B,0))*12,Inputs!C101,0)</f>
        <v>0</v>
      </c>
      <c r="DB35" s="169">
        <f t="array" ref="DB35">IF(DB$3=INDEX(Inputs!$C:$C,MATCH("End Year",Inputs!$B:$B,0))*12,Inputs!C101,0)</f>
        <v>0</v>
      </c>
      <c r="DC35" s="169">
        <f t="array" ref="DC35">IF(DC$3=INDEX(Inputs!$C:$C,MATCH("End Year",Inputs!$B:$B,0))*12,Inputs!C101,0)</f>
        <v>0</v>
      </c>
      <c r="DD35" s="169">
        <f t="array" ref="DD35">IF(DD$3=INDEX(Inputs!$C:$C,MATCH("End Year",Inputs!$B:$B,0))*12,Inputs!C101,0)</f>
        <v>0</v>
      </c>
      <c r="DE35" s="169">
        <f t="array" ref="DE35">IF(DE$3=INDEX(Inputs!$C:$C,MATCH("End Year",Inputs!$B:$B,0))*12,Inputs!C101,0)</f>
        <v>0</v>
      </c>
      <c r="DF35" s="169">
        <f t="array" ref="DF35">IF(DF$3=INDEX(Inputs!$C:$C,MATCH("End Year",Inputs!$B:$B,0))*12,Inputs!C101,0)</f>
        <v>0</v>
      </c>
      <c r="DG35" s="169">
        <f t="array" ref="DG35">IF(DG$3=INDEX(Inputs!$C:$C,MATCH("End Year",Inputs!$B:$B,0))*12,Inputs!C101,0)</f>
        <v>0</v>
      </c>
      <c r="DH35" s="169">
        <f t="array" ref="DH35">IF(DH$3=INDEX(Inputs!$C:$C,MATCH("End Year",Inputs!$B:$B,0))*12,Inputs!C101,0)</f>
        <v>0</v>
      </c>
      <c r="DI35" s="169">
        <f t="array" ref="DI35">IF(DI$3=INDEX(Inputs!$C:$C,MATCH("End Year",Inputs!$B:$B,0))*12,Inputs!C101,0)</f>
        <v>0</v>
      </c>
      <c r="DJ35" s="169">
        <f t="array" ref="DJ35">IF(DJ$3=INDEX(Inputs!$C:$C,MATCH("End Year",Inputs!$B:$B,0))*12,Inputs!C101,0)</f>
        <v>0</v>
      </c>
      <c r="DK35" s="169">
        <f t="array" ref="DK35">IF(DK$3=INDEX(Inputs!$C:$C,MATCH("End Year",Inputs!$B:$B,0))*12,Inputs!C101,0)</f>
        <v>0</v>
      </c>
      <c r="DL35" s="169">
        <f t="array" ref="DL35">IF(DL$3=INDEX(Inputs!$C:$C,MATCH("End Year",Inputs!$B:$B,0))*12,Inputs!C101,0)</f>
        <v>0</v>
      </c>
      <c r="DM35" s="169">
        <f t="array" ref="DM35">IF(DM$3=INDEX(Inputs!$C:$C,MATCH("End Year",Inputs!$B:$B,0))*12,Inputs!C101,0)</f>
        <v>0</v>
      </c>
      <c r="DN35" s="169">
        <f t="array" ref="DN35">IF(DN$3=INDEX(Inputs!$C:$C,MATCH("End Year",Inputs!$B:$B,0))*12,Inputs!C101,0)</f>
        <v>0</v>
      </c>
      <c r="DO35" s="169">
        <f t="array" ref="DO35">IF(DO$3=INDEX(Inputs!$C:$C,MATCH("End Year",Inputs!$B:$B,0))*12,Inputs!C101,0)</f>
        <v>0</v>
      </c>
      <c r="DP35" s="169">
        <f t="array" ref="DP35">IF(DP$3=INDEX(Inputs!$C:$C,MATCH("End Year",Inputs!$B:$B,0))*12,Inputs!C101,0)</f>
        <v>0</v>
      </c>
      <c r="DQ35" s="169">
        <f t="array" ref="DQ35">IF(DQ$3=INDEX(Inputs!$C:$C,MATCH("End Year",Inputs!$B:$B,0))*12,Inputs!C101,0)</f>
        <v>0</v>
      </c>
      <c r="DR35" s="169">
        <f t="array" ref="DR35">IF(DR$3=INDEX(Inputs!$C:$C,MATCH("End Year",Inputs!$B:$B,0))*12,Inputs!C101,0)</f>
        <v>0</v>
      </c>
      <c r="DS35" s="138">
        <f t="array" ref="DS35">IF(DS$3=INDEX(Inputs!$C:$C,MATCH("End Year",Inputs!$B:$B,0))*12,Inputs!C101,0)</f>
        <v>0</v>
      </c>
    </row>
    <row r="36" ht="15.0" customHeight="1">
      <c r="A36" s="44"/>
      <c r="B36" s="96" t="s">
        <v>335</v>
      </c>
      <c r="C36" s="169">
        <f t="array" ref="C36">IF(C$3=INDEX(Inputs!$C:$C,MATCH("End Year",Inputs!$B:$B,0))*12,-Inputs!C102,0)</f>
        <v>0</v>
      </c>
      <c r="D36" s="169">
        <f t="array" ref="D36">IF(D$3=INDEX(Inputs!$C:$C,MATCH("End Year",Inputs!$B:$B,0))*12,-Inputs!C102,0)</f>
        <v>0</v>
      </c>
      <c r="E36" s="169">
        <f t="array" ref="E36">IF(E$3=INDEX(Inputs!$C:$C,MATCH("End Year",Inputs!$B:$B,0))*12,-Inputs!C102,0)</f>
        <v>0</v>
      </c>
      <c r="F36" s="169">
        <f t="array" ref="F36">IF(F$3=INDEX(Inputs!$C:$C,MATCH("End Year",Inputs!$B:$B,0))*12,-Inputs!C102,0)</f>
        <v>0</v>
      </c>
      <c r="G36" s="169">
        <f t="array" ref="G36">IF(G$3=INDEX(Inputs!$C:$C,MATCH("End Year",Inputs!$B:$B,0))*12,-Inputs!C102,0)</f>
        <v>0</v>
      </c>
      <c r="H36" s="169">
        <f t="array" ref="H36">IF(H$3=INDEX(Inputs!$C:$C,MATCH("End Year",Inputs!$B:$B,0))*12,-Inputs!C102,0)</f>
        <v>0</v>
      </c>
      <c r="I36" s="169">
        <f t="array" ref="I36">IF(I$3=INDEX(Inputs!$C:$C,MATCH("End Year",Inputs!$B:$B,0))*12,-Inputs!C102,0)</f>
        <v>0</v>
      </c>
      <c r="J36" s="169">
        <f t="array" ref="J36">IF(J$3=INDEX(Inputs!$C:$C,MATCH("End Year",Inputs!$B:$B,0))*12,-Inputs!C102,0)</f>
        <v>0</v>
      </c>
      <c r="K36" s="169">
        <f t="array" ref="K36">IF(K$3=INDEX(Inputs!$C:$C,MATCH("End Year",Inputs!$B:$B,0))*12,-Inputs!C102,0)</f>
        <v>0</v>
      </c>
      <c r="L36" s="169">
        <f t="array" ref="L36">IF(L$3=INDEX(Inputs!$C:$C,MATCH("End Year",Inputs!$B:$B,0))*12,-Inputs!C102,0)</f>
        <v>0</v>
      </c>
      <c r="M36" s="169">
        <f t="array" ref="M36">IF(M$3=INDEX(Inputs!$C:$C,MATCH("End Year",Inputs!$B:$B,0))*12,-Inputs!C102,0)</f>
        <v>0</v>
      </c>
      <c r="N36" s="169">
        <f t="array" ref="N36">IF(N$3=INDEX(Inputs!$C:$C,MATCH("End Year",Inputs!$B:$B,0))*12,-Inputs!C102,0)</f>
        <v>0</v>
      </c>
      <c r="O36" s="169">
        <f t="array" ref="O36">IF(O$3=INDEX(Inputs!$C:$C,MATCH("End Year",Inputs!$B:$B,0))*12,-Inputs!C102,0)</f>
        <v>0</v>
      </c>
      <c r="P36" s="169">
        <f t="array" ref="P36">IF(P$3=INDEX(Inputs!$C:$C,MATCH("End Year",Inputs!$B:$B,0))*12,-Inputs!C102,0)</f>
        <v>0</v>
      </c>
      <c r="Q36" s="169">
        <f t="array" ref="Q36">IF(Q$3=INDEX(Inputs!$C:$C,MATCH("End Year",Inputs!$B:$B,0))*12,-Inputs!C102,0)</f>
        <v>0</v>
      </c>
      <c r="R36" s="169">
        <f t="array" ref="R36">IF(R$3=INDEX(Inputs!$C:$C,MATCH("End Year",Inputs!$B:$B,0))*12,-Inputs!C102,0)</f>
        <v>0</v>
      </c>
      <c r="S36" s="169">
        <f t="array" ref="S36">IF(S$3=INDEX(Inputs!$C:$C,MATCH("End Year",Inputs!$B:$B,0))*12,-Inputs!C102,0)</f>
        <v>0</v>
      </c>
      <c r="T36" s="169">
        <f t="array" ref="T36">IF(T$3=INDEX(Inputs!$C:$C,MATCH("End Year",Inputs!$B:$B,0))*12,-Inputs!C102,0)</f>
        <v>0</v>
      </c>
      <c r="U36" s="169">
        <f t="array" ref="U36">IF(U$3=INDEX(Inputs!$C:$C,MATCH("End Year",Inputs!$B:$B,0))*12,-Inputs!C102,0)</f>
        <v>0</v>
      </c>
      <c r="V36" s="169">
        <f t="array" ref="V36">IF(V$3=INDEX(Inputs!$C:$C,MATCH("End Year",Inputs!$B:$B,0))*12,-Inputs!C102,0)</f>
        <v>0</v>
      </c>
      <c r="W36" s="169">
        <f t="array" ref="W36">IF(W$3=INDEX(Inputs!$C:$C,MATCH("End Year",Inputs!$B:$B,0))*12,-Inputs!C102,0)</f>
        <v>0</v>
      </c>
      <c r="X36" s="169">
        <f t="array" ref="X36">IF(X$3=INDEX(Inputs!$C:$C,MATCH("End Year",Inputs!$B:$B,0))*12,-Inputs!C102,0)</f>
        <v>0</v>
      </c>
      <c r="Y36" s="169">
        <f t="array" ref="Y36">IF(Y$3=INDEX(Inputs!$C:$C,MATCH("End Year",Inputs!$B:$B,0))*12,-Inputs!C102,0)</f>
        <v>0</v>
      </c>
      <c r="Z36" s="169">
        <f t="array" ref="Z36">IF(Z$3=INDEX(Inputs!$C:$C,MATCH("End Year",Inputs!$B:$B,0))*12,-Inputs!C102,0)</f>
        <v>0</v>
      </c>
      <c r="AA36" s="169">
        <f t="array" ref="AA36">IF(AA$3=INDEX(Inputs!$C:$C,MATCH("End Year",Inputs!$B:$B,0))*12,-Inputs!C102,0)</f>
        <v>0</v>
      </c>
      <c r="AB36" s="169">
        <f t="array" ref="AB36">IF(AB$3=INDEX(Inputs!$C:$C,MATCH("End Year",Inputs!$B:$B,0))*12,-Inputs!C102,0)</f>
        <v>0</v>
      </c>
      <c r="AC36" s="169">
        <f t="array" ref="AC36">IF(AC$3=INDEX(Inputs!$C:$C,MATCH("End Year",Inputs!$B:$B,0))*12,-Inputs!C102,0)</f>
        <v>0</v>
      </c>
      <c r="AD36" s="169">
        <f t="array" ref="AD36">IF(AD$3=INDEX(Inputs!$C:$C,MATCH("End Year",Inputs!$B:$B,0))*12,-Inputs!C102,0)</f>
        <v>0</v>
      </c>
      <c r="AE36" s="169">
        <f t="array" ref="AE36">IF(AE$3=INDEX(Inputs!$C:$C,MATCH("End Year",Inputs!$B:$B,0))*12,-Inputs!C102,0)</f>
        <v>0</v>
      </c>
      <c r="AF36" s="169">
        <f t="array" ref="AF36">IF(AF$3=INDEX(Inputs!$C:$C,MATCH("End Year",Inputs!$B:$B,0))*12,-Inputs!C102,0)</f>
        <v>0</v>
      </c>
      <c r="AG36" s="169">
        <f t="array" ref="AG36">IF(AG$3=INDEX(Inputs!$C:$C,MATCH("End Year",Inputs!$B:$B,0))*12,-Inputs!C102,0)</f>
        <v>0</v>
      </c>
      <c r="AH36" s="169">
        <f t="array" ref="AH36">IF(AH$3=INDEX(Inputs!$C:$C,MATCH("End Year",Inputs!$B:$B,0))*12,-Inputs!C102,0)</f>
        <v>0</v>
      </c>
      <c r="AI36" s="169">
        <f t="array" ref="AI36">IF(AI$3=INDEX(Inputs!$C:$C,MATCH("End Year",Inputs!$B:$B,0))*12,-Inputs!C102,0)</f>
        <v>0</v>
      </c>
      <c r="AJ36" s="169">
        <f t="array" ref="AJ36">IF(AJ$3=INDEX(Inputs!$C:$C,MATCH("End Year",Inputs!$B:$B,0))*12,-Inputs!C102,0)</f>
        <v>0</v>
      </c>
      <c r="AK36" s="169">
        <f t="array" ref="AK36">IF(AK$3=INDEX(Inputs!$C:$C,MATCH("End Year",Inputs!$B:$B,0))*12,-Inputs!C102,0)</f>
        <v>0</v>
      </c>
      <c r="AL36" s="169">
        <f t="array" ref="AL36">IF(AL$3=INDEX(Inputs!$C:$C,MATCH("End Year",Inputs!$B:$B,0))*12,-Inputs!C102,0)</f>
        <v>0</v>
      </c>
      <c r="AM36" s="169">
        <f t="array" ref="AM36">IF(AM$3=INDEX(Inputs!$C:$C,MATCH("End Year",Inputs!$B:$B,0))*12,-Inputs!C102,0)</f>
        <v>0</v>
      </c>
      <c r="AN36" s="169">
        <f t="array" ref="AN36">IF(AN$3=INDEX(Inputs!$C:$C,MATCH("End Year",Inputs!$B:$B,0))*12,-Inputs!C102,0)</f>
        <v>0</v>
      </c>
      <c r="AO36" s="169">
        <f t="array" ref="AO36">IF(AO$3=INDEX(Inputs!$C:$C,MATCH("End Year",Inputs!$B:$B,0))*12,-Inputs!C102,0)</f>
        <v>0</v>
      </c>
      <c r="AP36" s="169">
        <f t="array" ref="AP36">IF(AP$3=INDEX(Inputs!$C:$C,MATCH("End Year",Inputs!$B:$B,0))*12,-Inputs!C102,0)</f>
        <v>0</v>
      </c>
      <c r="AQ36" s="169">
        <f t="array" ref="AQ36">IF(AQ$3=INDEX(Inputs!$C:$C,MATCH("End Year",Inputs!$B:$B,0))*12,-Inputs!C102,0)</f>
        <v>0</v>
      </c>
      <c r="AR36" s="169">
        <f t="array" ref="AR36">IF(AR$3=INDEX(Inputs!$C:$C,MATCH("End Year",Inputs!$B:$B,0))*12,-Inputs!C102,0)</f>
        <v>0</v>
      </c>
      <c r="AS36" s="169">
        <f t="array" ref="AS36">IF(AS$3=INDEX(Inputs!$C:$C,MATCH("End Year",Inputs!$B:$B,0))*12,-Inputs!C102,0)</f>
        <v>0</v>
      </c>
      <c r="AT36" s="169">
        <f t="array" ref="AT36">IF(AT$3=INDEX(Inputs!$C:$C,MATCH("End Year",Inputs!$B:$B,0))*12,-Inputs!C102,0)</f>
        <v>0</v>
      </c>
      <c r="AU36" s="169">
        <f t="array" ref="AU36">IF(AU$3=INDEX(Inputs!$C:$C,MATCH("End Year",Inputs!$B:$B,0))*12,-Inputs!C102,0)</f>
        <v>0</v>
      </c>
      <c r="AV36" s="169">
        <f t="array" ref="AV36">IF(AV$3=INDEX(Inputs!$C:$C,MATCH("End Year",Inputs!$B:$B,0))*12,-Inputs!C102,0)</f>
        <v>0</v>
      </c>
      <c r="AW36" s="169">
        <f t="array" ref="AW36">IF(AW$3=INDEX(Inputs!$C:$C,MATCH("End Year",Inputs!$B:$B,0))*12,-Inputs!C102,0)</f>
        <v>0</v>
      </c>
      <c r="AX36" s="169">
        <f t="array" ref="AX36">IF(AX$3=INDEX(Inputs!$C:$C,MATCH("End Year",Inputs!$B:$B,0))*12,-Inputs!C102,0)</f>
        <v>0</v>
      </c>
      <c r="AY36" s="169">
        <f t="array" ref="AY36">IF(AY$3=INDEX(Inputs!$C:$C,MATCH("End Year",Inputs!$B:$B,0))*12,-Inputs!C102,0)</f>
        <v>0</v>
      </c>
      <c r="AZ36" s="169">
        <f t="array" ref="AZ36">IF(AZ$3=INDEX(Inputs!$C:$C,MATCH("End Year",Inputs!$B:$B,0))*12,-Inputs!C102,0)</f>
        <v>0</v>
      </c>
      <c r="BA36" s="169">
        <f t="array" ref="BA36">IF(BA$3=INDEX(Inputs!$C:$C,MATCH("End Year",Inputs!$B:$B,0))*12,-Inputs!C102,0)</f>
        <v>0</v>
      </c>
      <c r="BB36" s="169">
        <f t="array" ref="BB36">IF(BB$3=INDEX(Inputs!$C:$C,MATCH("End Year",Inputs!$B:$B,0))*12,-Inputs!C102,0)</f>
        <v>0</v>
      </c>
      <c r="BC36" s="169">
        <f t="array" ref="BC36">IF(BC$3=INDEX(Inputs!$C:$C,MATCH("End Year",Inputs!$B:$B,0))*12,-Inputs!C102,0)</f>
        <v>0</v>
      </c>
      <c r="BD36" s="169">
        <f t="array" ref="BD36">IF(BD$3=INDEX(Inputs!$C:$C,MATCH("End Year",Inputs!$B:$B,0))*12,-Inputs!C102,0)</f>
        <v>0</v>
      </c>
      <c r="BE36" s="169">
        <f t="array" ref="BE36">IF(BE$3=INDEX(Inputs!$C:$C,MATCH("End Year",Inputs!$B:$B,0))*12,-Inputs!C102,0)</f>
        <v>0</v>
      </c>
      <c r="BF36" s="169">
        <f t="array" ref="BF36">IF(BF$3=INDEX(Inputs!$C:$C,MATCH("End Year",Inputs!$B:$B,0))*12,-Inputs!C102,0)</f>
        <v>0</v>
      </c>
      <c r="BG36" s="169">
        <f t="array" ref="BG36">IF(BG$3=INDEX(Inputs!$C:$C,MATCH("End Year",Inputs!$B:$B,0))*12,-Inputs!C102,0)</f>
        <v>0</v>
      </c>
      <c r="BH36" s="169">
        <f t="array" ref="BH36">IF(BH$3=INDEX(Inputs!$C:$C,MATCH("End Year",Inputs!$B:$B,0))*12,-Inputs!C102,0)</f>
        <v>0</v>
      </c>
      <c r="BI36" s="169">
        <f t="array" ref="BI36">IF(BI$3=INDEX(Inputs!$C:$C,MATCH("End Year",Inputs!$B:$B,0))*12,-Inputs!C102,0)</f>
        <v>0</v>
      </c>
      <c r="BJ36" s="169">
        <f t="array" ref="BJ36">IF(BJ$3=INDEX(Inputs!$C:$C,MATCH("End Year",Inputs!$B:$B,0))*12,-Inputs!C102,0)</f>
        <v>0</v>
      </c>
      <c r="BK36" s="169">
        <f t="array" ref="BK36">IF(BK$3=INDEX(Inputs!$C:$C,MATCH("End Year",Inputs!$B:$B,0))*12,-Inputs!C102,0)</f>
        <v>0</v>
      </c>
      <c r="BL36" s="169">
        <f t="array" ref="BL36">IF(BL$3=INDEX(Inputs!$C:$C,MATCH("End Year",Inputs!$B:$B,0))*12,-Inputs!C102,0)</f>
        <v>0</v>
      </c>
      <c r="BM36" s="169">
        <f t="array" ref="BM36">IF(BM$3=INDEX(Inputs!$C:$C,MATCH("End Year",Inputs!$B:$B,0))*12,-Inputs!C102,0)</f>
        <v>0</v>
      </c>
      <c r="BN36" s="169">
        <f t="array" ref="BN36">IF(BN$3=INDEX(Inputs!$C:$C,MATCH("End Year",Inputs!$B:$B,0))*12,-Inputs!C102,0)</f>
        <v>0</v>
      </c>
      <c r="BO36" s="169">
        <f t="array" ref="BO36">IF(BO$3=INDEX(Inputs!$C:$C,MATCH("End Year",Inputs!$B:$B,0))*12,-Inputs!C102,0)</f>
        <v>0</v>
      </c>
      <c r="BP36" s="169">
        <f t="array" ref="BP36">IF(BP$3=INDEX(Inputs!$C:$C,MATCH("End Year",Inputs!$B:$B,0))*12,-Inputs!C102,0)</f>
        <v>0</v>
      </c>
      <c r="BQ36" s="169">
        <f t="array" ref="BQ36">IF(BQ$3=INDEX(Inputs!$C:$C,MATCH("End Year",Inputs!$B:$B,0))*12,-Inputs!C102,0)</f>
        <v>0</v>
      </c>
      <c r="BR36" s="169">
        <f t="array" ref="BR36">IF(BR$3=INDEX(Inputs!$C:$C,MATCH("End Year",Inputs!$B:$B,0))*12,-Inputs!C102,0)</f>
        <v>0</v>
      </c>
      <c r="BS36" s="169">
        <f t="array" ref="BS36">IF(BS$3=INDEX(Inputs!$C:$C,MATCH("End Year",Inputs!$B:$B,0))*12,-Inputs!C102,0)</f>
        <v>0</v>
      </c>
      <c r="BT36" s="169">
        <f t="array" ref="BT36">IF(BT$3=INDEX(Inputs!$C:$C,MATCH("End Year",Inputs!$B:$B,0))*12,-Inputs!C102,0)</f>
        <v>0</v>
      </c>
      <c r="BU36" s="169">
        <f t="array" ref="BU36">IF(BU$3=INDEX(Inputs!$C:$C,MATCH("End Year",Inputs!$B:$B,0))*12,-Inputs!C102,0)</f>
        <v>0</v>
      </c>
      <c r="BV36" s="169">
        <f t="array" ref="BV36">IF(BV$3=INDEX(Inputs!$C:$C,MATCH("End Year",Inputs!$B:$B,0))*12,-Inputs!C102,0)</f>
        <v>0</v>
      </c>
      <c r="BW36" s="169">
        <f t="array" ref="BW36">IF(BW$3=INDEX(Inputs!$C:$C,MATCH("End Year",Inputs!$B:$B,0))*12,-Inputs!C102,0)</f>
        <v>0</v>
      </c>
      <c r="BX36" s="169">
        <f t="array" ref="BX36">IF(BX$3=INDEX(Inputs!$C:$C,MATCH("End Year",Inputs!$B:$B,0))*12,-Inputs!C102,0)</f>
        <v>0</v>
      </c>
      <c r="BY36" s="169">
        <f t="array" ref="BY36">IF(BY$3=INDEX(Inputs!$C:$C,MATCH("End Year",Inputs!$B:$B,0))*12,-Inputs!C102,0)</f>
        <v>0</v>
      </c>
      <c r="BZ36" s="169">
        <f t="array" ref="BZ36">IF(BZ$3=INDEX(Inputs!$C:$C,MATCH("End Year",Inputs!$B:$B,0))*12,-Inputs!C102,0)</f>
        <v>0</v>
      </c>
      <c r="CA36" s="169">
        <f t="array" ref="CA36">IF(CA$3=INDEX(Inputs!$C:$C,MATCH("End Year",Inputs!$B:$B,0))*12,-Inputs!C102,0)</f>
        <v>0</v>
      </c>
      <c r="CB36" s="169">
        <f t="array" ref="CB36">IF(CB$3=INDEX(Inputs!$C:$C,MATCH("End Year",Inputs!$B:$B,0))*12,-Inputs!C102,0)</f>
        <v>0</v>
      </c>
      <c r="CC36" s="169">
        <f t="array" ref="CC36">IF(CC$3=INDEX(Inputs!$C:$C,MATCH("End Year",Inputs!$B:$B,0))*12,-Inputs!C102,0)</f>
        <v>0</v>
      </c>
      <c r="CD36" s="169">
        <f t="array" ref="CD36">IF(CD$3=INDEX(Inputs!$C:$C,MATCH("End Year",Inputs!$B:$B,0))*12,-Inputs!C102,0)</f>
        <v>0</v>
      </c>
      <c r="CE36" s="169">
        <f t="array" ref="CE36">IF(CE$3=INDEX(Inputs!$C:$C,MATCH("End Year",Inputs!$B:$B,0))*12,-Inputs!C102,0)</f>
        <v>0</v>
      </c>
      <c r="CF36" s="169">
        <f t="array" ref="CF36">IF(CF$3=INDEX(Inputs!$C:$C,MATCH("End Year",Inputs!$B:$B,0))*12,-Inputs!C102,0)</f>
        <v>0</v>
      </c>
      <c r="CG36" s="169">
        <f t="array" ref="CG36">IF(CG$3=INDEX(Inputs!$C:$C,MATCH("End Year",Inputs!$B:$B,0))*12,-Inputs!C102,0)</f>
        <v>0</v>
      </c>
      <c r="CH36" s="169">
        <f t="array" ref="CH36">IF(CH$3=INDEX(Inputs!$C:$C,MATCH("End Year",Inputs!$B:$B,0))*12,-Inputs!C102,0)</f>
        <v>0</v>
      </c>
      <c r="CI36" s="169">
        <f t="array" ref="CI36">IF(CI$3=INDEX(Inputs!$C:$C,MATCH("End Year",Inputs!$B:$B,0))*12,-Inputs!C102,0)</f>
        <v>0</v>
      </c>
      <c r="CJ36" s="169">
        <f t="array" ref="CJ36">IF(CJ$3=INDEX(Inputs!$C:$C,MATCH("End Year",Inputs!$B:$B,0))*12,-Inputs!C102,0)</f>
        <v>0</v>
      </c>
      <c r="CK36" s="169">
        <f t="array" ref="CK36">IF(CK$3=INDEX(Inputs!$C:$C,MATCH("End Year",Inputs!$B:$B,0))*12,-Inputs!C102,0)</f>
        <v>0</v>
      </c>
      <c r="CL36" s="169">
        <f t="array" ref="CL36">IF(CL$3=INDEX(Inputs!$C:$C,MATCH("End Year",Inputs!$B:$B,0))*12,-Inputs!C102,0)</f>
        <v>0</v>
      </c>
      <c r="CM36" s="169">
        <f t="array" ref="CM36">IF(CM$3=INDEX(Inputs!$C:$C,MATCH("End Year",Inputs!$B:$B,0))*12,-Inputs!C102,0)</f>
        <v>0</v>
      </c>
      <c r="CN36" s="169">
        <f t="array" ref="CN36">IF(CN$3=INDEX(Inputs!$C:$C,MATCH("End Year",Inputs!$B:$B,0))*12,-Inputs!C102,0)</f>
        <v>0</v>
      </c>
      <c r="CO36" s="169">
        <f t="array" ref="CO36">IF(CO$3=INDEX(Inputs!$C:$C,MATCH("End Year",Inputs!$B:$B,0))*12,-Inputs!C102,0)</f>
        <v>0</v>
      </c>
      <c r="CP36" s="169">
        <f t="array" ref="CP36">IF(CP$3=INDEX(Inputs!$C:$C,MATCH("End Year",Inputs!$B:$B,0))*12,-Inputs!C102,0)</f>
        <v>0</v>
      </c>
      <c r="CQ36" s="169">
        <f t="array" ref="CQ36">IF(CQ$3=INDEX(Inputs!$C:$C,MATCH("End Year",Inputs!$B:$B,0))*12,-Inputs!C102,0)</f>
        <v>0</v>
      </c>
      <c r="CR36" s="169">
        <f t="array" ref="CR36">IF(CR$3=INDEX(Inputs!$C:$C,MATCH("End Year",Inputs!$B:$B,0))*12,-Inputs!C102,0)</f>
        <v>0</v>
      </c>
      <c r="CS36" s="169">
        <f t="array" ref="CS36">IF(CS$3=INDEX(Inputs!$C:$C,MATCH("End Year",Inputs!$B:$B,0))*12,-Inputs!C102,0)</f>
        <v>0</v>
      </c>
      <c r="CT36" s="169">
        <f t="array" ref="CT36">IF(CT$3=INDEX(Inputs!$C:$C,MATCH("End Year",Inputs!$B:$B,0))*12,-Inputs!C102,0)</f>
        <v>0</v>
      </c>
      <c r="CU36" s="169">
        <f t="array" ref="CU36">IF(CU$3=INDEX(Inputs!$C:$C,MATCH("End Year",Inputs!$B:$B,0))*12,-Inputs!C102,0)</f>
        <v>0</v>
      </c>
      <c r="CV36" s="169">
        <f t="array" ref="CV36">IF(CV$3=INDEX(Inputs!$C:$C,MATCH("End Year",Inputs!$B:$B,0))*12,-Inputs!C102,0)</f>
        <v>0</v>
      </c>
      <c r="CW36" s="169">
        <f t="array" ref="CW36">IF(CW$3=INDEX(Inputs!$C:$C,MATCH("End Year",Inputs!$B:$B,0))*12,-Inputs!C102,0)</f>
        <v>0</v>
      </c>
      <c r="CX36" s="169">
        <f t="array" ref="CX36">IF(CX$3=INDEX(Inputs!$C:$C,MATCH("End Year",Inputs!$B:$B,0))*12,-Inputs!C102,0)</f>
        <v>0</v>
      </c>
      <c r="CY36" s="169">
        <f t="array" ref="CY36">IF(CY$3=INDEX(Inputs!$C:$C,MATCH("End Year",Inputs!$B:$B,0))*12,-Inputs!C102,0)</f>
        <v>0</v>
      </c>
      <c r="CZ36" s="169">
        <f t="array" ref="CZ36">IF(CZ$3=INDEX(Inputs!$C:$C,MATCH("End Year",Inputs!$B:$B,0))*12,-Inputs!C102,0)</f>
        <v>0</v>
      </c>
      <c r="DA36" s="169">
        <f t="array" ref="DA36">IF(DA$3=INDEX(Inputs!$C:$C,MATCH("End Year",Inputs!$B:$B,0))*12,-Inputs!C102,0)</f>
        <v>0</v>
      </c>
      <c r="DB36" s="169">
        <f t="array" ref="DB36">IF(DB$3=INDEX(Inputs!$C:$C,MATCH("End Year",Inputs!$B:$B,0))*12,-Inputs!C102,0)</f>
        <v>0</v>
      </c>
      <c r="DC36" s="169">
        <f t="array" ref="DC36">IF(DC$3=INDEX(Inputs!$C:$C,MATCH("End Year",Inputs!$B:$B,0))*12,-Inputs!C102,0)</f>
        <v>0</v>
      </c>
      <c r="DD36" s="169">
        <f t="array" ref="DD36">IF(DD$3=INDEX(Inputs!$C:$C,MATCH("End Year",Inputs!$B:$B,0))*12,-Inputs!C102,0)</f>
        <v>0</v>
      </c>
      <c r="DE36" s="169">
        <f t="array" ref="DE36">IF(DE$3=INDEX(Inputs!$C:$C,MATCH("End Year",Inputs!$B:$B,0))*12,-Inputs!C102,0)</f>
        <v>0</v>
      </c>
      <c r="DF36" s="169">
        <f t="array" ref="DF36">IF(DF$3=INDEX(Inputs!$C:$C,MATCH("End Year",Inputs!$B:$B,0))*12,-Inputs!C102,0)</f>
        <v>0</v>
      </c>
      <c r="DG36" s="169">
        <f t="array" ref="DG36">IF(DG$3=INDEX(Inputs!$C:$C,MATCH("End Year",Inputs!$B:$B,0))*12,-Inputs!C102,0)</f>
        <v>0</v>
      </c>
      <c r="DH36" s="169">
        <f t="array" ref="DH36">IF(DH$3=INDEX(Inputs!$C:$C,MATCH("End Year",Inputs!$B:$B,0))*12,-Inputs!C102,0)</f>
        <v>0</v>
      </c>
      <c r="DI36" s="169">
        <f t="array" ref="DI36">IF(DI$3=INDEX(Inputs!$C:$C,MATCH("End Year",Inputs!$B:$B,0))*12,-Inputs!C102,0)</f>
        <v>0</v>
      </c>
      <c r="DJ36" s="169">
        <f t="array" ref="DJ36">IF(DJ$3=INDEX(Inputs!$C:$C,MATCH("End Year",Inputs!$B:$B,0))*12,-Inputs!C102,0)</f>
        <v>0</v>
      </c>
      <c r="DK36" s="169">
        <f t="array" ref="DK36">IF(DK$3=INDEX(Inputs!$C:$C,MATCH("End Year",Inputs!$B:$B,0))*12,-Inputs!C102,0)</f>
        <v>0</v>
      </c>
      <c r="DL36" s="169">
        <f t="array" ref="DL36">IF(DL$3=INDEX(Inputs!$C:$C,MATCH("End Year",Inputs!$B:$B,0))*12,-Inputs!C102,0)</f>
        <v>0</v>
      </c>
      <c r="DM36" s="169">
        <f t="array" ref="DM36">IF(DM$3=INDEX(Inputs!$C:$C,MATCH("End Year",Inputs!$B:$B,0))*12,-Inputs!C102,0)</f>
        <v>0</v>
      </c>
      <c r="DN36" s="169">
        <f t="array" ref="DN36">IF(DN$3=INDEX(Inputs!$C:$C,MATCH("End Year",Inputs!$B:$B,0))*12,-Inputs!C102,0)</f>
        <v>0</v>
      </c>
      <c r="DO36" s="169">
        <f t="array" ref="DO36">IF(DO$3=INDEX(Inputs!$C:$C,MATCH("End Year",Inputs!$B:$B,0))*12,-Inputs!C102,0)</f>
        <v>0</v>
      </c>
      <c r="DP36" s="169">
        <f t="array" ref="DP36">IF(DP$3=INDEX(Inputs!$C:$C,MATCH("End Year",Inputs!$B:$B,0))*12,-Inputs!C102,0)</f>
        <v>0</v>
      </c>
      <c r="DQ36" s="169">
        <f t="array" ref="DQ36">IF(DQ$3=INDEX(Inputs!$C:$C,MATCH("End Year",Inputs!$B:$B,0))*12,-Inputs!C102,0)</f>
        <v>0</v>
      </c>
      <c r="DR36" s="169">
        <f t="array" ref="DR36">IF(DR$3=INDEX(Inputs!$C:$C,MATCH("End Year",Inputs!$B:$B,0))*12,-Inputs!C102,0)</f>
        <v>0</v>
      </c>
      <c r="DS36" s="138">
        <f t="array" ref="DS36">IF(DS$3=INDEX(Inputs!$C:$C,MATCH("End Year",Inputs!$B:$B,0))*12,-Inputs!C102,0)</f>
        <v>0</v>
      </c>
    </row>
    <row r="37" ht="15.0" customHeight="1">
      <c r="A37" s="44"/>
      <c r="B37" s="110" t="s">
        <v>336</v>
      </c>
      <c r="C37" s="170">
        <f t="shared" ref="C37:DS37" si="6">C35+C36</f>
        <v>0</v>
      </c>
      <c r="D37" s="170">
        <f t="shared" si="6"/>
        <v>0</v>
      </c>
      <c r="E37" s="170">
        <f t="shared" si="6"/>
        <v>0</v>
      </c>
      <c r="F37" s="170">
        <f t="shared" si="6"/>
        <v>0</v>
      </c>
      <c r="G37" s="170">
        <f t="shared" si="6"/>
        <v>0</v>
      </c>
      <c r="H37" s="170">
        <f t="shared" si="6"/>
        <v>0</v>
      </c>
      <c r="I37" s="170">
        <f t="shared" si="6"/>
        <v>0</v>
      </c>
      <c r="J37" s="170">
        <f t="shared" si="6"/>
        <v>0</v>
      </c>
      <c r="K37" s="170">
        <f t="shared" si="6"/>
        <v>0</v>
      </c>
      <c r="L37" s="170">
        <f t="shared" si="6"/>
        <v>0</v>
      </c>
      <c r="M37" s="170">
        <f t="shared" si="6"/>
        <v>0</v>
      </c>
      <c r="N37" s="170">
        <f t="shared" si="6"/>
        <v>0</v>
      </c>
      <c r="O37" s="170">
        <f t="shared" si="6"/>
        <v>0</v>
      </c>
      <c r="P37" s="170">
        <f t="shared" si="6"/>
        <v>0</v>
      </c>
      <c r="Q37" s="170">
        <f t="shared" si="6"/>
        <v>0</v>
      </c>
      <c r="R37" s="170">
        <f t="shared" si="6"/>
        <v>0</v>
      </c>
      <c r="S37" s="170">
        <f t="shared" si="6"/>
        <v>0</v>
      </c>
      <c r="T37" s="170">
        <f t="shared" si="6"/>
        <v>0</v>
      </c>
      <c r="U37" s="170">
        <f t="shared" si="6"/>
        <v>0</v>
      </c>
      <c r="V37" s="170">
        <f t="shared" si="6"/>
        <v>0</v>
      </c>
      <c r="W37" s="170">
        <f t="shared" si="6"/>
        <v>0</v>
      </c>
      <c r="X37" s="170">
        <f t="shared" si="6"/>
        <v>0</v>
      </c>
      <c r="Y37" s="170">
        <f t="shared" si="6"/>
        <v>0</v>
      </c>
      <c r="Z37" s="170">
        <f t="shared" si="6"/>
        <v>0</v>
      </c>
      <c r="AA37" s="170">
        <f t="shared" si="6"/>
        <v>0</v>
      </c>
      <c r="AB37" s="170">
        <f t="shared" si="6"/>
        <v>0</v>
      </c>
      <c r="AC37" s="170">
        <f t="shared" si="6"/>
        <v>0</v>
      </c>
      <c r="AD37" s="170">
        <f t="shared" si="6"/>
        <v>0</v>
      </c>
      <c r="AE37" s="170">
        <f t="shared" si="6"/>
        <v>0</v>
      </c>
      <c r="AF37" s="170">
        <f t="shared" si="6"/>
        <v>0</v>
      </c>
      <c r="AG37" s="170">
        <f t="shared" si="6"/>
        <v>0</v>
      </c>
      <c r="AH37" s="170">
        <f t="shared" si="6"/>
        <v>0</v>
      </c>
      <c r="AI37" s="170">
        <f t="shared" si="6"/>
        <v>0</v>
      </c>
      <c r="AJ37" s="170">
        <f t="shared" si="6"/>
        <v>0</v>
      </c>
      <c r="AK37" s="170">
        <f t="shared" si="6"/>
        <v>0</v>
      </c>
      <c r="AL37" s="170">
        <f t="shared" si="6"/>
        <v>0</v>
      </c>
      <c r="AM37" s="170">
        <f t="shared" si="6"/>
        <v>0</v>
      </c>
      <c r="AN37" s="170">
        <f t="shared" si="6"/>
        <v>0</v>
      </c>
      <c r="AO37" s="170">
        <f t="shared" si="6"/>
        <v>0</v>
      </c>
      <c r="AP37" s="170">
        <f t="shared" si="6"/>
        <v>0</v>
      </c>
      <c r="AQ37" s="170">
        <f t="shared" si="6"/>
        <v>0</v>
      </c>
      <c r="AR37" s="170">
        <f t="shared" si="6"/>
        <v>0</v>
      </c>
      <c r="AS37" s="170">
        <f t="shared" si="6"/>
        <v>0</v>
      </c>
      <c r="AT37" s="170">
        <f t="shared" si="6"/>
        <v>0</v>
      </c>
      <c r="AU37" s="170">
        <f t="shared" si="6"/>
        <v>0</v>
      </c>
      <c r="AV37" s="170">
        <f t="shared" si="6"/>
        <v>0</v>
      </c>
      <c r="AW37" s="170">
        <f t="shared" si="6"/>
        <v>0</v>
      </c>
      <c r="AX37" s="170">
        <f t="shared" si="6"/>
        <v>0</v>
      </c>
      <c r="AY37" s="170">
        <f t="shared" si="6"/>
        <v>0</v>
      </c>
      <c r="AZ37" s="170">
        <f t="shared" si="6"/>
        <v>0</v>
      </c>
      <c r="BA37" s="170">
        <f t="shared" si="6"/>
        <v>0</v>
      </c>
      <c r="BB37" s="170">
        <f t="shared" si="6"/>
        <v>0</v>
      </c>
      <c r="BC37" s="170">
        <f t="shared" si="6"/>
        <v>0</v>
      </c>
      <c r="BD37" s="170">
        <f t="shared" si="6"/>
        <v>0</v>
      </c>
      <c r="BE37" s="170">
        <f t="shared" si="6"/>
        <v>0</v>
      </c>
      <c r="BF37" s="170">
        <f t="shared" si="6"/>
        <v>0</v>
      </c>
      <c r="BG37" s="170">
        <f t="shared" si="6"/>
        <v>0</v>
      </c>
      <c r="BH37" s="170">
        <f t="shared" si="6"/>
        <v>0</v>
      </c>
      <c r="BI37" s="170">
        <f t="shared" si="6"/>
        <v>0</v>
      </c>
      <c r="BJ37" s="170">
        <f t="shared" si="6"/>
        <v>0</v>
      </c>
      <c r="BK37" s="170">
        <f t="shared" si="6"/>
        <v>0</v>
      </c>
      <c r="BL37" s="170">
        <f t="shared" si="6"/>
        <v>0</v>
      </c>
      <c r="BM37" s="170">
        <f t="shared" si="6"/>
        <v>0</v>
      </c>
      <c r="BN37" s="170">
        <f t="shared" si="6"/>
        <v>0</v>
      </c>
      <c r="BO37" s="170">
        <f t="shared" si="6"/>
        <v>0</v>
      </c>
      <c r="BP37" s="170">
        <f t="shared" si="6"/>
        <v>0</v>
      </c>
      <c r="BQ37" s="170">
        <f t="shared" si="6"/>
        <v>0</v>
      </c>
      <c r="BR37" s="170">
        <f t="shared" si="6"/>
        <v>0</v>
      </c>
      <c r="BS37" s="170">
        <f t="shared" si="6"/>
        <v>0</v>
      </c>
      <c r="BT37" s="170">
        <f t="shared" si="6"/>
        <v>0</v>
      </c>
      <c r="BU37" s="170">
        <f t="shared" si="6"/>
        <v>0</v>
      </c>
      <c r="BV37" s="170">
        <f t="shared" si="6"/>
        <v>0</v>
      </c>
      <c r="BW37" s="170">
        <f t="shared" si="6"/>
        <v>0</v>
      </c>
      <c r="BX37" s="170">
        <f t="shared" si="6"/>
        <v>0</v>
      </c>
      <c r="BY37" s="170">
        <f t="shared" si="6"/>
        <v>0</v>
      </c>
      <c r="BZ37" s="170">
        <f t="shared" si="6"/>
        <v>0</v>
      </c>
      <c r="CA37" s="170">
        <f t="shared" si="6"/>
        <v>0</v>
      </c>
      <c r="CB37" s="170">
        <f t="shared" si="6"/>
        <v>0</v>
      </c>
      <c r="CC37" s="170">
        <f t="shared" si="6"/>
        <v>0</v>
      </c>
      <c r="CD37" s="170">
        <f t="shared" si="6"/>
        <v>0</v>
      </c>
      <c r="CE37" s="170">
        <f t="shared" si="6"/>
        <v>0</v>
      </c>
      <c r="CF37" s="170">
        <f t="shared" si="6"/>
        <v>0</v>
      </c>
      <c r="CG37" s="170">
        <f t="shared" si="6"/>
        <v>0</v>
      </c>
      <c r="CH37" s="170">
        <f t="shared" si="6"/>
        <v>0</v>
      </c>
      <c r="CI37" s="170">
        <f t="shared" si="6"/>
        <v>0</v>
      </c>
      <c r="CJ37" s="170">
        <f t="shared" si="6"/>
        <v>0</v>
      </c>
      <c r="CK37" s="170">
        <f t="shared" si="6"/>
        <v>0</v>
      </c>
      <c r="CL37" s="170">
        <f t="shared" si="6"/>
        <v>0</v>
      </c>
      <c r="CM37" s="170">
        <f t="shared" si="6"/>
        <v>0</v>
      </c>
      <c r="CN37" s="170">
        <f t="shared" si="6"/>
        <v>0</v>
      </c>
      <c r="CO37" s="170">
        <f t="shared" si="6"/>
        <v>0</v>
      </c>
      <c r="CP37" s="170">
        <f t="shared" si="6"/>
        <v>0</v>
      </c>
      <c r="CQ37" s="170">
        <f t="shared" si="6"/>
        <v>0</v>
      </c>
      <c r="CR37" s="170">
        <f t="shared" si="6"/>
        <v>0</v>
      </c>
      <c r="CS37" s="170">
        <f t="shared" si="6"/>
        <v>0</v>
      </c>
      <c r="CT37" s="170">
        <f t="shared" si="6"/>
        <v>0</v>
      </c>
      <c r="CU37" s="170">
        <f t="shared" si="6"/>
        <v>0</v>
      </c>
      <c r="CV37" s="170">
        <f t="shared" si="6"/>
        <v>0</v>
      </c>
      <c r="CW37" s="170">
        <f t="shared" si="6"/>
        <v>0</v>
      </c>
      <c r="CX37" s="170">
        <f t="shared" si="6"/>
        <v>0</v>
      </c>
      <c r="CY37" s="170">
        <f t="shared" si="6"/>
        <v>0</v>
      </c>
      <c r="CZ37" s="170">
        <f t="shared" si="6"/>
        <v>0</v>
      </c>
      <c r="DA37" s="170">
        <f t="shared" si="6"/>
        <v>0</v>
      </c>
      <c r="DB37" s="170">
        <f t="shared" si="6"/>
        <v>0</v>
      </c>
      <c r="DC37" s="170">
        <f t="shared" si="6"/>
        <v>0</v>
      </c>
      <c r="DD37" s="170">
        <f t="shared" si="6"/>
        <v>0</v>
      </c>
      <c r="DE37" s="170">
        <f t="shared" si="6"/>
        <v>0</v>
      </c>
      <c r="DF37" s="170">
        <f t="shared" si="6"/>
        <v>0</v>
      </c>
      <c r="DG37" s="170">
        <f t="shared" si="6"/>
        <v>0</v>
      </c>
      <c r="DH37" s="170">
        <f t="shared" si="6"/>
        <v>0</v>
      </c>
      <c r="DI37" s="170">
        <f t="shared" si="6"/>
        <v>0</v>
      </c>
      <c r="DJ37" s="170">
        <f t="shared" si="6"/>
        <v>0</v>
      </c>
      <c r="DK37" s="170">
        <f t="shared" si="6"/>
        <v>0</v>
      </c>
      <c r="DL37" s="170">
        <f t="shared" si="6"/>
        <v>0</v>
      </c>
      <c r="DM37" s="170">
        <f t="shared" si="6"/>
        <v>0</v>
      </c>
      <c r="DN37" s="170">
        <f t="shared" si="6"/>
        <v>0</v>
      </c>
      <c r="DO37" s="170">
        <f t="shared" si="6"/>
        <v>0</v>
      </c>
      <c r="DP37" s="170">
        <f t="shared" si="6"/>
        <v>0</v>
      </c>
      <c r="DQ37" s="170">
        <f t="shared" si="6"/>
        <v>0</v>
      </c>
      <c r="DR37" s="170">
        <f t="shared" si="6"/>
        <v>0</v>
      </c>
      <c r="DS37" s="138">
        <f t="shared" si="6"/>
        <v>0</v>
      </c>
    </row>
    <row r="38" ht="15.0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</row>
    <row r="39" ht="15.0" customHeight="1">
      <c r="A39" s="44"/>
      <c r="B39" s="171" t="s">
        <v>337</v>
      </c>
      <c r="C39" s="172">
        <f t="shared" ref="C39:DS39" si="7">C20+C23+C32+C37</f>
        <v>-5000</v>
      </c>
      <c r="D39" s="172">
        <f t="shared" si="7"/>
        <v>0</v>
      </c>
      <c r="E39" s="172">
        <f t="shared" si="7"/>
        <v>0</v>
      </c>
      <c r="F39" s="172">
        <f t="shared" si="7"/>
        <v>0</v>
      </c>
      <c r="G39" s="172">
        <f t="shared" si="7"/>
        <v>0</v>
      </c>
      <c r="H39" s="172">
        <f t="shared" si="7"/>
        <v>0</v>
      </c>
      <c r="I39" s="172">
        <f t="shared" si="7"/>
        <v>0</v>
      </c>
      <c r="J39" s="172">
        <f t="shared" si="7"/>
        <v>0</v>
      </c>
      <c r="K39" s="172">
        <f t="shared" si="7"/>
        <v>0</v>
      </c>
      <c r="L39" s="172">
        <f t="shared" si="7"/>
        <v>0</v>
      </c>
      <c r="M39" s="172">
        <f t="shared" si="7"/>
        <v>0</v>
      </c>
      <c r="N39" s="172">
        <f t="shared" si="7"/>
        <v>0</v>
      </c>
      <c r="O39" s="172">
        <f t="shared" si="7"/>
        <v>0</v>
      </c>
      <c r="P39" s="172">
        <f t="shared" si="7"/>
        <v>0</v>
      </c>
      <c r="Q39" s="172">
        <f t="shared" si="7"/>
        <v>0</v>
      </c>
      <c r="R39" s="172">
        <f t="shared" si="7"/>
        <v>0</v>
      </c>
      <c r="S39" s="172">
        <f t="shared" si="7"/>
        <v>0</v>
      </c>
      <c r="T39" s="172">
        <f t="shared" si="7"/>
        <v>0</v>
      </c>
      <c r="U39" s="172">
        <f t="shared" si="7"/>
        <v>0</v>
      </c>
      <c r="V39" s="172">
        <f t="shared" si="7"/>
        <v>0</v>
      </c>
      <c r="W39" s="172">
        <f t="shared" si="7"/>
        <v>0</v>
      </c>
      <c r="X39" s="172">
        <f t="shared" si="7"/>
        <v>0</v>
      </c>
      <c r="Y39" s="172">
        <f t="shared" si="7"/>
        <v>0</v>
      </c>
      <c r="Z39" s="172">
        <f t="shared" si="7"/>
        <v>0</v>
      </c>
      <c r="AA39" s="172">
        <f t="shared" si="7"/>
        <v>0</v>
      </c>
      <c r="AB39" s="172">
        <f t="shared" si="7"/>
        <v>0</v>
      </c>
      <c r="AC39" s="172">
        <f t="shared" si="7"/>
        <v>0</v>
      </c>
      <c r="AD39" s="172">
        <f t="shared" si="7"/>
        <v>0</v>
      </c>
      <c r="AE39" s="172">
        <f t="shared" si="7"/>
        <v>0</v>
      </c>
      <c r="AF39" s="172">
        <f t="shared" si="7"/>
        <v>0</v>
      </c>
      <c r="AG39" s="172">
        <f t="shared" si="7"/>
        <v>0</v>
      </c>
      <c r="AH39" s="172">
        <f t="shared" si="7"/>
        <v>0</v>
      </c>
      <c r="AI39" s="172">
        <f t="shared" si="7"/>
        <v>0</v>
      </c>
      <c r="AJ39" s="172">
        <f t="shared" si="7"/>
        <v>0</v>
      </c>
      <c r="AK39" s="172">
        <f t="shared" si="7"/>
        <v>0</v>
      </c>
      <c r="AL39" s="172">
        <f t="shared" si="7"/>
        <v>0</v>
      </c>
      <c r="AM39" s="172">
        <f t="shared" si="7"/>
        <v>0</v>
      </c>
      <c r="AN39" s="172">
        <f t="shared" si="7"/>
        <v>0</v>
      </c>
      <c r="AO39" s="172">
        <f t="shared" si="7"/>
        <v>0</v>
      </c>
      <c r="AP39" s="172">
        <f t="shared" si="7"/>
        <v>0</v>
      </c>
      <c r="AQ39" s="172">
        <f t="shared" si="7"/>
        <v>0</v>
      </c>
      <c r="AR39" s="172">
        <f t="shared" si="7"/>
        <v>0</v>
      </c>
      <c r="AS39" s="172">
        <f t="shared" si="7"/>
        <v>0</v>
      </c>
      <c r="AT39" s="172">
        <f t="shared" si="7"/>
        <v>0</v>
      </c>
      <c r="AU39" s="172">
        <f t="shared" si="7"/>
        <v>0</v>
      </c>
      <c r="AV39" s="172">
        <f t="shared" si="7"/>
        <v>0</v>
      </c>
      <c r="AW39" s="172">
        <f t="shared" si="7"/>
        <v>0</v>
      </c>
      <c r="AX39" s="172">
        <f t="shared" si="7"/>
        <v>0</v>
      </c>
      <c r="AY39" s="172">
        <f t="shared" si="7"/>
        <v>0</v>
      </c>
      <c r="AZ39" s="172">
        <f t="shared" si="7"/>
        <v>0</v>
      </c>
      <c r="BA39" s="172">
        <f t="shared" si="7"/>
        <v>0</v>
      </c>
      <c r="BB39" s="172">
        <f t="shared" si="7"/>
        <v>0</v>
      </c>
      <c r="BC39" s="172">
        <f t="shared" si="7"/>
        <v>0</v>
      </c>
      <c r="BD39" s="172">
        <f t="shared" si="7"/>
        <v>0</v>
      </c>
      <c r="BE39" s="172">
        <f t="shared" si="7"/>
        <v>0</v>
      </c>
      <c r="BF39" s="172">
        <f t="shared" si="7"/>
        <v>0</v>
      </c>
      <c r="BG39" s="172">
        <f t="shared" si="7"/>
        <v>0</v>
      </c>
      <c r="BH39" s="172">
        <f t="shared" si="7"/>
        <v>0</v>
      </c>
      <c r="BI39" s="172">
        <f t="shared" si="7"/>
        <v>0</v>
      </c>
      <c r="BJ39" s="172">
        <f t="shared" si="7"/>
        <v>0</v>
      </c>
      <c r="BK39" s="172">
        <f t="shared" si="7"/>
        <v>0</v>
      </c>
      <c r="BL39" s="172">
        <f t="shared" si="7"/>
        <v>0</v>
      </c>
      <c r="BM39" s="172">
        <f t="shared" si="7"/>
        <v>0</v>
      </c>
      <c r="BN39" s="172">
        <f t="shared" si="7"/>
        <v>0</v>
      </c>
      <c r="BO39" s="172">
        <f t="shared" si="7"/>
        <v>0</v>
      </c>
      <c r="BP39" s="172">
        <f t="shared" si="7"/>
        <v>0</v>
      </c>
      <c r="BQ39" s="172">
        <f t="shared" si="7"/>
        <v>0</v>
      </c>
      <c r="BR39" s="172">
        <f t="shared" si="7"/>
        <v>0</v>
      </c>
      <c r="BS39" s="172">
        <f t="shared" si="7"/>
        <v>0</v>
      </c>
      <c r="BT39" s="172">
        <f t="shared" si="7"/>
        <v>0</v>
      </c>
      <c r="BU39" s="172">
        <f t="shared" si="7"/>
        <v>0</v>
      </c>
      <c r="BV39" s="172">
        <f t="shared" si="7"/>
        <v>0</v>
      </c>
      <c r="BW39" s="172">
        <f t="shared" si="7"/>
        <v>0</v>
      </c>
      <c r="BX39" s="172">
        <f t="shared" si="7"/>
        <v>0</v>
      </c>
      <c r="BY39" s="172">
        <f t="shared" si="7"/>
        <v>0</v>
      </c>
      <c r="BZ39" s="172">
        <f t="shared" si="7"/>
        <v>0</v>
      </c>
      <c r="CA39" s="172">
        <f t="shared" si="7"/>
        <v>0</v>
      </c>
      <c r="CB39" s="172">
        <f t="shared" si="7"/>
        <v>0</v>
      </c>
      <c r="CC39" s="172">
        <f t="shared" si="7"/>
        <v>0</v>
      </c>
      <c r="CD39" s="172">
        <f t="shared" si="7"/>
        <v>0</v>
      </c>
      <c r="CE39" s="172">
        <f t="shared" si="7"/>
        <v>0</v>
      </c>
      <c r="CF39" s="172">
        <f t="shared" si="7"/>
        <v>0</v>
      </c>
      <c r="CG39" s="172">
        <f t="shared" si="7"/>
        <v>0</v>
      </c>
      <c r="CH39" s="172">
        <f t="shared" si="7"/>
        <v>0</v>
      </c>
      <c r="CI39" s="172">
        <f t="shared" si="7"/>
        <v>0</v>
      </c>
      <c r="CJ39" s="172">
        <f t="shared" si="7"/>
        <v>0</v>
      </c>
      <c r="CK39" s="172">
        <f t="shared" si="7"/>
        <v>0</v>
      </c>
      <c r="CL39" s="172">
        <f t="shared" si="7"/>
        <v>0</v>
      </c>
      <c r="CM39" s="172">
        <f t="shared" si="7"/>
        <v>0</v>
      </c>
      <c r="CN39" s="172">
        <f t="shared" si="7"/>
        <v>0</v>
      </c>
      <c r="CO39" s="172">
        <f t="shared" si="7"/>
        <v>0</v>
      </c>
      <c r="CP39" s="172">
        <f t="shared" si="7"/>
        <v>0</v>
      </c>
      <c r="CQ39" s="172">
        <f t="shared" si="7"/>
        <v>0</v>
      </c>
      <c r="CR39" s="172">
        <f t="shared" si="7"/>
        <v>0</v>
      </c>
      <c r="CS39" s="172">
        <f t="shared" si="7"/>
        <v>0</v>
      </c>
      <c r="CT39" s="172">
        <f t="shared" si="7"/>
        <v>0</v>
      </c>
      <c r="CU39" s="172">
        <f t="shared" si="7"/>
        <v>0</v>
      </c>
      <c r="CV39" s="172">
        <f t="shared" si="7"/>
        <v>0</v>
      </c>
      <c r="CW39" s="172">
        <f t="shared" si="7"/>
        <v>0</v>
      </c>
      <c r="CX39" s="172">
        <f t="shared" si="7"/>
        <v>0</v>
      </c>
      <c r="CY39" s="172">
        <f t="shared" si="7"/>
        <v>0</v>
      </c>
      <c r="CZ39" s="172">
        <f t="shared" si="7"/>
        <v>0</v>
      </c>
      <c r="DA39" s="172">
        <f t="shared" si="7"/>
        <v>0</v>
      </c>
      <c r="DB39" s="172">
        <f t="shared" si="7"/>
        <v>0</v>
      </c>
      <c r="DC39" s="172">
        <f t="shared" si="7"/>
        <v>0</v>
      </c>
      <c r="DD39" s="172">
        <f t="shared" si="7"/>
        <v>0</v>
      </c>
      <c r="DE39" s="172">
        <f t="shared" si="7"/>
        <v>0</v>
      </c>
      <c r="DF39" s="172">
        <f t="shared" si="7"/>
        <v>0</v>
      </c>
      <c r="DG39" s="172">
        <f t="shared" si="7"/>
        <v>0</v>
      </c>
      <c r="DH39" s="172">
        <f t="shared" si="7"/>
        <v>0</v>
      </c>
      <c r="DI39" s="172">
        <f t="shared" si="7"/>
        <v>0</v>
      </c>
      <c r="DJ39" s="172">
        <f t="shared" si="7"/>
        <v>0</v>
      </c>
      <c r="DK39" s="172">
        <f t="shared" si="7"/>
        <v>0</v>
      </c>
      <c r="DL39" s="172">
        <f t="shared" si="7"/>
        <v>0</v>
      </c>
      <c r="DM39" s="172">
        <f t="shared" si="7"/>
        <v>0</v>
      </c>
      <c r="DN39" s="172">
        <f t="shared" si="7"/>
        <v>0</v>
      </c>
      <c r="DO39" s="172">
        <f t="shared" si="7"/>
        <v>0</v>
      </c>
      <c r="DP39" s="172">
        <f t="shared" si="7"/>
        <v>0</v>
      </c>
      <c r="DQ39" s="172">
        <f t="shared" si="7"/>
        <v>0</v>
      </c>
      <c r="DR39" s="172">
        <f t="shared" si="7"/>
        <v>0</v>
      </c>
      <c r="DS39" s="161">
        <f t="shared" si="7"/>
        <v>0</v>
      </c>
    </row>
    <row r="40" ht="15.0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</row>
    <row r="41" ht="15.75" customHeight="1">
      <c r="A41" s="44"/>
      <c r="B41" s="45" t="s">
        <v>338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44"/>
    </row>
    <row r="42" ht="15.0" customHeight="1">
      <c r="A42" s="44"/>
      <c r="B42" s="46" t="s">
        <v>339</v>
      </c>
      <c r="C42" s="152" t="s">
        <v>330</v>
      </c>
      <c r="D42" s="152">
        <f t="array" ref="D42">IF(D$3&lt;=INDEX(Inputs!$C:$C,MATCH("End Year",Inputs!$B:$B,0))*12,IF(D$3&lt;=INDEX(Inputs!$C:$C,MATCH("*Seller Finance Origination Month*",Inputs!$B:$B,0)),0,C47),0)</f>
        <v>0</v>
      </c>
      <c r="E42" s="152">
        <f t="array" ref="E42">IF(E$3&lt;=INDEX(Inputs!$C:$C,MATCH("End Year",Inputs!$B:$B,0))*12,IF(E$3&lt;=INDEX(Inputs!$C:$C,MATCH("*Seller Finance Origination Month*",Inputs!$B:$B,0)),0,D47),0)</f>
        <v>0</v>
      </c>
      <c r="F42" s="152">
        <f t="array" ref="F42">IF(F$3&lt;=INDEX(Inputs!$C:$C,MATCH("End Year",Inputs!$B:$B,0))*12,IF(F$3&lt;=INDEX(Inputs!$C:$C,MATCH("*Seller Finance Origination Month*",Inputs!$B:$B,0)),0,E47),0)</f>
        <v>0</v>
      </c>
      <c r="G42" s="152">
        <f t="array" ref="G42">IF(G$3&lt;=INDEX(Inputs!$C:$C,MATCH("End Year",Inputs!$B:$B,0))*12,IF(G$3&lt;=INDEX(Inputs!$C:$C,MATCH("*Seller Finance Origination Month*",Inputs!$B:$B,0)),0,F47),0)</f>
        <v>0</v>
      </c>
      <c r="H42" s="152">
        <f t="array" ref="H42">IF(H$3&lt;=INDEX(Inputs!$C:$C,MATCH("End Year",Inputs!$B:$B,0))*12,IF(H$3&lt;=INDEX(Inputs!$C:$C,MATCH("*Seller Finance Origination Month*",Inputs!$B:$B,0)),0,G47),0)</f>
        <v>0</v>
      </c>
      <c r="I42" s="152">
        <f t="array" ref="I42">IF(I$3&lt;=INDEX(Inputs!$C:$C,MATCH("End Year",Inputs!$B:$B,0))*12,IF(I$3&lt;=INDEX(Inputs!$C:$C,MATCH("*Seller Finance Origination Month*",Inputs!$B:$B,0)),0,H47),0)</f>
        <v>0</v>
      </c>
      <c r="J42" s="152">
        <f t="array" ref="J42">IF(J$3&lt;=INDEX(Inputs!$C:$C,MATCH("End Year",Inputs!$B:$B,0))*12,IF(J$3&lt;=INDEX(Inputs!$C:$C,MATCH("*Seller Finance Origination Month*",Inputs!$B:$B,0)),0,I47),0)</f>
        <v>0</v>
      </c>
      <c r="K42" s="152">
        <f t="array" ref="K42">IF(K$3&lt;=INDEX(Inputs!$C:$C,MATCH("End Year",Inputs!$B:$B,0))*12,IF(K$3&lt;=INDEX(Inputs!$C:$C,MATCH("*Seller Finance Origination Month*",Inputs!$B:$B,0)),0,J47),0)</f>
        <v>0</v>
      </c>
      <c r="L42" s="152">
        <f t="array" ref="L42">IF(L$3&lt;=INDEX(Inputs!$C:$C,MATCH("End Year",Inputs!$B:$B,0))*12,IF(L$3&lt;=INDEX(Inputs!$C:$C,MATCH("*Seller Finance Origination Month*",Inputs!$B:$B,0)),0,K47),0)</f>
        <v>0</v>
      </c>
      <c r="M42" s="152">
        <f t="array" ref="M42">IF(M$3&lt;=INDEX(Inputs!$C:$C,MATCH("End Year",Inputs!$B:$B,0))*12,IF(M$3&lt;=INDEX(Inputs!$C:$C,MATCH("*Seller Finance Origination Month*",Inputs!$B:$B,0)),0,L47),0)</f>
        <v>0</v>
      </c>
      <c r="N42" s="152">
        <f t="array" ref="N42">IF(N$3&lt;=INDEX(Inputs!$C:$C,MATCH("End Year",Inputs!$B:$B,0))*12,IF(N$3&lt;=INDEX(Inputs!$C:$C,MATCH("*Seller Finance Origination Month*",Inputs!$B:$B,0)),0,M47),0)</f>
        <v>0</v>
      </c>
      <c r="O42" s="152">
        <f t="array" ref="O42">IF(O$3&lt;=INDEX(Inputs!$C:$C,MATCH("End Year",Inputs!$B:$B,0))*12,IF(O$3&lt;=INDEX(Inputs!$C:$C,MATCH("*Seller Finance Origination Month*",Inputs!$B:$B,0)),0,N47),0)</f>
        <v>0</v>
      </c>
      <c r="P42" s="152">
        <f t="array" ref="P42">IF(P$3&lt;=INDEX(Inputs!$C:$C,MATCH("End Year",Inputs!$B:$B,0))*12,IF(P$3&lt;=INDEX(Inputs!$C:$C,MATCH("*Seller Finance Origination Month*",Inputs!$B:$B,0)),0,O47),0)</f>
        <v>0</v>
      </c>
      <c r="Q42" s="152">
        <f t="array" ref="Q42">IF(Q$3&lt;=INDEX(Inputs!$C:$C,MATCH("End Year",Inputs!$B:$B,0))*12,IF(Q$3&lt;=INDEX(Inputs!$C:$C,MATCH("*Seller Finance Origination Month*",Inputs!$B:$B,0)),0,P47),0)</f>
        <v>0</v>
      </c>
      <c r="R42" s="152">
        <f t="array" ref="R42">IF(R$3&lt;=INDEX(Inputs!$C:$C,MATCH("End Year",Inputs!$B:$B,0))*12,IF(R$3&lt;=INDEX(Inputs!$C:$C,MATCH("*Seller Finance Origination Month*",Inputs!$B:$B,0)),0,Q47),0)</f>
        <v>0</v>
      </c>
      <c r="S42" s="152">
        <f t="array" ref="S42">IF(S$3&lt;=INDEX(Inputs!$C:$C,MATCH("End Year",Inputs!$B:$B,0))*12,IF(S$3&lt;=INDEX(Inputs!$C:$C,MATCH("*Seller Finance Origination Month*",Inputs!$B:$B,0)),0,R47),0)</f>
        <v>0</v>
      </c>
      <c r="T42" s="152">
        <f t="array" ref="T42">IF(T$3&lt;=INDEX(Inputs!$C:$C,MATCH("End Year",Inputs!$B:$B,0))*12,IF(T$3&lt;=INDEX(Inputs!$C:$C,MATCH("*Seller Finance Origination Month*",Inputs!$B:$B,0)),0,S47),0)</f>
        <v>0</v>
      </c>
      <c r="U42" s="152">
        <f t="array" ref="U42">IF(U$3&lt;=INDEX(Inputs!$C:$C,MATCH("End Year",Inputs!$B:$B,0))*12,IF(U$3&lt;=INDEX(Inputs!$C:$C,MATCH("*Seller Finance Origination Month*",Inputs!$B:$B,0)),0,T47),0)</f>
        <v>0</v>
      </c>
      <c r="V42" s="152">
        <f t="array" ref="V42">IF(V$3&lt;=INDEX(Inputs!$C:$C,MATCH("End Year",Inputs!$B:$B,0))*12,IF(V$3&lt;=INDEX(Inputs!$C:$C,MATCH("*Seller Finance Origination Month*",Inputs!$B:$B,0)),0,U47),0)</f>
        <v>0</v>
      </c>
      <c r="W42" s="152">
        <f t="array" ref="W42">IF(W$3&lt;=INDEX(Inputs!$C:$C,MATCH("End Year",Inputs!$B:$B,0))*12,IF(W$3&lt;=INDEX(Inputs!$C:$C,MATCH("*Seller Finance Origination Month*",Inputs!$B:$B,0)),0,V47),0)</f>
        <v>0</v>
      </c>
      <c r="X42" s="152">
        <f t="array" ref="X42">IF(X$3&lt;=INDEX(Inputs!$C:$C,MATCH("End Year",Inputs!$B:$B,0))*12,IF(X$3&lt;=INDEX(Inputs!$C:$C,MATCH("*Seller Finance Origination Month*",Inputs!$B:$B,0)),0,W47),0)</f>
        <v>0</v>
      </c>
      <c r="Y42" s="152">
        <f t="array" ref="Y42">IF(Y$3&lt;=INDEX(Inputs!$C:$C,MATCH("End Year",Inputs!$B:$B,0))*12,IF(Y$3&lt;=INDEX(Inputs!$C:$C,MATCH("*Seller Finance Origination Month*",Inputs!$B:$B,0)),0,X47),0)</f>
        <v>0</v>
      </c>
      <c r="Z42" s="152">
        <f t="array" ref="Z42">IF(Z$3&lt;=INDEX(Inputs!$C:$C,MATCH("End Year",Inputs!$B:$B,0))*12,IF(Z$3&lt;=INDEX(Inputs!$C:$C,MATCH("*Seller Finance Origination Month*",Inputs!$B:$B,0)),0,Y47),0)</f>
        <v>0</v>
      </c>
      <c r="AA42" s="152">
        <f t="array" ref="AA42">IF(AA$3&lt;=INDEX(Inputs!$C:$C,MATCH("End Year",Inputs!$B:$B,0))*12,IF(AA$3&lt;=INDEX(Inputs!$C:$C,MATCH("*Seller Finance Origination Month*",Inputs!$B:$B,0)),0,Z47),0)</f>
        <v>0</v>
      </c>
      <c r="AB42" s="152">
        <f t="array" ref="AB42">IF(AB$3&lt;=INDEX(Inputs!$C:$C,MATCH("End Year",Inputs!$B:$B,0))*12,IF(AB$3&lt;=INDEX(Inputs!$C:$C,MATCH("*Seller Finance Origination Month*",Inputs!$B:$B,0)),0,AA47),0)</f>
        <v>0</v>
      </c>
      <c r="AC42" s="152">
        <f t="array" ref="AC42">IF(AC$3&lt;=INDEX(Inputs!$C:$C,MATCH("End Year",Inputs!$B:$B,0))*12,IF(AC$3&lt;=INDEX(Inputs!$C:$C,MATCH("*Seller Finance Origination Month*",Inputs!$B:$B,0)),0,AB47),0)</f>
        <v>0</v>
      </c>
      <c r="AD42" s="152">
        <f t="array" ref="AD42">IF(AD$3&lt;=INDEX(Inputs!$C:$C,MATCH("End Year",Inputs!$B:$B,0))*12,IF(AD$3&lt;=INDEX(Inputs!$C:$C,MATCH("*Seller Finance Origination Month*",Inputs!$B:$B,0)),0,AC47),0)</f>
        <v>0</v>
      </c>
      <c r="AE42" s="152">
        <f t="array" ref="AE42">IF(AE$3&lt;=INDEX(Inputs!$C:$C,MATCH("End Year",Inputs!$B:$B,0))*12,IF(AE$3&lt;=INDEX(Inputs!$C:$C,MATCH("*Seller Finance Origination Month*",Inputs!$B:$B,0)),0,AD47),0)</f>
        <v>0</v>
      </c>
      <c r="AF42" s="152">
        <f t="array" ref="AF42">IF(AF$3&lt;=INDEX(Inputs!$C:$C,MATCH("End Year",Inputs!$B:$B,0))*12,IF(AF$3&lt;=INDEX(Inputs!$C:$C,MATCH("*Seller Finance Origination Month*",Inputs!$B:$B,0)),0,AE47),0)</f>
        <v>0</v>
      </c>
      <c r="AG42" s="152">
        <f t="array" ref="AG42">IF(AG$3&lt;=INDEX(Inputs!$C:$C,MATCH("End Year",Inputs!$B:$B,0))*12,IF(AG$3&lt;=INDEX(Inputs!$C:$C,MATCH("*Seller Finance Origination Month*",Inputs!$B:$B,0)),0,AF47),0)</f>
        <v>0</v>
      </c>
      <c r="AH42" s="152">
        <f t="array" ref="AH42">IF(AH$3&lt;=INDEX(Inputs!$C:$C,MATCH("End Year",Inputs!$B:$B,0))*12,IF(AH$3&lt;=INDEX(Inputs!$C:$C,MATCH("*Seller Finance Origination Month*",Inputs!$B:$B,0)),0,AG47),0)</f>
        <v>0</v>
      </c>
      <c r="AI42" s="152">
        <f t="array" ref="AI42">IF(AI$3&lt;=INDEX(Inputs!$C:$C,MATCH("End Year",Inputs!$B:$B,0))*12,IF(AI$3&lt;=INDEX(Inputs!$C:$C,MATCH("*Seller Finance Origination Month*",Inputs!$B:$B,0)),0,AH47),0)</f>
        <v>0</v>
      </c>
      <c r="AJ42" s="152">
        <f t="array" ref="AJ42">IF(AJ$3&lt;=INDEX(Inputs!$C:$C,MATCH("End Year",Inputs!$B:$B,0))*12,IF(AJ$3&lt;=INDEX(Inputs!$C:$C,MATCH("*Seller Finance Origination Month*",Inputs!$B:$B,0)),0,AI47),0)</f>
        <v>0</v>
      </c>
      <c r="AK42" s="152">
        <f t="array" ref="AK42">IF(AK$3&lt;=INDEX(Inputs!$C:$C,MATCH("End Year",Inputs!$B:$B,0))*12,IF(AK$3&lt;=INDEX(Inputs!$C:$C,MATCH("*Seller Finance Origination Month*",Inputs!$B:$B,0)),0,AJ47),0)</f>
        <v>0</v>
      </c>
      <c r="AL42" s="152">
        <f t="array" ref="AL42">IF(AL$3&lt;=INDEX(Inputs!$C:$C,MATCH("End Year",Inputs!$B:$B,0))*12,IF(AL$3&lt;=INDEX(Inputs!$C:$C,MATCH("*Seller Finance Origination Month*",Inputs!$B:$B,0)),0,AK47),0)</f>
        <v>0</v>
      </c>
      <c r="AM42" s="152">
        <f t="array" ref="AM42">IF(AM$3&lt;=INDEX(Inputs!$C:$C,MATCH("End Year",Inputs!$B:$B,0))*12,IF(AM$3&lt;=INDEX(Inputs!$C:$C,MATCH("*Seller Finance Origination Month*",Inputs!$B:$B,0)),0,AL47),0)</f>
        <v>0</v>
      </c>
      <c r="AN42" s="152">
        <f t="array" ref="AN42">IF(AN$3&lt;=INDEX(Inputs!$C:$C,MATCH("End Year",Inputs!$B:$B,0))*12,IF(AN$3&lt;=INDEX(Inputs!$C:$C,MATCH("*Seller Finance Origination Month*",Inputs!$B:$B,0)),0,AM47),0)</f>
        <v>0</v>
      </c>
      <c r="AO42" s="152">
        <f t="array" ref="AO42">IF(AO$3&lt;=INDEX(Inputs!$C:$C,MATCH("End Year",Inputs!$B:$B,0))*12,IF(AO$3&lt;=INDEX(Inputs!$C:$C,MATCH("*Seller Finance Origination Month*",Inputs!$B:$B,0)),0,AN47),0)</f>
        <v>0</v>
      </c>
      <c r="AP42" s="152">
        <f t="array" ref="AP42">IF(AP$3&lt;=INDEX(Inputs!$C:$C,MATCH("End Year",Inputs!$B:$B,0))*12,IF(AP$3&lt;=INDEX(Inputs!$C:$C,MATCH("*Seller Finance Origination Month*",Inputs!$B:$B,0)),0,AO47),0)</f>
        <v>0</v>
      </c>
      <c r="AQ42" s="152">
        <f t="array" ref="AQ42">IF(AQ$3&lt;=INDEX(Inputs!$C:$C,MATCH("End Year",Inputs!$B:$B,0))*12,IF(AQ$3&lt;=INDEX(Inputs!$C:$C,MATCH("*Seller Finance Origination Month*",Inputs!$B:$B,0)),0,AP47),0)</f>
        <v>0</v>
      </c>
      <c r="AR42" s="152">
        <f t="array" ref="AR42">IF(AR$3&lt;=INDEX(Inputs!$C:$C,MATCH("End Year",Inputs!$B:$B,0))*12,IF(AR$3&lt;=INDEX(Inputs!$C:$C,MATCH("*Seller Finance Origination Month*",Inputs!$B:$B,0)),0,AQ47),0)</f>
        <v>0</v>
      </c>
      <c r="AS42" s="152">
        <f t="array" ref="AS42">IF(AS$3&lt;=INDEX(Inputs!$C:$C,MATCH("End Year",Inputs!$B:$B,0))*12,IF(AS$3&lt;=INDEX(Inputs!$C:$C,MATCH("*Seller Finance Origination Month*",Inputs!$B:$B,0)),0,AR47),0)</f>
        <v>0</v>
      </c>
      <c r="AT42" s="152">
        <f t="array" ref="AT42">IF(AT$3&lt;=INDEX(Inputs!$C:$C,MATCH("End Year",Inputs!$B:$B,0))*12,IF(AT$3&lt;=INDEX(Inputs!$C:$C,MATCH("*Seller Finance Origination Month*",Inputs!$B:$B,0)),0,AS47),0)</f>
        <v>0</v>
      </c>
      <c r="AU42" s="152">
        <f t="array" ref="AU42">IF(AU$3&lt;=INDEX(Inputs!$C:$C,MATCH("End Year",Inputs!$B:$B,0))*12,IF(AU$3&lt;=INDEX(Inputs!$C:$C,MATCH("*Seller Finance Origination Month*",Inputs!$B:$B,0)),0,AT47),0)</f>
        <v>0</v>
      </c>
      <c r="AV42" s="152">
        <f t="array" ref="AV42">IF(AV$3&lt;=INDEX(Inputs!$C:$C,MATCH("End Year",Inputs!$B:$B,0))*12,IF(AV$3&lt;=INDEX(Inputs!$C:$C,MATCH("*Seller Finance Origination Month*",Inputs!$B:$B,0)),0,AU47),0)</f>
        <v>0</v>
      </c>
      <c r="AW42" s="152">
        <f t="array" ref="AW42">IF(AW$3&lt;=INDEX(Inputs!$C:$C,MATCH("End Year",Inputs!$B:$B,0))*12,IF(AW$3&lt;=INDEX(Inputs!$C:$C,MATCH("*Seller Finance Origination Month*",Inputs!$B:$B,0)),0,AV47),0)</f>
        <v>0</v>
      </c>
      <c r="AX42" s="152">
        <f t="array" ref="AX42">IF(AX$3&lt;=INDEX(Inputs!$C:$C,MATCH("End Year",Inputs!$B:$B,0))*12,IF(AX$3&lt;=INDEX(Inputs!$C:$C,MATCH("*Seller Finance Origination Month*",Inputs!$B:$B,0)),0,AW47),0)</f>
        <v>0</v>
      </c>
      <c r="AY42" s="152">
        <f t="array" ref="AY42">IF(AY$3&lt;=INDEX(Inputs!$C:$C,MATCH("End Year",Inputs!$B:$B,0))*12,IF(AY$3&lt;=INDEX(Inputs!$C:$C,MATCH("*Seller Finance Origination Month*",Inputs!$B:$B,0)),0,AX47),0)</f>
        <v>0</v>
      </c>
      <c r="AZ42" s="152">
        <f t="array" ref="AZ42">IF(AZ$3&lt;=INDEX(Inputs!$C:$C,MATCH("End Year",Inputs!$B:$B,0))*12,IF(AZ$3&lt;=INDEX(Inputs!$C:$C,MATCH("*Seller Finance Origination Month*",Inputs!$B:$B,0)),0,AY47),0)</f>
        <v>0</v>
      </c>
      <c r="BA42" s="152">
        <f t="array" ref="BA42">IF(BA$3&lt;=INDEX(Inputs!$C:$C,MATCH("End Year",Inputs!$B:$B,0))*12,IF(BA$3&lt;=INDEX(Inputs!$C:$C,MATCH("*Seller Finance Origination Month*",Inputs!$B:$B,0)),0,AZ47),0)</f>
        <v>0</v>
      </c>
      <c r="BB42" s="152">
        <f t="array" ref="BB42">IF(BB$3&lt;=INDEX(Inputs!$C:$C,MATCH("End Year",Inputs!$B:$B,0))*12,IF(BB$3&lt;=INDEX(Inputs!$C:$C,MATCH("*Seller Finance Origination Month*",Inputs!$B:$B,0)),0,BA47),0)</f>
        <v>0</v>
      </c>
      <c r="BC42" s="152">
        <f t="array" ref="BC42">IF(BC$3&lt;=INDEX(Inputs!$C:$C,MATCH("End Year",Inputs!$B:$B,0))*12,IF(BC$3&lt;=INDEX(Inputs!$C:$C,MATCH("*Seller Finance Origination Month*",Inputs!$B:$B,0)),0,BB47),0)</f>
        <v>0</v>
      </c>
      <c r="BD42" s="152">
        <f t="array" ref="BD42">IF(BD$3&lt;=INDEX(Inputs!$C:$C,MATCH("End Year",Inputs!$B:$B,0))*12,IF(BD$3&lt;=INDEX(Inputs!$C:$C,MATCH("*Seller Finance Origination Month*",Inputs!$B:$B,0)),0,BC47),0)</f>
        <v>0</v>
      </c>
      <c r="BE42" s="152">
        <f t="array" ref="BE42">IF(BE$3&lt;=INDEX(Inputs!$C:$C,MATCH("End Year",Inputs!$B:$B,0))*12,IF(BE$3&lt;=INDEX(Inputs!$C:$C,MATCH("*Seller Finance Origination Month*",Inputs!$B:$B,0)),0,BD47),0)</f>
        <v>0</v>
      </c>
      <c r="BF42" s="152">
        <f t="array" ref="BF42">IF(BF$3&lt;=INDEX(Inputs!$C:$C,MATCH("End Year",Inputs!$B:$B,0))*12,IF(BF$3&lt;=INDEX(Inputs!$C:$C,MATCH("*Seller Finance Origination Month*",Inputs!$B:$B,0)),0,BE47),0)</f>
        <v>0</v>
      </c>
      <c r="BG42" s="152">
        <f t="array" ref="BG42">IF(BG$3&lt;=INDEX(Inputs!$C:$C,MATCH("End Year",Inputs!$B:$B,0))*12,IF(BG$3&lt;=INDEX(Inputs!$C:$C,MATCH("*Seller Finance Origination Month*",Inputs!$B:$B,0)),0,BF47),0)</f>
        <v>0</v>
      </c>
      <c r="BH42" s="152">
        <f t="array" ref="BH42">IF(BH$3&lt;=INDEX(Inputs!$C:$C,MATCH("End Year",Inputs!$B:$B,0))*12,IF(BH$3&lt;=INDEX(Inputs!$C:$C,MATCH("*Seller Finance Origination Month*",Inputs!$B:$B,0)),0,BG47),0)</f>
        <v>0</v>
      </c>
      <c r="BI42" s="152">
        <f t="array" ref="BI42">IF(BI$3&lt;=INDEX(Inputs!$C:$C,MATCH("End Year",Inputs!$B:$B,0))*12,IF(BI$3&lt;=INDEX(Inputs!$C:$C,MATCH("*Seller Finance Origination Month*",Inputs!$B:$B,0)),0,BH47),0)</f>
        <v>0</v>
      </c>
      <c r="BJ42" s="152">
        <f t="array" ref="BJ42">IF(BJ$3&lt;=INDEX(Inputs!$C:$C,MATCH("End Year",Inputs!$B:$B,0))*12,IF(BJ$3&lt;=INDEX(Inputs!$C:$C,MATCH("*Seller Finance Origination Month*",Inputs!$B:$B,0)),0,BI47),0)</f>
        <v>0</v>
      </c>
      <c r="BK42" s="152">
        <f t="array" ref="BK42">IF(BK$3&lt;=INDEX(Inputs!$C:$C,MATCH("End Year",Inputs!$B:$B,0))*12,IF(BK$3&lt;=INDEX(Inputs!$C:$C,MATCH("*Seller Finance Origination Month*",Inputs!$B:$B,0)),0,BJ47),0)</f>
        <v>0</v>
      </c>
      <c r="BL42" s="152">
        <f t="array" ref="BL42">IF(BL$3&lt;=INDEX(Inputs!$C:$C,MATCH("End Year",Inputs!$B:$B,0))*12,IF(BL$3&lt;=INDEX(Inputs!$C:$C,MATCH("*Seller Finance Origination Month*",Inputs!$B:$B,0)),0,BK47),0)</f>
        <v>0</v>
      </c>
      <c r="BM42" s="152">
        <f t="array" ref="BM42">IF(BM$3&lt;=INDEX(Inputs!$C:$C,MATCH("End Year",Inputs!$B:$B,0))*12,IF(BM$3&lt;=INDEX(Inputs!$C:$C,MATCH("*Seller Finance Origination Month*",Inputs!$B:$B,0)),0,BL47),0)</f>
        <v>0</v>
      </c>
      <c r="BN42" s="152">
        <f t="array" ref="BN42">IF(BN$3&lt;=INDEX(Inputs!$C:$C,MATCH("End Year",Inputs!$B:$B,0))*12,IF(BN$3&lt;=INDEX(Inputs!$C:$C,MATCH("*Seller Finance Origination Month*",Inputs!$B:$B,0)),0,BM47),0)</f>
        <v>0</v>
      </c>
      <c r="BO42" s="152">
        <f t="array" ref="BO42">IF(BO$3&lt;=INDEX(Inputs!$C:$C,MATCH("End Year",Inputs!$B:$B,0))*12,IF(BO$3&lt;=INDEX(Inputs!$C:$C,MATCH("*Seller Finance Origination Month*",Inputs!$B:$B,0)),0,BN47),0)</f>
        <v>0</v>
      </c>
      <c r="BP42" s="152">
        <f t="array" ref="BP42">IF(BP$3&lt;=INDEX(Inputs!$C:$C,MATCH("End Year",Inputs!$B:$B,0))*12,IF(BP$3&lt;=INDEX(Inputs!$C:$C,MATCH("*Seller Finance Origination Month*",Inputs!$B:$B,0)),0,BO47),0)</f>
        <v>0</v>
      </c>
      <c r="BQ42" s="152">
        <f t="array" ref="BQ42">IF(BQ$3&lt;=INDEX(Inputs!$C:$C,MATCH("End Year",Inputs!$B:$B,0))*12,IF(BQ$3&lt;=INDEX(Inputs!$C:$C,MATCH("*Seller Finance Origination Month*",Inputs!$B:$B,0)),0,BP47),0)</f>
        <v>0</v>
      </c>
      <c r="BR42" s="152">
        <f t="array" ref="BR42">IF(BR$3&lt;=INDEX(Inputs!$C:$C,MATCH("End Year",Inputs!$B:$B,0))*12,IF(BR$3&lt;=INDEX(Inputs!$C:$C,MATCH("*Seller Finance Origination Month*",Inputs!$B:$B,0)),0,BQ47),0)</f>
        <v>0</v>
      </c>
      <c r="BS42" s="152">
        <f t="array" ref="BS42">IF(BS$3&lt;=INDEX(Inputs!$C:$C,MATCH("End Year",Inputs!$B:$B,0))*12,IF(BS$3&lt;=INDEX(Inputs!$C:$C,MATCH("*Seller Finance Origination Month*",Inputs!$B:$B,0)),0,BR47),0)</f>
        <v>0</v>
      </c>
      <c r="BT42" s="152">
        <f t="array" ref="BT42">IF(BT$3&lt;=INDEX(Inputs!$C:$C,MATCH("End Year",Inputs!$B:$B,0))*12,IF(BT$3&lt;=INDEX(Inputs!$C:$C,MATCH("*Seller Finance Origination Month*",Inputs!$B:$B,0)),0,BS47),0)</f>
        <v>0</v>
      </c>
      <c r="BU42" s="152">
        <f t="array" ref="BU42">IF(BU$3&lt;=INDEX(Inputs!$C:$C,MATCH("End Year",Inputs!$B:$B,0))*12,IF(BU$3&lt;=INDEX(Inputs!$C:$C,MATCH("*Seller Finance Origination Month*",Inputs!$B:$B,0)),0,BT47),0)</f>
        <v>0</v>
      </c>
      <c r="BV42" s="152">
        <f t="array" ref="BV42">IF(BV$3&lt;=INDEX(Inputs!$C:$C,MATCH("End Year",Inputs!$B:$B,0))*12,IF(BV$3&lt;=INDEX(Inputs!$C:$C,MATCH("*Seller Finance Origination Month*",Inputs!$B:$B,0)),0,BU47),0)</f>
        <v>0</v>
      </c>
      <c r="BW42" s="152">
        <f t="array" ref="BW42">IF(BW$3&lt;=INDEX(Inputs!$C:$C,MATCH("End Year",Inputs!$B:$B,0))*12,IF(BW$3&lt;=INDEX(Inputs!$C:$C,MATCH("*Seller Finance Origination Month*",Inputs!$B:$B,0)),0,BV47),0)</f>
        <v>0</v>
      </c>
      <c r="BX42" s="152">
        <f t="array" ref="BX42">IF(BX$3&lt;=INDEX(Inputs!$C:$C,MATCH("End Year",Inputs!$B:$B,0))*12,IF(BX$3&lt;=INDEX(Inputs!$C:$C,MATCH("*Seller Finance Origination Month*",Inputs!$B:$B,0)),0,BW47),0)</f>
        <v>0</v>
      </c>
      <c r="BY42" s="152">
        <f t="array" ref="BY42">IF(BY$3&lt;=INDEX(Inputs!$C:$C,MATCH("End Year",Inputs!$B:$B,0))*12,IF(BY$3&lt;=INDEX(Inputs!$C:$C,MATCH("*Seller Finance Origination Month*",Inputs!$B:$B,0)),0,BX47),0)</f>
        <v>0</v>
      </c>
      <c r="BZ42" s="152">
        <f t="array" ref="BZ42">IF(BZ$3&lt;=INDEX(Inputs!$C:$C,MATCH("End Year",Inputs!$B:$B,0))*12,IF(BZ$3&lt;=INDEX(Inputs!$C:$C,MATCH("*Seller Finance Origination Month*",Inputs!$B:$B,0)),0,BY47),0)</f>
        <v>0</v>
      </c>
      <c r="CA42" s="152">
        <f t="array" ref="CA42">IF(CA$3&lt;=INDEX(Inputs!$C:$C,MATCH("End Year",Inputs!$B:$B,0))*12,IF(CA$3&lt;=INDEX(Inputs!$C:$C,MATCH("*Seller Finance Origination Month*",Inputs!$B:$B,0)),0,BZ47),0)</f>
        <v>0</v>
      </c>
      <c r="CB42" s="152">
        <f t="array" ref="CB42">IF(CB$3&lt;=INDEX(Inputs!$C:$C,MATCH("End Year",Inputs!$B:$B,0))*12,IF(CB$3&lt;=INDEX(Inputs!$C:$C,MATCH("*Seller Finance Origination Month*",Inputs!$B:$B,0)),0,CA47),0)</f>
        <v>0</v>
      </c>
      <c r="CC42" s="152">
        <f t="array" ref="CC42">IF(CC$3&lt;=INDEX(Inputs!$C:$C,MATCH("End Year",Inputs!$B:$B,0))*12,IF(CC$3&lt;=INDEX(Inputs!$C:$C,MATCH("*Seller Finance Origination Month*",Inputs!$B:$B,0)),0,CB47),0)</f>
        <v>0</v>
      </c>
      <c r="CD42" s="152">
        <f t="array" ref="CD42">IF(CD$3&lt;=INDEX(Inputs!$C:$C,MATCH("End Year",Inputs!$B:$B,0))*12,IF(CD$3&lt;=INDEX(Inputs!$C:$C,MATCH("*Seller Finance Origination Month*",Inputs!$B:$B,0)),0,CC47),0)</f>
        <v>0</v>
      </c>
      <c r="CE42" s="152">
        <f t="array" ref="CE42">IF(CE$3&lt;=INDEX(Inputs!$C:$C,MATCH("End Year",Inputs!$B:$B,0))*12,IF(CE$3&lt;=INDEX(Inputs!$C:$C,MATCH("*Seller Finance Origination Month*",Inputs!$B:$B,0)),0,CD47),0)</f>
        <v>0</v>
      </c>
      <c r="CF42" s="152">
        <f t="array" ref="CF42">IF(CF$3&lt;=INDEX(Inputs!$C:$C,MATCH("End Year",Inputs!$B:$B,0))*12,IF(CF$3&lt;=INDEX(Inputs!$C:$C,MATCH("*Seller Finance Origination Month*",Inputs!$B:$B,0)),0,CE47),0)</f>
        <v>0</v>
      </c>
      <c r="CG42" s="152">
        <f t="array" ref="CG42">IF(CG$3&lt;=INDEX(Inputs!$C:$C,MATCH("End Year",Inputs!$B:$B,0))*12,IF(CG$3&lt;=INDEX(Inputs!$C:$C,MATCH("*Seller Finance Origination Month*",Inputs!$B:$B,0)),0,CF47),0)</f>
        <v>0</v>
      </c>
      <c r="CH42" s="152">
        <f t="array" ref="CH42">IF(CH$3&lt;=INDEX(Inputs!$C:$C,MATCH("End Year",Inputs!$B:$B,0))*12,IF(CH$3&lt;=INDEX(Inputs!$C:$C,MATCH("*Seller Finance Origination Month*",Inputs!$B:$B,0)),0,CG47),0)</f>
        <v>0</v>
      </c>
      <c r="CI42" s="152">
        <f t="array" ref="CI42">IF(CI$3&lt;=INDEX(Inputs!$C:$C,MATCH("End Year",Inputs!$B:$B,0))*12,IF(CI$3&lt;=INDEX(Inputs!$C:$C,MATCH("*Seller Finance Origination Month*",Inputs!$B:$B,0)),0,CH47),0)</f>
        <v>0</v>
      </c>
      <c r="CJ42" s="152">
        <f t="array" ref="CJ42">IF(CJ$3&lt;=INDEX(Inputs!$C:$C,MATCH("End Year",Inputs!$B:$B,0))*12,IF(CJ$3&lt;=INDEX(Inputs!$C:$C,MATCH("*Seller Finance Origination Month*",Inputs!$B:$B,0)),0,CI47),0)</f>
        <v>0</v>
      </c>
      <c r="CK42" s="152">
        <f t="array" ref="CK42">IF(CK$3&lt;=INDEX(Inputs!$C:$C,MATCH("End Year",Inputs!$B:$B,0))*12,IF(CK$3&lt;=INDEX(Inputs!$C:$C,MATCH("*Seller Finance Origination Month*",Inputs!$B:$B,0)),0,CJ47),0)</f>
        <v>0</v>
      </c>
      <c r="CL42" s="152">
        <f t="array" ref="CL42">IF(CL$3&lt;=INDEX(Inputs!$C:$C,MATCH("End Year",Inputs!$B:$B,0))*12,IF(CL$3&lt;=INDEX(Inputs!$C:$C,MATCH("*Seller Finance Origination Month*",Inputs!$B:$B,0)),0,CK47),0)</f>
        <v>0</v>
      </c>
      <c r="CM42" s="152">
        <f t="array" ref="CM42">IF(CM$3&lt;=INDEX(Inputs!$C:$C,MATCH("End Year",Inputs!$B:$B,0))*12,IF(CM$3&lt;=INDEX(Inputs!$C:$C,MATCH("*Seller Finance Origination Month*",Inputs!$B:$B,0)),0,CL47),0)</f>
        <v>0</v>
      </c>
      <c r="CN42" s="152">
        <f t="array" ref="CN42">IF(CN$3&lt;=INDEX(Inputs!$C:$C,MATCH("End Year",Inputs!$B:$B,0))*12,IF(CN$3&lt;=INDEX(Inputs!$C:$C,MATCH("*Seller Finance Origination Month*",Inputs!$B:$B,0)),0,CM47),0)</f>
        <v>0</v>
      </c>
      <c r="CO42" s="152">
        <f t="array" ref="CO42">IF(CO$3&lt;=INDEX(Inputs!$C:$C,MATCH("End Year",Inputs!$B:$B,0))*12,IF(CO$3&lt;=INDEX(Inputs!$C:$C,MATCH("*Seller Finance Origination Month*",Inputs!$B:$B,0)),0,CN47),0)</f>
        <v>0</v>
      </c>
      <c r="CP42" s="152">
        <f t="array" ref="CP42">IF(CP$3&lt;=INDEX(Inputs!$C:$C,MATCH("End Year",Inputs!$B:$B,0))*12,IF(CP$3&lt;=INDEX(Inputs!$C:$C,MATCH("*Seller Finance Origination Month*",Inputs!$B:$B,0)),0,CO47),0)</f>
        <v>0</v>
      </c>
      <c r="CQ42" s="152">
        <f t="array" ref="CQ42">IF(CQ$3&lt;=INDEX(Inputs!$C:$C,MATCH("End Year",Inputs!$B:$B,0))*12,IF(CQ$3&lt;=INDEX(Inputs!$C:$C,MATCH("*Seller Finance Origination Month*",Inputs!$B:$B,0)),0,CP47),0)</f>
        <v>0</v>
      </c>
      <c r="CR42" s="152">
        <f t="array" ref="CR42">IF(CR$3&lt;=INDEX(Inputs!$C:$C,MATCH("End Year",Inputs!$B:$B,0))*12,IF(CR$3&lt;=INDEX(Inputs!$C:$C,MATCH("*Seller Finance Origination Month*",Inputs!$B:$B,0)),0,CQ47),0)</f>
        <v>0</v>
      </c>
      <c r="CS42" s="152">
        <f t="array" ref="CS42">IF(CS$3&lt;=INDEX(Inputs!$C:$C,MATCH("End Year",Inputs!$B:$B,0))*12,IF(CS$3&lt;=INDEX(Inputs!$C:$C,MATCH("*Seller Finance Origination Month*",Inputs!$B:$B,0)),0,CR47),0)</f>
        <v>0</v>
      </c>
      <c r="CT42" s="152">
        <f t="array" ref="CT42">IF(CT$3&lt;=INDEX(Inputs!$C:$C,MATCH("End Year",Inputs!$B:$B,0))*12,IF(CT$3&lt;=INDEX(Inputs!$C:$C,MATCH("*Seller Finance Origination Month*",Inputs!$B:$B,0)),0,CS47),0)</f>
        <v>0</v>
      </c>
      <c r="CU42" s="152">
        <f t="array" ref="CU42">IF(CU$3&lt;=INDEX(Inputs!$C:$C,MATCH("End Year",Inputs!$B:$B,0))*12,IF(CU$3&lt;=INDEX(Inputs!$C:$C,MATCH("*Seller Finance Origination Month*",Inputs!$B:$B,0)),0,CT47),0)</f>
        <v>0</v>
      </c>
      <c r="CV42" s="152">
        <f t="array" ref="CV42">IF(CV$3&lt;=INDEX(Inputs!$C:$C,MATCH("End Year",Inputs!$B:$B,0))*12,IF(CV$3&lt;=INDEX(Inputs!$C:$C,MATCH("*Seller Finance Origination Month*",Inputs!$B:$B,0)),0,CU47),0)</f>
        <v>0</v>
      </c>
      <c r="CW42" s="152">
        <f t="array" ref="CW42">IF(CW$3&lt;=INDEX(Inputs!$C:$C,MATCH("End Year",Inputs!$B:$B,0))*12,IF(CW$3&lt;=INDEX(Inputs!$C:$C,MATCH("*Seller Finance Origination Month*",Inputs!$B:$B,0)),0,CV47),0)</f>
        <v>0</v>
      </c>
      <c r="CX42" s="152">
        <f t="array" ref="CX42">IF(CX$3&lt;=INDEX(Inputs!$C:$C,MATCH("End Year",Inputs!$B:$B,0))*12,IF(CX$3&lt;=INDEX(Inputs!$C:$C,MATCH("*Seller Finance Origination Month*",Inputs!$B:$B,0)),0,CW47),0)</f>
        <v>0</v>
      </c>
      <c r="CY42" s="152">
        <f t="array" ref="CY42">IF(CY$3&lt;=INDEX(Inputs!$C:$C,MATCH("End Year",Inputs!$B:$B,0))*12,IF(CY$3&lt;=INDEX(Inputs!$C:$C,MATCH("*Seller Finance Origination Month*",Inputs!$B:$B,0)),0,CX47),0)</f>
        <v>0</v>
      </c>
      <c r="CZ42" s="152">
        <f t="array" ref="CZ42">IF(CZ$3&lt;=INDEX(Inputs!$C:$C,MATCH("End Year",Inputs!$B:$B,0))*12,IF(CZ$3&lt;=INDEX(Inputs!$C:$C,MATCH("*Seller Finance Origination Month*",Inputs!$B:$B,0)),0,CY47),0)</f>
        <v>0</v>
      </c>
      <c r="DA42" s="152">
        <f t="array" ref="DA42">IF(DA$3&lt;=INDEX(Inputs!$C:$C,MATCH("End Year",Inputs!$B:$B,0))*12,IF(DA$3&lt;=INDEX(Inputs!$C:$C,MATCH("*Seller Finance Origination Month*",Inputs!$B:$B,0)),0,CZ47),0)</f>
        <v>0</v>
      </c>
      <c r="DB42" s="152">
        <f t="array" ref="DB42">IF(DB$3&lt;=INDEX(Inputs!$C:$C,MATCH("End Year",Inputs!$B:$B,0))*12,IF(DB$3&lt;=INDEX(Inputs!$C:$C,MATCH("*Seller Finance Origination Month*",Inputs!$B:$B,0)),0,DA47),0)</f>
        <v>0</v>
      </c>
      <c r="DC42" s="152">
        <f t="array" ref="DC42">IF(DC$3&lt;=INDEX(Inputs!$C:$C,MATCH("End Year",Inputs!$B:$B,0))*12,IF(DC$3&lt;=INDEX(Inputs!$C:$C,MATCH("*Seller Finance Origination Month*",Inputs!$B:$B,0)),0,DB47),0)</f>
        <v>0</v>
      </c>
      <c r="DD42" s="152">
        <f t="array" ref="DD42">IF(DD$3&lt;=INDEX(Inputs!$C:$C,MATCH("End Year",Inputs!$B:$B,0))*12,IF(DD$3&lt;=INDEX(Inputs!$C:$C,MATCH("*Seller Finance Origination Month*",Inputs!$B:$B,0)),0,DC47),0)</f>
        <v>0</v>
      </c>
      <c r="DE42" s="152">
        <f t="array" ref="DE42">IF(DE$3&lt;=INDEX(Inputs!$C:$C,MATCH("End Year",Inputs!$B:$B,0))*12,IF(DE$3&lt;=INDEX(Inputs!$C:$C,MATCH("*Seller Finance Origination Month*",Inputs!$B:$B,0)),0,DD47),0)</f>
        <v>0</v>
      </c>
      <c r="DF42" s="152">
        <f t="array" ref="DF42">IF(DF$3&lt;=INDEX(Inputs!$C:$C,MATCH("End Year",Inputs!$B:$B,0))*12,IF(DF$3&lt;=INDEX(Inputs!$C:$C,MATCH("*Seller Finance Origination Month*",Inputs!$B:$B,0)),0,DE47),0)</f>
        <v>0</v>
      </c>
      <c r="DG42" s="152">
        <f t="array" ref="DG42">IF(DG$3&lt;=INDEX(Inputs!$C:$C,MATCH("End Year",Inputs!$B:$B,0))*12,IF(DG$3&lt;=INDEX(Inputs!$C:$C,MATCH("*Seller Finance Origination Month*",Inputs!$B:$B,0)),0,DF47),0)</f>
        <v>0</v>
      </c>
      <c r="DH42" s="152">
        <f t="array" ref="DH42">IF(DH$3&lt;=INDEX(Inputs!$C:$C,MATCH("End Year",Inputs!$B:$B,0))*12,IF(DH$3&lt;=INDEX(Inputs!$C:$C,MATCH("*Seller Finance Origination Month*",Inputs!$B:$B,0)),0,DG47),0)</f>
        <v>0</v>
      </c>
      <c r="DI42" s="152">
        <f t="array" ref="DI42">IF(DI$3&lt;=INDEX(Inputs!$C:$C,MATCH("End Year",Inputs!$B:$B,0))*12,IF(DI$3&lt;=INDEX(Inputs!$C:$C,MATCH("*Seller Finance Origination Month*",Inputs!$B:$B,0)),0,DH47),0)</f>
        <v>0</v>
      </c>
      <c r="DJ42" s="152">
        <f t="array" ref="DJ42">IF(DJ$3&lt;=INDEX(Inputs!$C:$C,MATCH("End Year",Inputs!$B:$B,0))*12,IF(DJ$3&lt;=INDEX(Inputs!$C:$C,MATCH("*Seller Finance Origination Month*",Inputs!$B:$B,0)),0,DI47),0)</f>
        <v>0</v>
      </c>
      <c r="DK42" s="152">
        <f t="array" ref="DK42">IF(DK$3&lt;=INDEX(Inputs!$C:$C,MATCH("End Year",Inputs!$B:$B,0))*12,IF(DK$3&lt;=INDEX(Inputs!$C:$C,MATCH("*Seller Finance Origination Month*",Inputs!$B:$B,0)),0,DJ47),0)</f>
        <v>0</v>
      </c>
      <c r="DL42" s="152">
        <f t="array" ref="DL42">IF(DL$3&lt;=INDEX(Inputs!$C:$C,MATCH("End Year",Inputs!$B:$B,0))*12,IF(DL$3&lt;=INDEX(Inputs!$C:$C,MATCH("*Seller Finance Origination Month*",Inputs!$B:$B,0)),0,DK47),0)</f>
        <v>0</v>
      </c>
      <c r="DM42" s="152">
        <f t="array" ref="DM42">IF(DM$3&lt;=INDEX(Inputs!$C:$C,MATCH("End Year",Inputs!$B:$B,0))*12,IF(DM$3&lt;=INDEX(Inputs!$C:$C,MATCH("*Seller Finance Origination Month*",Inputs!$B:$B,0)),0,DL47),0)</f>
        <v>0</v>
      </c>
      <c r="DN42" s="152">
        <f t="array" ref="DN42">IF(DN$3&lt;=INDEX(Inputs!$C:$C,MATCH("End Year",Inputs!$B:$B,0))*12,IF(DN$3&lt;=INDEX(Inputs!$C:$C,MATCH("*Seller Finance Origination Month*",Inputs!$B:$B,0)),0,DM47),0)</f>
        <v>0</v>
      </c>
      <c r="DO42" s="152">
        <f t="array" ref="DO42">IF(DO$3&lt;=INDEX(Inputs!$C:$C,MATCH("End Year",Inputs!$B:$B,0))*12,IF(DO$3&lt;=INDEX(Inputs!$C:$C,MATCH("*Seller Finance Origination Month*",Inputs!$B:$B,0)),0,DN47),0)</f>
        <v>0</v>
      </c>
      <c r="DP42" s="152">
        <f t="array" ref="DP42">IF(DP$3&lt;=INDEX(Inputs!$C:$C,MATCH("End Year",Inputs!$B:$B,0))*12,IF(DP$3&lt;=INDEX(Inputs!$C:$C,MATCH("*Seller Finance Origination Month*",Inputs!$B:$B,0)),0,DO47),0)</f>
        <v>0</v>
      </c>
      <c r="DQ42" s="152">
        <f t="array" ref="DQ42">IF(DQ$3&lt;=INDEX(Inputs!$C:$C,MATCH("End Year",Inputs!$B:$B,0))*12,IF(DQ$3&lt;=INDEX(Inputs!$C:$C,MATCH("*Seller Finance Origination Month*",Inputs!$B:$B,0)),0,DP47),0)</f>
        <v>0</v>
      </c>
      <c r="DR42" s="152">
        <f t="array" ref="DR42">IF(DR$3&lt;=INDEX(Inputs!$C:$C,MATCH("End Year",Inputs!$B:$B,0))*12,IF(DR$3&lt;=INDEX(Inputs!$C:$C,MATCH("*Seller Finance Origination Month*",Inputs!$B:$B,0)),0,DQ47),0)</f>
        <v>0</v>
      </c>
      <c r="DS42" s="44">
        <f t="array" ref="DS42">IF(DS$3&lt;=INDEX(Inputs!$C:$C,MATCH("End Year",Inputs!$B:$B,0))*12,IF(DS$3&lt;=INDEX(Inputs!$C:$C,MATCH("*Seller Finance Origination Month*",Inputs!$B:$B,0)),0,DR47),0)</f>
        <v>0</v>
      </c>
    </row>
    <row r="43" ht="15.75" customHeight="1">
      <c r="A43" s="44"/>
      <c r="B43" s="46" t="s">
        <v>340</v>
      </c>
      <c r="C43" s="152">
        <f t="array" ref="C43">IF(C$3&lt;=INDEX(Inputs!$C:$C,MATCH("End Year",Inputs!$B:$B,0))*12,IF(C$3=INDEX(Inputs!$C:$C,MATCH("*Seller Finance Origination Month*",Inputs!$B:$B,0)),INDEX(Inputs!$C:$C,MATCH("*Seller Finance Amount*",Inputs!$B:$B,0)),0),0)</f>
        <v>0</v>
      </c>
      <c r="D43" s="152">
        <f t="array" ref="D43">IF(D$3&lt;=INDEX(Inputs!$C:$C,MATCH("End Year",Inputs!$B:$B,0))*12,IF(D$3=INDEX(Inputs!$C:$C,MATCH("*Seller Finance Origination Month*",Inputs!$B:$B,0)),INDEX(Inputs!$C:$C,MATCH("*Seller Finance Amount*",Inputs!$B:$B,0)),0),0)</f>
        <v>0</v>
      </c>
      <c r="E43" s="152">
        <f t="array" ref="E43">IF(E$3&lt;=INDEX(Inputs!$C:$C,MATCH("End Year",Inputs!$B:$B,0))*12,IF(E$3=INDEX(Inputs!$C:$C,MATCH("*Seller Finance Origination Month*",Inputs!$B:$B,0)),INDEX(Inputs!$C:$C,MATCH("*Seller Finance Amount*",Inputs!$B:$B,0)),0),0)</f>
        <v>0</v>
      </c>
      <c r="F43" s="152">
        <f t="array" ref="F43">IF(F$3&lt;=INDEX(Inputs!$C:$C,MATCH("End Year",Inputs!$B:$B,0))*12,IF(F$3=INDEX(Inputs!$C:$C,MATCH("*Seller Finance Origination Month*",Inputs!$B:$B,0)),INDEX(Inputs!$C:$C,MATCH("*Seller Finance Amount*",Inputs!$B:$B,0)),0),0)</f>
        <v>0</v>
      </c>
      <c r="G43" s="152">
        <f t="array" ref="G43">IF(G$3&lt;=INDEX(Inputs!$C:$C,MATCH("End Year",Inputs!$B:$B,0))*12,IF(G$3=INDEX(Inputs!$C:$C,MATCH("*Seller Finance Origination Month*",Inputs!$B:$B,0)),INDEX(Inputs!$C:$C,MATCH("*Seller Finance Amount*",Inputs!$B:$B,0)),0),0)</f>
        <v>0</v>
      </c>
      <c r="H43" s="152">
        <f t="array" ref="H43">IF(H$3&lt;=INDEX(Inputs!$C:$C,MATCH("End Year",Inputs!$B:$B,0))*12,IF(H$3=INDEX(Inputs!$C:$C,MATCH("*Seller Finance Origination Month*",Inputs!$B:$B,0)),INDEX(Inputs!$C:$C,MATCH("*Seller Finance Amount*",Inputs!$B:$B,0)),0),0)</f>
        <v>0</v>
      </c>
      <c r="I43" s="152">
        <f t="array" ref="I43">IF(I$3&lt;=INDEX(Inputs!$C:$C,MATCH("End Year",Inputs!$B:$B,0))*12,IF(I$3=INDEX(Inputs!$C:$C,MATCH("*Seller Finance Origination Month*",Inputs!$B:$B,0)),INDEX(Inputs!$C:$C,MATCH("*Seller Finance Amount*",Inputs!$B:$B,0)),0),0)</f>
        <v>0</v>
      </c>
      <c r="J43" s="152">
        <f t="array" ref="J43">IF(J$3&lt;=INDEX(Inputs!$C:$C,MATCH("End Year",Inputs!$B:$B,0))*12,IF(J$3=INDEX(Inputs!$C:$C,MATCH("*Seller Finance Origination Month*",Inputs!$B:$B,0)),INDEX(Inputs!$C:$C,MATCH("*Seller Finance Amount*",Inputs!$B:$B,0)),0),0)</f>
        <v>0</v>
      </c>
      <c r="K43" s="152">
        <f t="array" ref="K43">IF(K$3&lt;=INDEX(Inputs!$C:$C,MATCH("End Year",Inputs!$B:$B,0))*12,IF(K$3=INDEX(Inputs!$C:$C,MATCH("*Seller Finance Origination Month*",Inputs!$B:$B,0)),INDEX(Inputs!$C:$C,MATCH("*Seller Finance Amount*",Inputs!$B:$B,0)),0),0)</f>
        <v>0</v>
      </c>
      <c r="L43" s="152">
        <f t="array" ref="L43">IF(L$3&lt;=INDEX(Inputs!$C:$C,MATCH("End Year",Inputs!$B:$B,0))*12,IF(L$3=INDEX(Inputs!$C:$C,MATCH("*Seller Finance Origination Month*",Inputs!$B:$B,0)),INDEX(Inputs!$C:$C,MATCH("*Seller Finance Amount*",Inputs!$B:$B,0)),0),0)</f>
        <v>0</v>
      </c>
      <c r="M43" s="152">
        <f t="array" ref="M43">IF(M$3&lt;=INDEX(Inputs!$C:$C,MATCH("End Year",Inputs!$B:$B,0))*12,IF(M$3=INDEX(Inputs!$C:$C,MATCH("*Seller Finance Origination Month*",Inputs!$B:$B,0)),INDEX(Inputs!$C:$C,MATCH("*Seller Finance Amount*",Inputs!$B:$B,0)),0),0)</f>
        <v>0</v>
      </c>
      <c r="N43" s="152">
        <f t="array" ref="N43">IF(N$3&lt;=INDEX(Inputs!$C:$C,MATCH("End Year",Inputs!$B:$B,0))*12,IF(N$3=INDEX(Inputs!$C:$C,MATCH("*Seller Finance Origination Month*",Inputs!$B:$B,0)),INDEX(Inputs!$C:$C,MATCH("*Seller Finance Amount*",Inputs!$B:$B,0)),0),0)</f>
        <v>0</v>
      </c>
      <c r="O43" s="152">
        <f t="array" ref="O43">IF(O$3&lt;=INDEX(Inputs!$C:$C,MATCH("End Year",Inputs!$B:$B,0))*12,IF(O$3=INDEX(Inputs!$C:$C,MATCH("*Seller Finance Origination Month*",Inputs!$B:$B,0)),INDEX(Inputs!$C:$C,MATCH("*Seller Finance Amount*",Inputs!$B:$B,0)),0),0)</f>
        <v>0</v>
      </c>
      <c r="P43" s="152">
        <f t="array" ref="P43">IF(P$3&lt;=INDEX(Inputs!$C:$C,MATCH("End Year",Inputs!$B:$B,0))*12,IF(P$3=INDEX(Inputs!$C:$C,MATCH("*Seller Finance Origination Month*",Inputs!$B:$B,0)),INDEX(Inputs!$C:$C,MATCH("*Seller Finance Amount*",Inputs!$B:$B,0)),0),0)</f>
        <v>0</v>
      </c>
      <c r="Q43" s="152">
        <f t="array" ref="Q43">IF(Q$3&lt;=INDEX(Inputs!$C:$C,MATCH("End Year",Inputs!$B:$B,0))*12,IF(Q$3=INDEX(Inputs!$C:$C,MATCH("*Seller Finance Origination Month*",Inputs!$B:$B,0)),INDEX(Inputs!$C:$C,MATCH("*Seller Finance Amount*",Inputs!$B:$B,0)),0),0)</f>
        <v>0</v>
      </c>
      <c r="R43" s="152">
        <f t="array" ref="R43">IF(R$3&lt;=INDEX(Inputs!$C:$C,MATCH("End Year",Inputs!$B:$B,0))*12,IF(R$3=INDEX(Inputs!$C:$C,MATCH("*Seller Finance Origination Month*",Inputs!$B:$B,0)),INDEX(Inputs!$C:$C,MATCH("*Seller Finance Amount*",Inputs!$B:$B,0)),0),0)</f>
        <v>0</v>
      </c>
      <c r="S43" s="152">
        <f t="array" ref="S43">IF(S$3&lt;=INDEX(Inputs!$C:$C,MATCH("End Year",Inputs!$B:$B,0))*12,IF(S$3=INDEX(Inputs!$C:$C,MATCH("*Seller Finance Origination Month*",Inputs!$B:$B,0)),INDEX(Inputs!$C:$C,MATCH("*Seller Finance Amount*",Inputs!$B:$B,0)),0),0)</f>
        <v>0</v>
      </c>
      <c r="T43" s="152">
        <f t="array" ref="T43">IF(T$3&lt;=INDEX(Inputs!$C:$C,MATCH("End Year",Inputs!$B:$B,0))*12,IF(T$3=INDEX(Inputs!$C:$C,MATCH("*Seller Finance Origination Month*",Inputs!$B:$B,0)),INDEX(Inputs!$C:$C,MATCH("*Seller Finance Amount*",Inputs!$B:$B,0)),0),0)</f>
        <v>0</v>
      </c>
      <c r="U43" s="152">
        <f t="array" ref="U43">IF(U$3&lt;=INDEX(Inputs!$C:$C,MATCH("End Year",Inputs!$B:$B,0))*12,IF(U$3=INDEX(Inputs!$C:$C,MATCH("*Seller Finance Origination Month*",Inputs!$B:$B,0)),INDEX(Inputs!$C:$C,MATCH("*Seller Finance Amount*",Inputs!$B:$B,0)),0),0)</f>
        <v>0</v>
      </c>
      <c r="V43" s="152">
        <f t="array" ref="V43">IF(V$3&lt;=INDEX(Inputs!$C:$C,MATCH("End Year",Inputs!$B:$B,0))*12,IF(V$3=INDEX(Inputs!$C:$C,MATCH("*Seller Finance Origination Month*",Inputs!$B:$B,0)),INDEX(Inputs!$C:$C,MATCH("*Seller Finance Amount*",Inputs!$B:$B,0)),0),0)</f>
        <v>0</v>
      </c>
      <c r="W43" s="152">
        <f t="array" ref="W43">IF(W$3&lt;=INDEX(Inputs!$C:$C,MATCH("End Year",Inputs!$B:$B,0))*12,IF(W$3=INDEX(Inputs!$C:$C,MATCH("*Seller Finance Origination Month*",Inputs!$B:$B,0)),INDEX(Inputs!$C:$C,MATCH("*Seller Finance Amount*",Inputs!$B:$B,0)),0),0)</f>
        <v>0</v>
      </c>
      <c r="X43" s="152">
        <f t="array" ref="X43">IF(X$3&lt;=INDEX(Inputs!$C:$C,MATCH("End Year",Inputs!$B:$B,0))*12,IF(X$3=INDEX(Inputs!$C:$C,MATCH("*Seller Finance Origination Month*",Inputs!$B:$B,0)),INDEX(Inputs!$C:$C,MATCH("*Seller Finance Amount*",Inputs!$B:$B,0)),0),0)</f>
        <v>0</v>
      </c>
      <c r="Y43" s="152">
        <f t="array" ref="Y43">IF(Y$3&lt;=INDEX(Inputs!$C:$C,MATCH("End Year",Inputs!$B:$B,0))*12,IF(Y$3=INDEX(Inputs!$C:$C,MATCH("*Seller Finance Origination Month*",Inputs!$B:$B,0)),INDEX(Inputs!$C:$C,MATCH("*Seller Finance Amount*",Inputs!$B:$B,0)),0),0)</f>
        <v>0</v>
      </c>
      <c r="Z43" s="152">
        <f t="array" ref="Z43">IF(Z$3&lt;=INDEX(Inputs!$C:$C,MATCH("End Year",Inputs!$B:$B,0))*12,IF(Z$3=INDEX(Inputs!$C:$C,MATCH("*Seller Finance Origination Month*",Inputs!$B:$B,0)),INDEX(Inputs!$C:$C,MATCH("*Seller Finance Amount*",Inputs!$B:$B,0)),0),0)</f>
        <v>0</v>
      </c>
      <c r="AA43" s="152">
        <f t="array" ref="AA43">IF(AA$3&lt;=INDEX(Inputs!$C:$C,MATCH("End Year",Inputs!$B:$B,0))*12,IF(AA$3=INDEX(Inputs!$C:$C,MATCH("*Seller Finance Origination Month*",Inputs!$B:$B,0)),INDEX(Inputs!$C:$C,MATCH("*Seller Finance Amount*",Inputs!$B:$B,0)),0),0)</f>
        <v>0</v>
      </c>
      <c r="AB43" s="152">
        <f t="array" ref="AB43">IF(AB$3&lt;=INDEX(Inputs!$C:$C,MATCH("End Year",Inputs!$B:$B,0))*12,IF(AB$3=INDEX(Inputs!$C:$C,MATCH("*Seller Finance Origination Month*",Inputs!$B:$B,0)),INDEX(Inputs!$C:$C,MATCH("*Seller Finance Amount*",Inputs!$B:$B,0)),0),0)</f>
        <v>0</v>
      </c>
      <c r="AC43" s="152">
        <f t="array" ref="AC43">IF(AC$3&lt;=INDEX(Inputs!$C:$C,MATCH("End Year",Inputs!$B:$B,0))*12,IF(AC$3=INDEX(Inputs!$C:$C,MATCH("*Seller Finance Origination Month*",Inputs!$B:$B,0)),INDEX(Inputs!$C:$C,MATCH("*Seller Finance Amount*",Inputs!$B:$B,0)),0),0)</f>
        <v>0</v>
      </c>
      <c r="AD43" s="152">
        <f t="array" ref="AD43">IF(AD$3&lt;=INDEX(Inputs!$C:$C,MATCH("End Year",Inputs!$B:$B,0))*12,IF(AD$3=INDEX(Inputs!$C:$C,MATCH("*Seller Finance Origination Month*",Inputs!$B:$B,0)),INDEX(Inputs!$C:$C,MATCH("*Seller Finance Amount*",Inputs!$B:$B,0)),0),0)</f>
        <v>0</v>
      </c>
      <c r="AE43" s="152">
        <f t="array" ref="AE43">IF(AE$3&lt;=INDEX(Inputs!$C:$C,MATCH("End Year",Inputs!$B:$B,0))*12,IF(AE$3=INDEX(Inputs!$C:$C,MATCH("*Seller Finance Origination Month*",Inputs!$B:$B,0)),INDEX(Inputs!$C:$C,MATCH("*Seller Finance Amount*",Inputs!$B:$B,0)),0),0)</f>
        <v>0</v>
      </c>
      <c r="AF43" s="152">
        <f t="array" ref="AF43">IF(AF$3&lt;=INDEX(Inputs!$C:$C,MATCH("End Year",Inputs!$B:$B,0))*12,IF(AF$3=INDEX(Inputs!$C:$C,MATCH("*Seller Finance Origination Month*",Inputs!$B:$B,0)),INDEX(Inputs!$C:$C,MATCH("*Seller Finance Amount*",Inputs!$B:$B,0)),0),0)</f>
        <v>0</v>
      </c>
      <c r="AG43" s="152">
        <f t="array" ref="AG43">IF(AG$3&lt;=INDEX(Inputs!$C:$C,MATCH("End Year",Inputs!$B:$B,0))*12,IF(AG$3=INDEX(Inputs!$C:$C,MATCH("*Seller Finance Origination Month*",Inputs!$B:$B,0)),INDEX(Inputs!$C:$C,MATCH("*Seller Finance Amount*",Inputs!$B:$B,0)),0),0)</f>
        <v>0</v>
      </c>
      <c r="AH43" s="152">
        <f t="array" ref="AH43">IF(AH$3&lt;=INDEX(Inputs!$C:$C,MATCH("End Year",Inputs!$B:$B,0))*12,IF(AH$3=INDEX(Inputs!$C:$C,MATCH("*Seller Finance Origination Month*",Inputs!$B:$B,0)),INDEX(Inputs!$C:$C,MATCH("*Seller Finance Amount*",Inputs!$B:$B,0)),0),0)</f>
        <v>0</v>
      </c>
      <c r="AI43" s="152">
        <f t="array" ref="AI43">IF(AI$3&lt;=INDEX(Inputs!$C:$C,MATCH("End Year",Inputs!$B:$B,0))*12,IF(AI$3=INDEX(Inputs!$C:$C,MATCH("*Seller Finance Origination Month*",Inputs!$B:$B,0)),INDEX(Inputs!$C:$C,MATCH("*Seller Finance Amount*",Inputs!$B:$B,0)),0),0)</f>
        <v>0</v>
      </c>
      <c r="AJ43" s="152">
        <f t="array" ref="AJ43">IF(AJ$3&lt;=INDEX(Inputs!$C:$C,MATCH("End Year",Inputs!$B:$B,0))*12,IF(AJ$3=INDEX(Inputs!$C:$C,MATCH("*Seller Finance Origination Month*",Inputs!$B:$B,0)),INDEX(Inputs!$C:$C,MATCH("*Seller Finance Amount*",Inputs!$B:$B,0)),0),0)</f>
        <v>0</v>
      </c>
      <c r="AK43" s="152">
        <f t="array" ref="AK43">IF(AK$3&lt;=INDEX(Inputs!$C:$C,MATCH("End Year",Inputs!$B:$B,0))*12,IF(AK$3=INDEX(Inputs!$C:$C,MATCH("*Seller Finance Origination Month*",Inputs!$B:$B,0)),INDEX(Inputs!$C:$C,MATCH("*Seller Finance Amount*",Inputs!$B:$B,0)),0),0)</f>
        <v>0</v>
      </c>
      <c r="AL43" s="152">
        <f t="array" ref="AL43">IF(AL$3&lt;=INDEX(Inputs!$C:$C,MATCH("End Year",Inputs!$B:$B,0))*12,IF(AL$3=INDEX(Inputs!$C:$C,MATCH("*Seller Finance Origination Month*",Inputs!$B:$B,0)),INDEX(Inputs!$C:$C,MATCH("*Seller Finance Amount*",Inputs!$B:$B,0)),0),0)</f>
        <v>0</v>
      </c>
      <c r="AM43" s="152">
        <f t="array" ref="AM43">IF(AM$3&lt;=INDEX(Inputs!$C:$C,MATCH("End Year",Inputs!$B:$B,0))*12,IF(AM$3=INDEX(Inputs!$C:$C,MATCH("*Seller Finance Origination Month*",Inputs!$B:$B,0)),INDEX(Inputs!$C:$C,MATCH("*Seller Finance Amount*",Inputs!$B:$B,0)),0),0)</f>
        <v>0</v>
      </c>
      <c r="AN43" s="152">
        <f t="array" ref="AN43">IF(AN$3&lt;=INDEX(Inputs!$C:$C,MATCH("End Year",Inputs!$B:$B,0))*12,IF(AN$3=INDEX(Inputs!$C:$C,MATCH("*Seller Finance Origination Month*",Inputs!$B:$B,0)),INDEX(Inputs!$C:$C,MATCH("*Seller Finance Amount*",Inputs!$B:$B,0)),0),0)</f>
        <v>0</v>
      </c>
      <c r="AO43" s="152">
        <f t="array" ref="AO43">IF(AO$3&lt;=INDEX(Inputs!$C:$C,MATCH("End Year",Inputs!$B:$B,0))*12,IF(AO$3=INDEX(Inputs!$C:$C,MATCH("*Seller Finance Origination Month*",Inputs!$B:$B,0)),INDEX(Inputs!$C:$C,MATCH("*Seller Finance Amount*",Inputs!$B:$B,0)),0),0)</f>
        <v>0</v>
      </c>
      <c r="AP43" s="152">
        <f t="array" ref="AP43">IF(AP$3&lt;=INDEX(Inputs!$C:$C,MATCH("End Year",Inputs!$B:$B,0))*12,IF(AP$3=INDEX(Inputs!$C:$C,MATCH("*Seller Finance Origination Month*",Inputs!$B:$B,0)),INDEX(Inputs!$C:$C,MATCH("*Seller Finance Amount*",Inputs!$B:$B,0)),0),0)</f>
        <v>0</v>
      </c>
      <c r="AQ43" s="152">
        <f t="array" ref="AQ43">IF(AQ$3&lt;=INDEX(Inputs!$C:$C,MATCH("End Year",Inputs!$B:$B,0))*12,IF(AQ$3=INDEX(Inputs!$C:$C,MATCH("*Seller Finance Origination Month*",Inputs!$B:$B,0)),INDEX(Inputs!$C:$C,MATCH("*Seller Finance Amount*",Inputs!$B:$B,0)),0),0)</f>
        <v>0</v>
      </c>
      <c r="AR43" s="152">
        <f t="array" ref="AR43">IF(AR$3&lt;=INDEX(Inputs!$C:$C,MATCH("End Year",Inputs!$B:$B,0))*12,IF(AR$3=INDEX(Inputs!$C:$C,MATCH("*Seller Finance Origination Month*",Inputs!$B:$B,0)),INDEX(Inputs!$C:$C,MATCH("*Seller Finance Amount*",Inputs!$B:$B,0)),0),0)</f>
        <v>0</v>
      </c>
      <c r="AS43" s="152">
        <f t="array" ref="AS43">IF(AS$3&lt;=INDEX(Inputs!$C:$C,MATCH("End Year",Inputs!$B:$B,0))*12,IF(AS$3=INDEX(Inputs!$C:$C,MATCH("*Seller Finance Origination Month*",Inputs!$B:$B,0)),INDEX(Inputs!$C:$C,MATCH("*Seller Finance Amount*",Inputs!$B:$B,0)),0),0)</f>
        <v>0</v>
      </c>
      <c r="AT43" s="152">
        <f t="array" ref="AT43">IF(AT$3&lt;=INDEX(Inputs!$C:$C,MATCH("End Year",Inputs!$B:$B,0))*12,IF(AT$3=INDEX(Inputs!$C:$C,MATCH("*Seller Finance Origination Month*",Inputs!$B:$B,0)),INDEX(Inputs!$C:$C,MATCH("*Seller Finance Amount*",Inputs!$B:$B,0)),0),0)</f>
        <v>0</v>
      </c>
      <c r="AU43" s="152">
        <f t="array" ref="AU43">IF(AU$3&lt;=INDEX(Inputs!$C:$C,MATCH("End Year",Inputs!$B:$B,0))*12,IF(AU$3=INDEX(Inputs!$C:$C,MATCH("*Seller Finance Origination Month*",Inputs!$B:$B,0)),INDEX(Inputs!$C:$C,MATCH("*Seller Finance Amount*",Inputs!$B:$B,0)),0),0)</f>
        <v>0</v>
      </c>
      <c r="AV43" s="152">
        <f t="array" ref="AV43">IF(AV$3&lt;=INDEX(Inputs!$C:$C,MATCH("End Year",Inputs!$B:$B,0))*12,IF(AV$3=INDEX(Inputs!$C:$C,MATCH("*Seller Finance Origination Month*",Inputs!$B:$B,0)),INDEX(Inputs!$C:$C,MATCH("*Seller Finance Amount*",Inputs!$B:$B,0)),0),0)</f>
        <v>0</v>
      </c>
      <c r="AW43" s="152">
        <f t="array" ref="AW43">IF(AW$3&lt;=INDEX(Inputs!$C:$C,MATCH("End Year",Inputs!$B:$B,0))*12,IF(AW$3=INDEX(Inputs!$C:$C,MATCH("*Seller Finance Origination Month*",Inputs!$B:$B,0)),INDEX(Inputs!$C:$C,MATCH("*Seller Finance Amount*",Inputs!$B:$B,0)),0),0)</f>
        <v>0</v>
      </c>
      <c r="AX43" s="152">
        <f t="array" ref="AX43">IF(AX$3&lt;=INDEX(Inputs!$C:$C,MATCH("End Year",Inputs!$B:$B,0))*12,IF(AX$3=INDEX(Inputs!$C:$C,MATCH("*Seller Finance Origination Month*",Inputs!$B:$B,0)),INDEX(Inputs!$C:$C,MATCH("*Seller Finance Amount*",Inputs!$B:$B,0)),0),0)</f>
        <v>0</v>
      </c>
      <c r="AY43" s="152">
        <f t="array" ref="AY43">IF(AY$3&lt;=INDEX(Inputs!$C:$C,MATCH("End Year",Inputs!$B:$B,0))*12,IF(AY$3=INDEX(Inputs!$C:$C,MATCH("*Seller Finance Origination Month*",Inputs!$B:$B,0)),INDEX(Inputs!$C:$C,MATCH("*Seller Finance Amount*",Inputs!$B:$B,0)),0),0)</f>
        <v>0</v>
      </c>
      <c r="AZ43" s="152">
        <f t="array" ref="AZ43">IF(AZ$3&lt;=INDEX(Inputs!$C:$C,MATCH("End Year",Inputs!$B:$B,0))*12,IF(AZ$3=INDEX(Inputs!$C:$C,MATCH("*Seller Finance Origination Month*",Inputs!$B:$B,0)),INDEX(Inputs!$C:$C,MATCH("*Seller Finance Amount*",Inputs!$B:$B,0)),0),0)</f>
        <v>0</v>
      </c>
      <c r="BA43" s="152">
        <f t="array" ref="BA43">IF(BA$3&lt;=INDEX(Inputs!$C:$C,MATCH("End Year",Inputs!$B:$B,0))*12,IF(BA$3=INDEX(Inputs!$C:$C,MATCH("*Seller Finance Origination Month*",Inputs!$B:$B,0)),INDEX(Inputs!$C:$C,MATCH("*Seller Finance Amount*",Inputs!$B:$B,0)),0),0)</f>
        <v>0</v>
      </c>
      <c r="BB43" s="152">
        <f t="array" ref="BB43">IF(BB$3&lt;=INDEX(Inputs!$C:$C,MATCH("End Year",Inputs!$B:$B,0))*12,IF(BB$3=INDEX(Inputs!$C:$C,MATCH("*Seller Finance Origination Month*",Inputs!$B:$B,0)),INDEX(Inputs!$C:$C,MATCH("*Seller Finance Amount*",Inputs!$B:$B,0)),0),0)</f>
        <v>0</v>
      </c>
      <c r="BC43" s="152">
        <f t="array" ref="BC43">IF(BC$3&lt;=INDEX(Inputs!$C:$C,MATCH("End Year",Inputs!$B:$B,0))*12,IF(BC$3=INDEX(Inputs!$C:$C,MATCH("*Seller Finance Origination Month*",Inputs!$B:$B,0)),INDEX(Inputs!$C:$C,MATCH("*Seller Finance Amount*",Inputs!$B:$B,0)),0),0)</f>
        <v>0</v>
      </c>
      <c r="BD43" s="152">
        <f t="array" ref="BD43">IF(BD$3&lt;=INDEX(Inputs!$C:$C,MATCH("End Year",Inputs!$B:$B,0))*12,IF(BD$3=INDEX(Inputs!$C:$C,MATCH("*Seller Finance Origination Month*",Inputs!$B:$B,0)),INDEX(Inputs!$C:$C,MATCH("*Seller Finance Amount*",Inputs!$B:$B,0)),0),0)</f>
        <v>0</v>
      </c>
      <c r="BE43" s="152">
        <f t="array" ref="BE43">IF(BE$3&lt;=INDEX(Inputs!$C:$C,MATCH("End Year",Inputs!$B:$B,0))*12,IF(BE$3=INDEX(Inputs!$C:$C,MATCH("*Seller Finance Origination Month*",Inputs!$B:$B,0)),INDEX(Inputs!$C:$C,MATCH("*Seller Finance Amount*",Inputs!$B:$B,0)),0),0)</f>
        <v>0</v>
      </c>
      <c r="BF43" s="152">
        <f t="array" ref="BF43">IF(BF$3&lt;=INDEX(Inputs!$C:$C,MATCH("End Year",Inputs!$B:$B,0))*12,IF(BF$3=INDEX(Inputs!$C:$C,MATCH("*Seller Finance Origination Month*",Inputs!$B:$B,0)),INDEX(Inputs!$C:$C,MATCH("*Seller Finance Amount*",Inputs!$B:$B,0)),0),0)</f>
        <v>0</v>
      </c>
      <c r="BG43" s="152">
        <f t="array" ref="BG43">IF(BG$3&lt;=INDEX(Inputs!$C:$C,MATCH("End Year",Inputs!$B:$B,0))*12,IF(BG$3=INDEX(Inputs!$C:$C,MATCH("*Seller Finance Origination Month*",Inputs!$B:$B,0)),INDEX(Inputs!$C:$C,MATCH("*Seller Finance Amount*",Inputs!$B:$B,0)),0),0)</f>
        <v>0</v>
      </c>
      <c r="BH43" s="152">
        <f t="array" ref="BH43">IF(BH$3&lt;=INDEX(Inputs!$C:$C,MATCH("End Year",Inputs!$B:$B,0))*12,IF(BH$3=INDEX(Inputs!$C:$C,MATCH("*Seller Finance Origination Month*",Inputs!$B:$B,0)),INDEX(Inputs!$C:$C,MATCH("*Seller Finance Amount*",Inputs!$B:$B,0)),0),0)</f>
        <v>0</v>
      </c>
      <c r="BI43" s="152">
        <f t="array" ref="BI43">IF(BI$3&lt;=INDEX(Inputs!$C:$C,MATCH("End Year",Inputs!$B:$B,0))*12,IF(BI$3=INDEX(Inputs!$C:$C,MATCH("*Seller Finance Origination Month*",Inputs!$B:$B,0)),INDEX(Inputs!$C:$C,MATCH("*Seller Finance Amount*",Inputs!$B:$B,0)),0),0)</f>
        <v>0</v>
      </c>
      <c r="BJ43" s="152">
        <f t="array" ref="BJ43">IF(BJ$3&lt;=INDEX(Inputs!$C:$C,MATCH("End Year",Inputs!$B:$B,0))*12,IF(BJ$3=INDEX(Inputs!$C:$C,MATCH("*Seller Finance Origination Month*",Inputs!$B:$B,0)),INDEX(Inputs!$C:$C,MATCH("*Seller Finance Amount*",Inputs!$B:$B,0)),0),0)</f>
        <v>0</v>
      </c>
      <c r="BK43" s="152">
        <f t="array" ref="BK43">IF(BK$3&lt;=INDEX(Inputs!$C:$C,MATCH("End Year",Inputs!$B:$B,0))*12,IF(BK$3=INDEX(Inputs!$C:$C,MATCH("*Seller Finance Origination Month*",Inputs!$B:$B,0)),INDEX(Inputs!$C:$C,MATCH("*Seller Finance Amount*",Inputs!$B:$B,0)),0),0)</f>
        <v>0</v>
      </c>
      <c r="BL43" s="152">
        <f t="array" ref="BL43">IF(BL$3&lt;=INDEX(Inputs!$C:$C,MATCH("End Year",Inputs!$B:$B,0))*12,IF(BL$3=INDEX(Inputs!$C:$C,MATCH("*Seller Finance Origination Month*",Inputs!$B:$B,0)),INDEX(Inputs!$C:$C,MATCH("*Seller Finance Amount*",Inputs!$B:$B,0)),0),0)</f>
        <v>0</v>
      </c>
      <c r="BM43" s="152">
        <f t="array" ref="BM43">IF(BM$3&lt;=INDEX(Inputs!$C:$C,MATCH("End Year",Inputs!$B:$B,0))*12,IF(BM$3=INDEX(Inputs!$C:$C,MATCH("*Seller Finance Origination Month*",Inputs!$B:$B,0)),INDEX(Inputs!$C:$C,MATCH("*Seller Finance Amount*",Inputs!$B:$B,0)),0),0)</f>
        <v>0</v>
      </c>
      <c r="BN43" s="152">
        <f t="array" ref="BN43">IF(BN$3&lt;=INDEX(Inputs!$C:$C,MATCH("End Year",Inputs!$B:$B,0))*12,IF(BN$3=INDEX(Inputs!$C:$C,MATCH("*Seller Finance Origination Month*",Inputs!$B:$B,0)),INDEX(Inputs!$C:$C,MATCH("*Seller Finance Amount*",Inputs!$B:$B,0)),0),0)</f>
        <v>0</v>
      </c>
      <c r="BO43" s="152">
        <f t="array" ref="BO43">IF(BO$3&lt;=INDEX(Inputs!$C:$C,MATCH("End Year",Inputs!$B:$B,0))*12,IF(BO$3=INDEX(Inputs!$C:$C,MATCH("*Seller Finance Origination Month*",Inputs!$B:$B,0)),INDEX(Inputs!$C:$C,MATCH("*Seller Finance Amount*",Inputs!$B:$B,0)),0),0)</f>
        <v>0</v>
      </c>
      <c r="BP43" s="152">
        <f t="array" ref="BP43">IF(BP$3&lt;=INDEX(Inputs!$C:$C,MATCH("End Year",Inputs!$B:$B,0))*12,IF(BP$3=INDEX(Inputs!$C:$C,MATCH("*Seller Finance Origination Month*",Inputs!$B:$B,0)),INDEX(Inputs!$C:$C,MATCH("*Seller Finance Amount*",Inputs!$B:$B,0)),0),0)</f>
        <v>0</v>
      </c>
      <c r="BQ43" s="152">
        <f t="array" ref="BQ43">IF(BQ$3&lt;=INDEX(Inputs!$C:$C,MATCH("End Year",Inputs!$B:$B,0))*12,IF(BQ$3=INDEX(Inputs!$C:$C,MATCH("*Seller Finance Origination Month*",Inputs!$B:$B,0)),INDEX(Inputs!$C:$C,MATCH("*Seller Finance Amount*",Inputs!$B:$B,0)),0),0)</f>
        <v>0</v>
      </c>
      <c r="BR43" s="152">
        <f t="array" ref="BR43">IF(BR$3&lt;=INDEX(Inputs!$C:$C,MATCH("End Year",Inputs!$B:$B,0))*12,IF(BR$3=INDEX(Inputs!$C:$C,MATCH("*Seller Finance Origination Month*",Inputs!$B:$B,0)),INDEX(Inputs!$C:$C,MATCH("*Seller Finance Amount*",Inputs!$B:$B,0)),0),0)</f>
        <v>0</v>
      </c>
      <c r="BS43" s="152">
        <f t="array" ref="BS43">IF(BS$3&lt;=INDEX(Inputs!$C:$C,MATCH("End Year",Inputs!$B:$B,0))*12,IF(BS$3=INDEX(Inputs!$C:$C,MATCH("*Seller Finance Origination Month*",Inputs!$B:$B,0)),INDEX(Inputs!$C:$C,MATCH("*Seller Finance Amount*",Inputs!$B:$B,0)),0),0)</f>
        <v>0</v>
      </c>
      <c r="BT43" s="152">
        <f t="array" ref="BT43">IF(BT$3&lt;=INDEX(Inputs!$C:$C,MATCH("End Year",Inputs!$B:$B,0))*12,IF(BT$3=INDEX(Inputs!$C:$C,MATCH("*Seller Finance Origination Month*",Inputs!$B:$B,0)),INDEX(Inputs!$C:$C,MATCH("*Seller Finance Amount*",Inputs!$B:$B,0)),0),0)</f>
        <v>0</v>
      </c>
      <c r="BU43" s="152">
        <f t="array" ref="BU43">IF(BU$3&lt;=INDEX(Inputs!$C:$C,MATCH("End Year",Inputs!$B:$B,0))*12,IF(BU$3=INDEX(Inputs!$C:$C,MATCH("*Seller Finance Origination Month*",Inputs!$B:$B,0)),INDEX(Inputs!$C:$C,MATCH("*Seller Finance Amount*",Inputs!$B:$B,0)),0),0)</f>
        <v>0</v>
      </c>
      <c r="BV43" s="152">
        <f t="array" ref="BV43">IF(BV$3&lt;=INDEX(Inputs!$C:$C,MATCH("End Year",Inputs!$B:$B,0))*12,IF(BV$3=INDEX(Inputs!$C:$C,MATCH("*Seller Finance Origination Month*",Inputs!$B:$B,0)),INDEX(Inputs!$C:$C,MATCH("*Seller Finance Amount*",Inputs!$B:$B,0)),0),0)</f>
        <v>0</v>
      </c>
      <c r="BW43" s="152">
        <f t="array" ref="BW43">IF(BW$3&lt;=INDEX(Inputs!$C:$C,MATCH("End Year",Inputs!$B:$B,0))*12,IF(BW$3=INDEX(Inputs!$C:$C,MATCH("*Seller Finance Origination Month*",Inputs!$B:$B,0)),INDEX(Inputs!$C:$C,MATCH("*Seller Finance Amount*",Inputs!$B:$B,0)),0),0)</f>
        <v>0</v>
      </c>
      <c r="BX43" s="152">
        <f t="array" ref="BX43">IF(BX$3&lt;=INDEX(Inputs!$C:$C,MATCH("End Year",Inputs!$B:$B,0))*12,IF(BX$3=INDEX(Inputs!$C:$C,MATCH("*Seller Finance Origination Month*",Inputs!$B:$B,0)),INDEX(Inputs!$C:$C,MATCH("*Seller Finance Amount*",Inputs!$B:$B,0)),0),0)</f>
        <v>0</v>
      </c>
      <c r="BY43" s="152">
        <f t="array" ref="BY43">IF(BY$3&lt;=INDEX(Inputs!$C:$C,MATCH("End Year",Inputs!$B:$B,0))*12,IF(BY$3=INDEX(Inputs!$C:$C,MATCH("*Seller Finance Origination Month*",Inputs!$B:$B,0)),INDEX(Inputs!$C:$C,MATCH("*Seller Finance Amount*",Inputs!$B:$B,0)),0),0)</f>
        <v>0</v>
      </c>
      <c r="BZ43" s="152">
        <f t="array" ref="BZ43">IF(BZ$3&lt;=INDEX(Inputs!$C:$C,MATCH("End Year",Inputs!$B:$B,0))*12,IF(BZ$3=INDEX(Inputs!$C:$C,MATCH("*Seller Finance Origination Month*",Inputs!$B:$B,0)),INDEX(Inputs!$C:$C,MATCH("*Seller Finance Amount*",Inputs!$B:$B,0)),0),0)</f>
        <v>0</v>
      </c>
      <c r="CA43" s="152">
        <f t="array" ref="CA43">IF(CA$3&lt;=INDEX(Inputs!$C:$C,MATCH("End Year",Inputs!$B:$B,0))*12,IF(CA$3=INDEX(Inputs!$C:$C,MATCH("*Seller Finance Origination Month*",Inputs!$B:$B,0)),INDEX(Inputs!$C:$C,MATCH("*Seller Finance Amount*",Inputs!$B:$B,0)),0),0)</f>
        <v>0</v>
      </c>
      <c r="CB43" s="152">
        <f t="array" ref="CB43">IF(CB$3&lt;=INDEX(Inputs!$C:$C,MATCH("End Year",Inputs!$B:$B,0))*12,IF(CB$3=INDEX(Inputs!$C:$C,MATCH("*Seller Finance Origination Month*",Inputs!$B:$B,0)),INDEX(Inputs!$C:$C,MATCH("*Seller Finance Amount*",Inputs!$B:$B,0)),0),0)</f>
        <v>0</v>
      </c>
      <c r="CC43" s="152">
        <f t="array" ref="CC43">IF(CC$3&lt;=INDEX(Inputs!$C:$C,MATCH("End Year",Inputs!$B:$B,0))*12,IF(CC$3=INDEX(Inputs!$C:$C,MATCH("*Seller Finance Origination Month*",Inputs!$B:$B,0)),INDEX(Inputs!$C:$C,MATCH("*Seller Finance Amount*",Inputs!$B:$B,0)),0),0)</f>
        <v>0</v>
      </c>
      <c r="CD43" s="152">
        <f t="array" ref="CD43">IF(CD$3&lt;=INDEX(Inputs!$C:$C,MATCH("End Year",Inputs!$B:$B,0))*12,IF(CD$3=INDEX(Inputs!$C:$C,MATCH("*Seller Finance Origination Month*",Inputs!$B:$B,0)),INDEX(Inputs!$C:$C,MATCH("*Seller Finance Amount*",Inputs!$B:$B,0)),0),0)</f>
        <v>0</v>
      </c>
      <c r="CE43" s="152">
        <f t="array" ref="CE43">IF(CE$3&lt;=INDEX(Inputs!$C:$C,MATCH("End Year",Inputs!$B:$B,0))*12,IF(CE$3=INDEX(Inputs!$C:$C,MATCH("*Seller Finance Origination Month*",Inputs!$B:$B,0)),INDEX(Inputs!$C:$C,MATCH("*Seller Finance Amount*",Inputs!$B:$B,0)),0),0)</f>
        <v>0</v>
      </c>
      <c r="CF43" s="152">
        <f t="array" ref="CF43">IF(CF$3&lt;=INDEX(Inputs!$C:$C,MATCH("End Year",Inputs!$B:$B,0))*12,IF(CF$3=INDEX(Inputs!$C:$C,MATCH("*Seller Finance Origination Month*",Inputs!$B:$B,0)),INDEX(Inputs!$C:$C,MATCH("*Seller Finance Amount*",Inputs!$B:$B,0)),0),0)</f>
        <v>0</v>
      </c>
      <c r="CG43" s="152">
        <f t="array" ref="CG43">IF(CG$3&lt;=INDEX(Inputs!$C:$C,MATCH("End Year",Inputs!$B:$B,0))*12,IF(CG$3=INDEX(Inputs!$C:$C,MATCH("*Seller Finance Origination Month*",Inputs!$B:$B,0)),INDEX(Inputs!$C:$C,MATCH("*Seller Finance Amount*",Inputs!$B:$B,0)),0),0)</f>
        <v>0</v>
      </c>
      <c r="CH43" s="152">
        <f t="array" ref="CH43">IF(CH$3&lt;=INDEX(Inputs!$C:$C,MATCH("End Year",Inputs!$B:$B,0))*12,IF(CH$3=INDEX(Inputs!$C:$C,MATCH("*Seller Finance Origination Month*",Inputs!$B:$B,0)),INDEX(Inputs!$C:$C,MATCH("*Seller Finance Amount*",Inputs!$B:$B,0)),0),0)</f>
        <v>0</v>
      </c>
      <c r="CI43" s="152">
        <f t="array" ref="CI43">IF(CI$3&lt;=INDEX(Inputs!$C:$C,MATCH("End Year",Inputs!$B:$B,0))*12,IF(CI$3=INDEX(Inputs!$C:$C,MATCH("*Seller Finance Origination Month*",Inputs!$B:$B,0)),INDEX(Inputs!$C:$C,MATCH("*Seller Finance Amount*",Inputs!$B:$B,0)),0),0)</f>
        <v>0</v>
      </c>
      <c r="CJ43" s="152">
        <f t="array" ref="CJ43">IF(CJ$3&lt;=INDEX(Inputs!$C:$C,MATCH("End Year",Inputs!$B:$B,0))*12,IF(CJ$3=INDEX(Inputs!$C:$C,MATCH("*Seller Finance Origination Month*",Inputs!$B:$B,0)),INDEX(Inputs!$C:$C,MATCH("*Seller Finance Amount*",Inputs!$B:$B,0)),0),0)</f>
        <v>0</v>
      </c>
      <c r="CK43" s="152">
        <f t="array" ref="CK43">IF(CK$3&lt;=INDEX(Inputs!$C:$C,MATCH("End Year",Inputs!$B:$B,0))*12,IF(CK$3=INDEX(Inputs!$C:$C,MATCH("*Seller Finance Origination Month*",Inputs!$B:$B,0)),INDEX(Inputs!$C:$C,MATCH("*Seller Finance Amount*",Inputs!$B:$B,0)),0),0)</f>
        <v>0</v>
      </c>
      <c r="CL43" s="152">
        <f t="array" ref="CL43">IF(CL$3&lt;=INDEX(Inputs!$C:$C,MATCH("End Year",Inputs!$B:$B,0))*12,IF(CL$3=INDEX(Inputs!$C:$C,MATCH("*Seller Finance Origination Month*",Inputs!$B:$B,0)),INDEX(Inputs!$C:$C,MATCH("*Seller Finance Amount*",Inputs!$B:$B,0)),0),0)</f>
        <v>0</v>
      </c>
      <c r="CM43" s="152">
        <f t="array" ref="CM43">IF(CM$3&lt;=INDEX(Inputs!$C:$C,MATCH("End Year",Inputs!$B:$B,0))*12,IF(CM$3=INDEX(Inputs!$C:$C,MATCH("*Seller Finance Origination Month*",Inputs!$B:$B,0)),INDEX(Inputs!$C:$C,MATCH("*Seller Finance Amount*",Inputs!$B:$B,0)),0),0)</f>
        <v>0</v>
      </c>
      <c r="CN43" s="152">
        <f t="array" ref="CN43">IF(CN$3&lt;=INDEX(Inputs!$C:$C,MATCH("End Year",Inputs!$B:$B,0))*12,IF(CN$3=INDEX(Inputs!$C:$C,MATCH("*Seller Finance Origination Month*",Inputs!$B:$B,0)),INDEX(Inputs!$C:$C,MATCH("*Seller Finance Amount*",Inputs!$B:$B,0)),0),0)</f>
        <v>0</v>
      </c>
      <c r="CO43" s="152">
        <f t="array" ref="CO43">IF(CO$3&lt;=INDEX(Inputs!$C:$C,MATCH("End Year",Inputs!$B:$B,0))*12,IF(CO$3=INDEX(Inputs!$C:$C,MATCH("*Seller Finance Origination Month*",Inputs!$B:$B,0)),INDEX(Inputs!$C:$C,MATCH("*Seller Finance Amount*",Inputs!$B:$B,0)),0),0)</f>
        <v>0</v>
      </c>
      <c r="CP43" s="152">
        <f t="array" ref="CP43">IF(CP$3&lt;=INDEX(Inputs!$C:$C,MATCH("End Year",Inputs!$B:$B,0))*12,IF(CP$3=INDEX(Inputs!$C:$C,MATCH("*Seller Finance Origination Month*",Inputs!$B:$B,0)),INDEX(Inputs!$C:$C,MATCH("*Seller Finance Amount*",Inputs!$B:$B,0)),0),0)</f>
        <v>0</v>
      </c>
      <c r="CQ43" s="152">
        <f t="array" ref="CQ43">IF(CQ$3&lt;=INDEX(Inputs!$C:$C,MATCH("End Year",Inputs!$B:$B,0))*12,IF(CQ$3=INDEX(Inputs!$C:$C,MATCH("*Seller Finance Origination Month*",Inputs!$B:$B,0)),INDEX(Inputs!$C:$C,MATCH("*Seller Finance Amount*",Inputs!$B:$B,0)),0),0)</f>
        <v>0</v>
      </c>
      <c r="CR43" s="152">
        <f t="array" ref="CR43">IF(CR$3&lt;=INDEX(Inputs!$C:$C,MATCH("End Year",Inputs!$B:$B,0))*12,IF(CR$3=INDEX(Inputs!$C:$C,MATCH("*Seller Finance Origination Month*",Inputs!$B:$B,0)),INDEX(Inputs!$C:$C,MATCH("*Seller Finance Amount*",Inputs!$B:$B,0)),0),0)</f>
        <v>0</v>
      </c>
      <c r="CS43" s="152">
        <f t="array" ref="CS43">IF(CS$3&lt;=INDEX(Inputs!$C:$C,MATCH("End Year",Inputs!$B:$B,0))*12,IF(CS$3=INDEX(Inputs!$C:$C,MATCH("*Seller Finance Origination Month*",Inputs!$B:$B,0)),INDEX(Inputs!$C:$C,MATCH("*Seller Finance Amount*",Inputs!$B:$B,0)),0),0)</f>
        <v>0</v>
      </c>
      <c r="CT43" s="152">
        <f t="array" ref="CT43">IF(CT$3&lt;=INDEX(Inputs!$C:$C,MATCH("End Year",Inputs!$B:$B,0))*12,IF(CT$3=INDEX(Inputs!$C:$C,MATCH("*Seller Finance Origination Month*",Inputs!$B:$B,0)),INDEX(Inputs!$C:$C,MATCH("*Seller Finance Amount*",Inputs!$B:$B,0)),0),0)</f>
        <v>0</v>
      </c>
      <c r="CU43" s="152">
        <f t="array" ref="CU43">IF(CU$3&lt;=INDEX(Inputs!$C:$C,MATCH("End Year",Inputs!$B:$B,0))*12,IF(CU$3=INDEX(Inputs!$C:$C,MATCH("*Seller Finance Origination Month*",Inputs!$B:$B,0)),INDEX(Inputs!$C:$C,MATCH("*Seller Finance Amount*",Inputs!$B:$B,0)),0),0)</f>
        <v>0</v>
      </c>
      <c r="CV43" s="152">
        <f t="array" ref="CV43">IF(CV$3&lt;=INDEX(Inputs!$C:$C,MATCH("End Year",Inputs!$B:$B,0))*12,IF(CV$3=INDEX(Inputs!$C:$C,MATCH("*Seller Finance Origination Month*",Inputs!$B:$B,0)),INDEX(Inputs!$C:$C,MATCH("*Seller Finance Amount*",Inputs!$B:$B,0)),0),0)</f>
        <v>0</v>
      </c>
      <c r="CW43" s="152">
        <f t="array" ref="CW43">IF(CW$3&lt;=INDEX(Inputs!$C:$C,MATCH("End Year",Inputs!$B:$B,0))*12,IF(CW$3=INDEX(Inputs!$C:$C,MATCH("*Seller Finance Origination Month*",Inputs!$B:$B,0)),INDEX(Inputs!$C:$C,MATCH("*Seller Finance Amount*",Inputs!$B:$B,0)),0),0)</f>
        <v>0</v>
      </c>
      <c r="CX43" s="152">
        <f t="array" ref="CX43">IF(CX$3&lt;=INDEX(Inputs!$C:$C,MATCH("End Year",Inputs!$B:$B,0))*12,IF(CX$3=INDEX(Inputs!$C:$C,MATCH("*Seller Finance Origination Month*",Inputs!$B:$B,0)),INDEX(Inputs!$C:$C,MATCH("*Seller Finance Amount*",Inputs!$B:$B,0)),0),0)</f>
        <v>0</v>
      </c>
      <c r="CY43" s="152">
        <f t="array" ref="CY43">IF(CY$3&lt;=INDEX(Inputs!$C:$C,MATCH("End Year",Inputs!$B:$B,0))*12,IF(CY$3=INDEX(Inputs!$C:$C,MATCH("*Seller Finance Origination Month*",Inputs!$B:$B,0)),INDEX(Inputs!$C:$C,MATCH("*Seller Finance Amount*",Inputs!$B:$B,0)),0),0)</f>
        <v>0</v>
      </c>
      <c r="CZ43" s="152">
        <f t="array" ref="CZ43">IF(CZ$3&lt;=INDEX(Inputs!$C:$C,MATCH("End Year",Inputs!$B:$B,0))*12,IF(CZ$3=INDEX(Inputs!$C:$C,MATCH("*Seller Finance Origination Month*",Inputs!$B:$B,0)),INDEX(Inputs!$C:$C,MATCH("*Seller Finance Amount*",Inputs!$B:$B,0)),0),0)</f>
        <v>0</v>
      </c>
      <c r="DA43" s="152">
        <f t="array" ref="DA43">IF(DA$3&lt;=INDEX(Inputs!$C:$C,MATCH("End Year",Inputs!$B:$B,0))*12,IF(DA$3=INDEX(Inputs!$C:$C,MATCH("*Seller Finance Origination Month*",Inputs!$B:$B,0)),INDEX(Inputs!$C:$C,MATCH("*Seller Finance Amount*",Inputs!$B:$B,0)),0),0)</f>
        <v>0</v>
      </c>
      <c r="DB43" s="152">
        <f t="array" ref="DB43">IF(DB$3&lt;=INDEX(Inputs!$C:$C,MATCH("End Year",Inputs!$B:$B,0))*12,IF(DB$3=INDEX(Inputs!$C:$C,MATCH("*Seller Finance Origination Month*",Inputs!$B:$B,0)),INDEX(Inputs!$C:$C,MATCH("*Seller Finance Amount*",Inputs!$B:$B,0)),0),0)</f>
        <v>0</v>
      </c>
      <c r="DC43" s="152">
        <f t="array" ref="DC43">IF(DC$3&lt;=INDEX(Inputs!$C:$C,MATCH("End Year",Inputs!$B:$B,0))*12,IF(DC$3=INDEX(Inputs!$C:$C,MATCH("*Seller Finance Origination Month*",Inputs!$B:$B,0)),INDEX(Inputs!$C:$C,MATCH("*Seller Finance Amount*",Inputs!$B:$B,0)),0),0)</f>
        <v>0</v>
      </c>
      <c r="DD43" s="152">
        <f t="array" ref="DD43">IF(DD$3&lt;=INDEX(Inputs!$C:$C,MATCH("End Year",Inputs!$B:$B,0))*12,IF(DD$3=INDEX(Inputs!$C:$C,MATCH("*Seller Finance Origination Month*",Inputs!$B:$B,0)),INDEX(Inputs!$C:$C,MATCH("*Seller Finance Amount*",Inputs!$B:$B,0)),0),0)</f>
        <v>0</v>
      </c>
      <c r="DE43" s="152">
        <f t="array" ref="DE43">IF(DE$3&lt;=INDEX(Inputs!$C:$C,MATCH("End Year",Inputs!$B:$B,0))*12,IF(DE$3=INDEX(Inputs!$C:$C,MATCH("*Seller Finance Origination Month*",Inputs!$B:$B,0)),INDEX(Inputs!$C:$C,MATCH("*Seller Finance Amount*",Inputs!$B:$B,0)),0),0)</f>
        <v>0</v>
      </c>
      <c r="DF43" s="152">
        <f t="array" ref="DF43">IF(DF$3&lt;=INDEX(Inputs!$C:$C,MATCH("End Year",Inputs!$B:$B,0))*12,IF(DF$3=INDEX(Inputs!$C:$C,MATCH("*Seller Finance Origination Month*",Inputs!$B:$B,0)),INDEX(Inputs!$C:$C,MATCH("*Seller Finance Amount*",Inputs!$B:$B,0)),0),0)</f>
        <v>0</v>
      </c>
      <c r="DG43" s="152">
        <f t="array" ref="DG43">IF(DG$3&lt;=INDEX(Inputs!$C:$C,MATCH("End Year",Inputs!$B:$B,0))*12,IF(DG$3=INDEX(Inputs!$C:$C,MATCH("*Seller Finance Origination Month*",Inputs!$B:$B,0)),INDEX(Inputs!$C:$C,MATCH("*Seller Finance Amount*",Inputs!$B:$B,0)),0),0)</f>
        <v>0</v>
      </c>
      <c r="DH43" s="152">
        <f t="array" ref="DH43">IF(DH$3&lt;=INDEX(Inputs!$C:$C,MATCH("End Year",Inputs!$B:$B,0))*12,IF(DH$3=INDEX(Inputs!$C:$C,MATCH("*Seller Finance Origination Month*",Inputs!$B:$B,0)),INDEX(Inputs!$C:$C,MATCH("*Seller Finance Amount*",Inputs!$B:$B,0)),0),0)</f>
        <v>0</v>
      </c>
      <c r="DI43" s="152">
        <f t="array" ref="DI43">IF(DI$3&lt;=INDEX(Inputs!$C:$C,MATCH("End Year",Inputs!$B:$B,0))*12,IF(DI$3=INDEX(Inputs!$C:$C,MATCH("*Seller Finance Origination Month*",Inputs!$B:$B,0)),INDEX(Inputs!$C:$C,MATCH("*Seller Finance Amount*",Inputs!$B:$B,0)),0),0)</f>
        <v>0</v>
      </c>
      <c r="DJ43" s="152">
        <f t="array" ref="DJ43">IF(DJ$3&lt;=INDEX(Inputs!$C:$C,MATCH("End Year",Inputs!$B:$B,0))*12,IF(DJ$3=INDEX(Inputs!$C:$C,MATCH("*Seller Finance Origination Month*",Inputs!$B:$B,0)),INDEX(Inputs!$C:$C,MATCH("*Seller Finance Amount*",Inputs!$B:$B,0)),0),0)</f>
        <v>0</v>
      </c>
      <c r="DK43" s="152">
        <f t="array" ref="DK43">IF(DK$3&lt;=INDEX(Inputs!$C:$C,MATCH("End Year",Inputs!$B:$B,0))*12,IF(DK$3=INDEX(Inputs!$C:$C,MATCH("*Seller Finance Origination Month*",Inputs!$B:$B,0)),INDEX(Inputs!$C:$C,MATCH("*Seller Finance Amount*",Inputs!$B:$B,0)),0),0)</f>
        <v>0</v>
      </c>
      <c r="DL43" s="152">
        <f t="array" ref="DL43">IF(DL$3&lt;=INDEX(Inputs!$C:$C,MATCH("End Year",Inputs!$B:$B,0))*12,IF(DL$3=INDEX(Inputs!$C:$C,MATCH("*Seller Finance Origination Month*",Inputs!$B:$B,0)),INDEX(Inputs!$C:$C,MATCH("*Seller Finance Amount*",Inputs!$B:$B,0)),0),0)</f>
        <v>0</v>
      </c>
      <c r="DM43" s="152">
        <f t="array" ref="DM43">IF(DM$3&lt;=INDEX(Inputs!$C:$C,MATCH("End Year",Inputs!$B:$B,0))*12,IF(DM$3=INDEX(Inputs!$C:$C,MATCH("*Seller Finance Origination Month*",Inputs!$B:$B,0)),INDEX(Inputs!$C:$C,MATCH("*Seller Finance Amount*",Inputs!$B:$B,0)),0),0)</f>
        <v>0</v>
      </c>
      <c r="DN43" s="152">
        <f t="array" ref="DN43">IF(DN$3&lt;=INDEX(Inputs!$C:$C,MATCH("End Year",Inputs!$B:$B,0))*12,IF(DN$3=INDEX(Inputs!$C:$C,MATCH("*Seller Finance Origination Month*",Inputs!$B:$B,0)),INDEX(Inputs!$C:$C,MATCH("*Seller Finance Amount*",Inputs!$B:$B,0)),0),0)</f>
        <v>0</v>
      </c>
      <c r="DO43" s="152">
        <f t="array" ref="DO43">IF(DO$3&lt;=INDEX(Inputs!$C:$C,MATCH("End Year",Inputs!$B:$B,0))*12,IF(DO$3=INDEX(Inputs!$C:$C,MATCH("*Seller Finance Origination Month*",Inputs!$B:$B,0)),INDEX(Inputs!$C:$C,MATCH("*Seller Finance Amount*",Inputs!$B:$B,0)),0),0)</f>
        <v>0</v>
      </c>
      <c r="DP43" s="152">
        <f t="array" ref="DP43">IF(DP$3&lt;=INDEX(Inputs!$C:$C,MATCH("End Year",Inputs!$B:$B,0))*12,IF(DP$3=INDEX(Inputs!$C:$C,MATCH("*Seller Finance Origination Month*",Inputs!$B:$B,0)),INDEX(Inputs!$C:$C,MATCH("*Seller Finance Amount*",Inputs!$B:$B,0)),0),0)</f>
        <v>0</v>
      </c>
      <c r="DQ43" s="152">
        <f t="array" ref="DQ43">IF(DQ$3&lt;=INDEX(Inputs!$C:$C,MATCH("End Year",Inputs!$B:$B,0))*12,IF(DQ$3=INDEX(Inputs!$C:$C,MATCH("*Seller Finance Origination Month*",Inputs!$B:$B,0)),INDEX(Inputs!$C:$C,MATCH("*Seller Finance Amount*",Inputs!$B:$B,0)),0),0)</f>
        <v>0</v>
      </c>
      <c r="DR43" s="152">
        <f t="array" ref="DR43">IF(DR$3&lt;=INDEX(Inputs!$C:$C,MATCH("End Year",Inputs!$B:$B,0))*12,IF(DR$3=INDEX(Inputs!$C:$C,MATCH("*Seller Finance Origination Month*",Inputs!$B:$B,0)),INDEX(Inputs!$C:$C,MATCH("*Seller Finance Amount*",Inputs!$B:$B,0)),0),0)</f>
        <v>0</v>
      </c>
      <c r="DS43" s="44">
        <f t="array" ref="DS43">IF(DS$3&lt;=INDEX(Inputs!$C:$C,MATCH("End Year",Inputs!$B:$B,0))*12,IF(DS$3=INDEX(Inputs!$C:$C,MATCH("*Seller Finance Origination Month*",Inputs!$B:$B,0)),INDEX(Inputs!$C:$C,MATCH("*Seller Finance Amount*",Inputs!$B:$B,0)),0),0)</f>
        <v>0</v>
      </c>
    </row>
    <row r="44" ht="16.5" customHeight="1">
      <c r="A44" s="44"/>
      <c r="B44" s="46" t="s">
        <v>341</v>
      </c>
      <c r="C44" s="152">
        <f t="array" ref="C44">IF(C$3&lt;=INDEX(Inputs!$C:$C,MATCH("End Year",Inputs!$B:$B,0))*12,IF(OR(C42=0,C$3&lt;INDEX(Inputs!$C:$C,MATCH("*Seller Finance PMT Start Month*",Inputs!$B:$B,0))),0,-C42*INDEX(Inputs!$C:$C,MATCH("*Seller Finance Interest Rate*",Inputs!$B:$B,0))/12),0)</f>
        <v>0</v>
      </c>
      <c r="D44" s="152">
        <f t="array" ref="D44">IF(D$3&lt;=INDEX(Inputs!$C:$C,MATCH("End Year",Inputs!$B:$B,0))*12,IF(OR(D42=0,D$3&lt;INDEX(Inputs!$C:$C,MATCH("*Seller Finance PMT Start Month*",Inputs!$B:$B,0))),0,-D42*INDEX(Inputs!$C:$C,MATCH("*Seller Finance Interest Rate*",Inputs!$B:$B,0))/12),0)</f>
        <v>0</v>
      </c>
      <c r="E44" s="152">
        <f t="array" ref="E44">IF(E$3&lt;=INDEX(Inputs!$C:$C,MATCH("End Year",Inputs!$B:$B,0))*12,IF(OR(E42=0,E$3&lt;INDEX(Inputs!$C:$C,MATCH("*Seller Finance PMT Start Month*",Inputs!$B:$B,0))),0,-E42*INDEX(Inputs!$C:$C,MATCH("*Seller Finance Interest Rate*",Inputs!$B:$B,0))/12),0)</f>
        <v>0</v>
      </c>
      <c r="F44" s="152">
        <f t="array" ref="F44">IF(F$3&lt;=INDEX(Inputs!$C:$C,MATCH("End Year",Inputs!$B:$B,0))*12,IF(OR(F42=0,F$3&lt;INDEX(Inputs!$C:$C,MATCH("*Seller Finance PMT Start Month*",Inputs!$B:$B,0))),0,-F42*INDEX(Inputs!$C:$C,MATCH("*Seller Finance Interest Rate*",Inputs!$B:$B,0))/12),0)</f>
        <v>0</v>
      </c>
      <c r="G44" s="152">
        <f t="array" ref="G44">IF(G$3&lt;=INDEX(Inputs!$C:$C,MATCH("End Year",Inputs!$B:$B,0))*12,IF(OR(G42=0,G$3&lt;INDEX(Inputs!$C:$C,MATCH("*Seller Finance PMT Start Month*",Inputs!$B:$B,0))),0,-G42*INDEX(Inputs!$C:$C,MATCH("*Seller Finance Interest Rate*",Inputs!$B:$B,0))/12),0)</f>
        <v>0</v>
      </c>
      <c r="H44" s="152">
        <f t="array" ref="H44">IF(H$3&lt;=INDEX(Inputs!$C:$C,MATCH("End Year",Inputs!$B:$B,0))*12,IF(OR(H42=0,H$3&lt;INDEX(Inputs!$C:$C,MATCH("*Seller Finance PMT Start Month*",Inputs!$B:$B,0))),0,-H42*INDEX(Inputs!$C:$C,MATCH("*Seller Finance Interest Rate*",Inputs!$B:$B,0))/12),0)</f>
        <v>0</v>
      </c>
      <c r="I44" s="152">
        <f t="array" ref="I44">IF(I$3&lt;=INDEX(Inputs!$C:$C,MATCH("End Year",Inputs!$B:$B,0))*12,IF(OR(I42=0,I$3&lt;INDEX(Inputs!$C:$C,MATCH("*Seller Finance PMT Start Month*",Inputs!$B:$B,0))),0,-I42*INDEX(Inputs!$C:$C,MATCH("*Seller Finance Interest Rate*",Inputs!$B:$B,0))/12),0)</f>
        <v>0</v>
      </c>
      <c r="J44" s="152">
        <f t="array" ref="J44">IF(J$3&lt;=INDEX(Inputs!$C:$C,MATCH("End Year",Inputs!$B:$B,0))*12,IF(OR(J42=0,J$3&lt;INDEX(Inputs!$C:$C,MATCH("*Seller Finance PMT Start Month*",Inputs!$B:$B,0))),0,-J42*INDEX(Inputs!$C:$C,MATCH("*Seller Finance Interest Rate*",Inputs!$B:$B,0))/12),0)</f>
        <v>0</v>
      </c>
      <c r="K44" s="152">
        <f t="array" ref="K44">IF(K$3&lt;=INDEX(Inputs!$C:$C,MATCH("End Year",Inputs!$B:$B,0))*12,IF(OR(K42=0,K$3&lt;INDEX(Inputs!$C:$C,MATCH("*Seller Finance PMT Start Month*",Inputs!$B:$B,0))),0,-K42*INDEX(Inputs!$C:$C,MATCH("*Seller Finance Interest Rate*",Inputs!$B:$B,0))/12),0)</f>
        <v>0</v>
      </c>
      <c r="L44" s="152">
        <f t="array" ref="L44">IF(L$3&lt;=INDEX(Inputs!$C:$C,MATCH("End Year",Inputs!$B:$B,0))*12,IF(OR(L42=0,L$3&lt;INDEX(Inputs!$C:$C,MATCH("*Seller Finance PMT Start Month*",Inputs!$B:$B,0))),0,-L42*INDEX(Inputs!$C:$C,MATCH("*Seller Finance Interest Rate*",Inputs!$B:$B,0))/12),0)</f>
        <v>0</v>
      </c>
      <c r="M44" s="152">
        <f t="array" ref="M44">IF(M$3&lt;=INDEX(Inputs!$C:$C,MATCH("End Year",Inputs!$B:$B,0))*12,IF(OR(M42=0,M$3&lt;INDEX(Inputs!$C:$C,MATCH("*Seller Finance PMT Start Month*",Inputs!$B:$B,0))),0,-M42*INDEX(Inputs!$C:$C,MATCH("*Seller Finance Interest Rate*",Inputs!$B:$B,0))/12),0)</f>
        <v>0</v>
      </c>
      <c r="N44" s="152">
        <f t="array" ref="N44">IF(N$3&lt;=INDEX(Inputs!$C:$C,MATCH("End Year",Inputs!$B:$B,0))*12,IF(OR(N42=0,N$3&lt;INDEX(Inputs!$C:$C,MATCH("*Seller Finance PMT Start Month*",Inputs!$B:$B,0))),0,-N42*INDEX(Inputs!$C:$C,MATCH("*Seller Finance Interest Rate*",Inputs!$B:$B,0))/12),0)</f>
        <v>0</v>
      </c>
      <c r="O44" s="152">
        <f t="array" ref="O44">IF(O$3&lt;=INDEX(Inputs!$C:$C,MATCH("End Year",Inputs!$B:$B,0))*12,IF(OR(O42=0,O$3&lt;INDEX(Inputs!$C:$C,MATCH("*Seller Finance PMT Start Month*",Inputs!$B:$B,0))),0,-O42*INDEX(Inputs!$C:$C,MATCH("*Seller Finance Interest Rate*",Inputs!$B:$B,0))/12),0)</f>
        <v>0</v>
      </c>
      <c r="P44" s="152">
        <f t="array" ref="P44">IF(P$3&lt;=INDEX(Inputs!$C:$C,MATCH("End Year",Inputs!$B:$B,0))*12,IF(OR(P42=0,P$3&lt;INDEX(Inputs!$C:$C,MATCH("*Seller Finance PMT Start Month*",Inputs!$B:$B,0))),0,-P42*INDEX(Inputs!$C:$C,MATCH("*Seller Finance Interest Rate*",Inputs!$B:$B,0))/12),0)</f>
        <v>0</v>
      </c>
      <c r="Q44" s="152">
        <f t="array" ref="Q44">IF(Q$3&lt;=INDEX(Inputs!$C:$C,MATCH("End Year",Inputs!$B:$B,0))*12,IF(OR(Q42=0,Q$3&lt;INDEX(Inputs!$C:$C,MATCH("*Seller Finance PMT Start Month*",Inputs!$B:$B,0))),0,-Q42*INDEX(Inputs!$C:$C,MATCH("*Seller Finance Interest Rate*",Inputs!$B:$B,0))/12),0)</f>
        <v>0</v>
      </c>
      <c r="R44" s="152">
        <f t="array" ref="R44">IF(R$3&lt;=INDEX(Inputs!$C:$C,MATCH("End Year",Inputs!$B:$B,0))*12,IF(OR(R42=0,R$3&lt;INDEX(Inputs!$C:$C,MATCH("*Seller Finance PMT Start Month*",Inputs!$B:$B,0))),0,-R42*INDEX(Inputs!$C:$C,MATCH("*Seller Finance Interest Rate*",Inputs!$B:$B,0))/12),0)</f>
        <v>0</v>
      </c>
      <c r="S44" s="152">
        <f t="array" ref="S44">IF(S$3&lt;=INDEX(Inputs!$C:$C,MATCH("End Year",Inputs!$B:$B,0))*12,IF(OR(S42=0,S$3&lt;INDEX(Inputs!$C:$C,MATCH("*Seller Finance PMT Start Month*",Inputs!$B:$B,0))),0,-S42*INDEX(Inputs!$C:$C,MATCH("*Seller Finance Interest Rate*",Inputs!$B:$B,0))/12),0)</f>
        <v>0</v>
      </c>
      <c r="T44" s="152">
        <f t="array" ref="T44">IF(T$3&lt;=INDEX(Inputs!$C:$C,MATCH("End Year",Inputs!$B:$B,0))*12,IF(OR(T42=0,T$3&lt;INDEX(Inputs!$C:$C,MATCH("*Seller Finance PMT Start Month*",Inputs!$B:$B,0))),0,-T42*INDEX(Inputs!$C:$C,MATCH("*Seller Finance Interest Rate*",Inputs!$B:$B,0))/12),0)</f>
        <v>0</v>
      </c>
      <c r="U44" s="152">
        <f t="array" ref="U44">IF(U$3&lt;=INDEX(Inputs!$C:$C,MATCH("End Year",Inputs!$B:$B,0))*12,IF(OR(U42=0,U$3&lt;INDEX(Inputs!$C:$C,MATCH("*Seller Finance PMT Start Month*",Inputs!$B:$B,0))),0,-U42*INDEX(Inputs!$C:$C,MATCH("*Seller Finance Interest Rate*",Inputs!$B:$B,0))/12),0)</f>
        <v>0</v>
      </c>
      <c r="V44" s="152">
        <f t="array" ref="V44">IF(V$3&lt;=INDEX(Inputs!$C:$C,MATCH("End Year",Inputs!$B:$B,0))*12,IF(OR(V42=0,V$3&lt;INDEX(Inputs!$C:$C,MATCH("*Seller Finance PMT Start Month*",Inputs!$B:$B,0))),0,-V42*INDEX(Inputs!$C:$C,MATCH("*Seller Finance Interest Rate*",Inputs!$B:$B,0))/12),0)</f>
        <v>0</v>
      </c>
      <c r="W44" s="152">
        <f t="array" ref="W44">IF(W$3&lt;=INDEX(Inputs!$C:$C,MATCH("End Year",Inputs!$B:$B,0))*12,IF(OR(W42=0,W$3&lt;INDEX(Inputs!$C:$C,MATCH("*Seller Finance PMT Start Month*",Inputs!$B:$B,0))),0,-W42*INDEX(Inputs!$C:$C,MATCH("*Seller Finance Interest Rate*",Inputs!$B:$B,0))/12),0)</f>
        <v>0</v>
      </c>
      <c r="X44" s="152">
        <f t="array" ref="X44">IF(X$3&lt;=INDEX(Inputs!$C:$C,MATCH("End Year",Inputs!$B:$B,0))*12,IF(OR(X42=0,X$3&lt;INDEX(Inputs!$C:$C,MATCH("*Seller Finance PMT Start Month*",Inputs!$B:$B,0))),0,-X42*INDEX(Inputs!$C:$C,MATCH("*Seller Finance Interest Rate*",Inputs!$B:$B,0))/12),0)</f>
        <v>0</v>
      </c>
      <c r="Y44" s="152">
        <f t="array" ref="Y44">IF(Y$3&lt;=INDEX(Inputs!$C:$C,MATCH("End Year",Inputs!$B:$B,0))*12,IF(OR(Y42=0,Y$3&lt;INDEX(Inputs!$C:$C,MATCH("*Seller Finance PMT Start Month*",Inputs!$B:$B,0))),0,-Y42*INDEX(Inputs!$C:$C,MATCH("*Seller Finance Interest Rate*",Inputs!$B:$B,0))/12),0)</f>
        <v>0</v>
      </c>
      <c r="Z44" s="152">
        <f t="array" ref="Z44">IF(Z$3&lt;=INDEX(Inputs!$C:$C,MATCH("End Year",Inputs!$B:$B,0))*12,IF(OR(Z42=0,Z$3&lt;INDEX(Inputs!$C:$C,MATCH("*Seller Finance PMT Start Month*",Inputs!$B:$B,0))),0,-Z42*INDEX(Inputs!$C:$C,MATCH("*Seller Finance Interest Rate*",Inputs!$B:$B,0))/12),0)</f>
        <v>0</v>
      </c>
      <c r="AA44" s="152">
        <f t="array" ref="AA44">IF(AA$3&lt;=INDEX(Inputs!$C:$C,MATCH("End Year",Inputs!$B:$B,0))*12,IF(OR(AA42=0,AA$3&lt;INDEX(Inputs!$C:$C,MATCH("*Seller Finance PMT Start Month*",Inputs!$B:$B,0))),0,-AA42*INDEX(Inputs!$C:$C,MATCH("*Seller Finance Interest Rate*",Inputs!$B:$B,0))/12),0)</f>
        <v>0</v>
      </c>
      <c r="AB44" s="152">
        <f t="array" ref="AB44">IF(AB$3&lt;=INDEX(Inputs!$C:$C,MATCH("End Year",Inputs!$B:$B,0))*12,IF(OR(AB42=0,AB$3&lt;INDEX(Inputs!$C:$C,MATCH("*Seller Finance PMT Start Month*",Inputs!$B:$B,0))),0,-AB42*INDEX(Inputs!$C:$C,MATCH("*Seller Finance Interest Rate*",Inputs!$B:$B,0))/12),0)</f>
        <v>0</v>
      </c>
      <c r="AC44" s="152">
        <f t="array" ref="AC44">IF(AC$3&lt;=INDEX(Inputs!$C:$C,MATCH("End Year",Inputs!$B:$B,0))*12,IF(OR(AC42=0,AC$3&lt;INDEX(Inputs!$C:$C,MATCH("*Seller Finance PMT Start Month*",Inputs!$B:$B,0))),0,-AC42*INDEX(Inputs!$C:$C,MATCH("*Seller Finance Interest Rate*",Inputs!$B:$B,0))/12),0)</f>
        <v>0</v>
      </c>
      <c r="AD44" s="152">
        <f t="array" ref="AD44">IF(AD$3&lt;=INDEX(Inputs!$C:$C,MATCH("End Year",Inputs!$B:$B,0))*12,IF(OR(AD42=0,AD$3&lt;INDEX(Inputs!$C:$C,MATCH("*Seller Finance PMT Start Month*",Inputs!$B:$B,0))),0,-AD42*INDEX(Inputs!$C:$C,MATCH("*Seller Finance Interest Rate*",Inputs!$B:$B,0))/12),0)</f>
        <v>0</v>
      </c>
      <c r="AE44" s="152">
        <f t="array" ref="AE44">IF(AE$3&lt;=INDEX(Inputs!$C:$C,MATCH("End Year",Inputs!$B:$B,0))*12,IF(OR(AE42=0,AE$3&lt;INDEX(Inputs!$C:$C,MATCH("*Seller Finance PMT Start Month*",Inputs!$B:$B,0))),0,-AE42*INDEX(Inputs!$C:$C,MATCH("*Seller Finance Interest Rate*",Inputs!$B:$B,0))/12),0)</f>
        <v>0</v>
      </c>
      <c r="AF44" s="152">
        <f t="array" ref="AF44">IF(AF$3&lt;=INDEX(Inputs!$C:$C,MATCH("End Year",Inputs!$B:$B,0))*12,IF(OR(AF42=0,AF$3&lt;INDEX(Inputs!$C:$C,MATCH("*Seller Finance PMT Start Month*",Inputs!$B:$B,0))),0,-AF42*INDEX(Inputs!$C:$C,MATCH("*Seller Finance Interest Rate*",Inputs!$B:$B,0))/12),0)</f>
        <v>0</v>
      </c>
      <c r="AG44" s="152">
        <f t="array" ref="AG44">IF(AG$3&lt;=INDEX(Inputs!$C:$C,MATCH("End Year",Inputs!$B:$B,0))*12,IF(OR(AG42=0,AG$3&lt;INDEX(Inputs!$C:$C,MATCH("*Seller Finance PMT Start Month*",Inputs!$B:$B,0))),0,-AG42*INDEX(Inputs!$C:$C,MATCH("*Seller Finance Interest Rate*",Inputs!$B:$B,0))/12),0)</f>
        <v>0</v>
      </c>
      <c r="AH44" s="152">
        <f t="array" ref="AH44">IF(AH$3&lt;=INDEX(Inputs!$C:$C,MATCH("End Year",Inputs!$B:$B,0))*12,IF(OR(AH42=0,AH$3&lt;INDEX(Inputs!$C:$C,MATCH("*Seller Finance PMT Start Month*",Inputs!$B:$B,0))),0,-AH42*INDEX(Inputs!$C:$C,MATCH("*Seller Finance Interest Rate*",Inputs!$B:$B,0))/12),0)</f>
        <v>0</v>
      </c>
      <c r="AI44" s="152">
        <f t="array" ref="AI44">IF(AI$3&lt;=INDEX(Inputs!$C:$C,MATCH("End Year",Inputs!$B:$B,0))*12,IF(OR(AI42=0,AI$3&lt;INDEX(Inputs!$C:$C,MATCH("*Seller Finance PMT Start Month*",Inputs!$B:$B,0))),0,-AI42*INDEX(Inputs!$C:$C,MATCH("*Seller Finance Interest Rate*",Inputs!$B:$B,0))/12),0)</f>
        <v>0</v>
      </c>
      <c r="AJ44" s="152">
        <f t="array" ref="AJ44">IF(AJ$3&lt;=INDEX(Inputs!$C:$C,MATCH("End Year",Inputs!$B:$B,0))*12,IF(OR(AJ42=0,AJ$3&lt;INDEX(Inputs!$C:$C,MATCH("*Seller Finance PMT Start Month*",Inputs!$B:$B,0))),0,-AJ42*INDEX(Inputs!$C:$C,MATCH("*Seller Finance Interest Rate*",Inputs!$B:$B,0))/12),0)</f>
        <v>0</v>
      </c>
      <c r="AK44" s="152">
        <f t="array" ref="AK44">IF(AK$3&lt;=INDEX(Inputs!$C:$C,MATCH("End Year",Inputs!$B:$B,0))*12,IF(OR(AK42=0,AK$3&lt;INDEX(Inputs!$C:$C,MATCH("*Seller Finance PMT Start Month*",Inputs!$B:$B,0))),0,-AK42*INDEX(Inputs!$C:$C,MATCH("*Seller Finance Interest Rate*",Inputs!$B:$B,0))/12),0)</f>
        <v>0</v>
      </c>
      <c r="AL44" s="152">
        <f t="array" ref="AL44">IF(AL$3&lt;=INDEX(Inputs!$C:$C,MATCH("End Year",Inputs!$B:$B,0))*12,IF(OR(AL42=0,AL$3&lt;INDEX(Inputs!$C:$C,MATCH("*Seller Finance PMT Start Month*",Inputs!$B:$B,0))),0,-AL42*INDEX(Inputs!$C:$C,MATCH("*Seller Finance Interest Rate*",Inputs!$B:$B,0))/12),0)</f>
        <v>0</v>
      </c>
      <c r="AM44" s="152">
        <f t="array" ref="AM44">IF(AM$3&lt;=INDEX(Inputs!$C:$C,MATCH("End Year",Inputs!$B:$B,0))*12,IF(OR(AM42=0,AM$3&lt;INDEX(Inputs!$C:$C,MATCH("*Seller Finance PMT Start Month*",Inputs!$B:$B,0))),0,-AM42*INDEX(Inputs!$C:$C,MATCH("*Seller Finance Interest Rate*",Inputs!$B:$B,0))/12),0)</f>
        <v>0</v>
      </c>
      <c r="AN44" s="152">
        <f t="array" ref="AN44">IF(AN$3&lt;=INDEX(Inputs!$C:$C,MATCH("End Year",Inputs!$B:$B,0))*12,IF(OR(AN42=0,AN$3&lt;INDEX(Inputs!$C:$C,MATCH("*Seller Finance PMT Start Month*",Inputs!$B:$B,0))),0,-AN42*INDEX(Inputs!$C:$C,MATCH("*Seller Finance Interest Rate*",Inputs!$B:$B,0))/12),0)</f>
        <v>0</v>
      </c>
      <c r="AO44" s="152">
        <f t="array" ref="AO44">IF(AO$3&lt;=INDEX(Inputs!$C:$C,MATCH("End Year",Inputs!$B:$B,0))*12,IF(OR(AO42=0,AO$3&lt;INDEX(Inputs!$C:$C,MATCH("*Seller Finance PMT Start Month*",Inputs!$B:$B,0))),0,-AO42*INDEX(Inputs!$C:$C,MATCH("*Seller Finance Interest Rate*",Inputs!$B:$B,0))/12),0)</f>
        <v>0</v>
      </c>
      <c r="AP44" s="152">
        <f t="array" ref="AP44">IF(AP$3&lt;=INDEX(Inputs!$C:$C,MATCH("End Year",Inputs!$B:$B,0))*12,IF(OR(AP42=0,AP$3&lt;INDEX(Inputs!$C:$C,MATCH("*Seller Finance PMT Start Month*",Inputs!$B:$B,0))),0,-AP42*INDEX(Inputs!$C:$C,MATCH("*Seller Finance Interest Rate*",Inputs!$B:$B,0))/12),0)</f>
        <v>0</v>
      </c>
      <c r="AQ44" s="152">
        <f t="array" ref="AQ44">IF(AQ$3&lt;=INDEX(Inputs!$C:$C,MATCH("End Year",Inputs!$B:$B,0))*12,IF(OR(AQ42=0,AQ$3&lt;INDEX(Inputs!$C:$C,MATCH("*Seller Finance PMT Start Month*",Inputs!$B:$B,0))),0,-AQ42*INDEX(Inputs!$C:$C,MATCH("*Seller Finance Interest Rate*",Inputs!$B:$B,0))/12),0)</f>
        <v>0</v>
      </c>
      <c r="AR44" s="152">
        <f t="array" ref="AR44">IF(AR$3&lt;=INDEX(Inputs!$C:$C,MATCH("End Year",Inputs!$B:$B,0))*12,IF(OR(AR42=0,AR$3&lt;INDEX(Inputs!$C:$C,MATCH("*Seller Finance PMT Start Month*",Inputs!$B:$B,0))),0,-AR42*INDEX(Inputs!$C:$C,MATCH("*Seller Finance Interest Rate*",Inputs!$B:$B,0))/12),0)</f>
        <v>0</v>
      </c>
      <c r="AS44" s="152">
        <f t="array" ref="AS44">IF(AS$3&lt;=INDEX(Inputs!$C:$C,MATCH("End Year",Inputs!$B:$B,0))*12,IF(OR(AS42=0,AS$3&lt;INDEX(Inputs!$C:$C,MATCH("*Seller Finance PMT Start Month*",Inputs!$B:$B,0))),0,-AS42*INDEX(Inputs!$C:$C,MATCH("*Seller Finance Interest Rate*",Inputs!$B:$B,0))/12),0)</f>
        <v>0</v>
      </c>
      <c r="AT44" s="152">
        <f t="array" ref="AT44">IF(AT$3&lt;=INDEX(Inputs!$C:$C,MATCH("End Year",Inputs!$B:$B,0))*12,IF(OR(AT42=0,AT$3&lt;INDEX(Inputs!$C:$C,MATCH("*Seller Finance PMT Start Month*",Inputs!$B:$B,0))),0,-AT42*INDEX(Inputs!$C:$C,MATCH("*Seller Finance Interest Rate*",Inputs!$B:$B,0))/12),0)</f>
        <v>0</v>
      </c>
      <c r="AU44" s="152">
        <f t="array" ref="AU44">IF(AU$3&lt;=INDEX(Inputs!$C:$C,MATCH("End Year",Inputs!$B:$B,0))*12,IF(OR(AU42=0,AU$3&lt;INDEX(Inputs!$C:$C,MATCH("*Seller Finance PMT Start Month*",Inputs!$B:$B,0))),0,-AU42*INDEX(Inputs!$C:$C,MATCH("*Seller Finance Interest Rate*",Inputs!$B:$B,0))/12),0)</f>
        <v>0</v>
      </c>
      <c r="AV44" s="152">
        <f t="array" ref="AV44">IF(AV$3&lt;=INDEX(Inputs!$C:$C,MATCH("End Year",Inputs!$B:$B,0))*12,IF(OR(AV42=0,AV$3&lt;INDEX(Inputs!$C:$C,MATCH("*Seller Finance PMT Start Month*",Inputs!$B:$B,0))),0,-AV42*INDEX(Inputs!$C:$C,MATCH("*Seller Finance Interest Rate*",Inputs!$B:$B,0))/12),0)</f>
        <v>0</v>
      </c>
      <c r="AW44" s="152">
        <f t="array" ref="AW44">IF(AW$3&lt;=INDEX(Inputs!$C:$C,MATCH("End Year",Inputs!$B:$B,0))*12,IF(OR(AW42=0,AW$3&lt;INDEX(Inputs!$C:$C,MATCH("*Seller Finance PMT Start Month*",Inputs!$B:$B,0))),0,-AW42*INDEX(Inputs!$C:$C,MATCH("*Seller Finance Interest Rate*",Inputs!$B:$B,0))/12),0)</f>
        <v>0</v>
      </c>
      <c r="AX44" s="152">
        <f t="array" ref="AX44">IF(AX$3&lt;=INDEX(Inputs!$C:$C,MATCH("End Year",Inputs!$B:$B,0))*12,IF(OR(AX42=0,AX$3&lt;INDEX(Inputs!$C:$C,MATCH("*Seller Finance PMT Start Month*",Inputs!$B:$B,0))),0,-AX42*INDEX(Inputs!$C:$C,MATCH("*Seller Finance Interest Rate*",Inputs!$B:$B,0))/12),0)</f>
        <v>0</v>
      </c>
      <c r="AY44" s="152">
        <f t="array" ref="AY44">IF(AY$3&lt;=INDEX(Inputs!$C:$C,MATCH("End Year",Inputs!$B:$B,0))*12,IF(OR(AY42=0,AY$3&lt;INDEX(Inputs!$C:$C,MATCH("*Seller Finance PMT Start Month*",Inputs!$B:$B,0))),0,-AY42*INDEX(Inputs!$C:$C,MATCH("*Seller Finance Interest Rate*",Inputs!$B:$B,0))/12),0)</f>
        <v>0</v>
      </c>
      <c r="AZ44" s="152">
        <f t="array" ref="AZ44">IF(AZ$3&lt;=INDEX(Inputs!$C:$C,MATCH("End Year",Inputs!$B:$B,0))*12,IF(OR(AZ42=0,AZ$3&lt;INDEX(Inputs!$C:$C,MATCH("*Seller Finance PMT Start Month*",Inputs!$B:$B,0))),0,-AZ42*INDEX(Inputs!$C:$C,MATCH("*Seller Finance Interest Rate*",Inputs!$B:$B,0))/12),0)</f>
        <v>0</v>
      </c>
      <c r="BA44" s="152">
        <f t="array" ref="BA44">IF(BA$3&lt;=INDEX(Inputs!$C:$C,MATCH("End Year",Inputs!$B:$B,0))*12,IF(OR(BA42=0,BA$3&lt;INDEX(Inputs!$C:$C,MATCH("*Seller Finance PMT Start Month*",Inputs!$B:$B,0))),0,-BA42*INDEX(Inputs!$C:$C,MATCH("*Seller Finance Interest Rate*",Inputs!$B:$B,0))/12),0)</f>
        <v>0</v>
      </c>
      <c r="BB44" s="152">
        <f t="array" ref="BB44">IF(BB$3&lt;=INDEX(Inputs!$C:$C,MATCH("End Year",Inputs!$B:$B,0))*12,IF(OR(BB42=0,BB$3&lt;INDEX(Inputs!$C:$C,MATCH("*Seller Finance PMT Start Month*",Inputs!$B:$B,0))),0,-BB42*INDEX(Inputs!$C:$C,MATCH("*Seller Finance Interest Rate*",Inputs!$B:$B,0))/12),0)</f>
        <v>0</v>
      </c>
      <c r="BC44" s="152">
        <f t="array" ref="BC44">IF(BC$3&lt;=INDEX(Inputs!$C:$C,MATCH("End Year",Inputs!$B:$B,0))*12,IF(OR(BC42=0,BC$3&lt;INDEX(Inputs!$C:$C,MATCH("*Seller Finance PMT Start Month*",Inputs!$B:$B,0))),0,-BC42*INDEX(Inputs!$C:$C,MATCH("*Seller Finance Interest Rate*",Inputs!$B:$B,0))/12),0)</f>
        <v>0</v>
      </c>
      <c r="BD44" s="152">
        <f t="array" ref="BD44">IF(BD$3&lt;=INDEX(Inputs!$C:$C,MATCH("End Year",Inputs!$B:$B,0))*12,IF(OR(BD42=0,BD$3&lt;INDEX(Inputs!$C:$C,MATCH("*Seller Finance PMT Start Month*",Inputs!$B:$B,0))),0,-BD42*INDEX(Inputs!$C:$C,MATCH("*Seller Finance Interest Rate*",Inputs!$B:$B,0))/12),0)</f>
        <v>0</v>
      </c>
      <c r="BE44" s="152">
        <f t="array" ref="BE44">IF(BE$3&lt;=INDEX(Inputs!$C:$C,MATCH("End Year",Inputs!$B:$B,0))*12,IF(OR(BE42=0,BE$3&lt;INDEX(Inputs!$C:$C,MATCH("*Seller Finance PMT Start Month*",Inputs!$B:$B,0))),0,-BE42*INDEX(Inputs!$C:$C,MATCH("*Seller Finance Interest Rate*",Inputs!$B:$B,0))/12),0)</f>
        <v>0</v>
      </c>
      <c r="BF44" s="152">
        <f t="array" ref="BF44">IF(BF$3&lt;=INDEX(Inputs!$C:$C,MATCH("End Year",Inputs!$B:$B,0))*12,IF(OR(BF42=0,BF$3&lt;INDEX(Inputs!$C:$C,MATCH("*Seller Finance PMT Start Month*",Inputs!$B:$B,0))),0,-BF42*INDEX(Inputs!$C:$C,MATCH("*Seller Finance Interest Rate*",Inputs!$B:$B,0))/12),0)</f>
        <v>0</v>
      </c>
      <c r="BG44" s="152">
        <f t="array" ref="BG44">IF(BG$3&lt;=INDEX(Inputs!$C:$C,MATCH("End Year",Inputs!$B:$B,0))*12,IF(OR(BG42=0,BG$3&lt;INDEX(Inputs!$C:$C,MATCH("*Seller Finance PMT Start Month*",Inputs!$B:$B,0))),0,-BG42*INDEX(Inputs!$C:$C,MATCH("*Seller Finance Interest Rate*",Inputs!$B:$B,0))/12),0)</f>
        <v>0</v>
      </c>
      <c r="BH44" s="152">
        <f t="array" ref="BH44">IF(BH$3&lt;=INDEX(Inputs!$C:$C,MATCH("End Year",Inputs!$B:$B,0))*12,IF(OR(BH42=0,BH$3&lt;INDEX(Inputs!$C:$C,MATCH("*Seller Finance PMT Start Month*",Inputs!$B:$B,0))),0,-BH42*INDEX(Inputs!$C:$C,MATCH("*Seller Finance Interest Rate*",Inputs!$B:$B,0))/12),0)</f>
        <v>0</v>
      </c>
      <c r="BI44" s="152">
        <f t="array" ref="BI44">IF(BI$3&lt;=INDEX(Inputs!$C:$C,MATCH("End Year",Inputs!$B:$B,0))*12,IF(OR(BI42=0,BI$3&lt;INDEX(Inputs!$C:$C,MATCH("*Seller Finance PMT Start Month*",Inputs!$B:$B,0))),0,-BI42*INDEX(Inputs!$C:$C,MATCH("*Seller Finance Interest Rate*",Inputs!$B:$B,0))/12),0)</f>
        <v>0</v>
      </c>
      <c r="BJ44" s="152">
        <f t="array" ref="BJ44">IF(BJ$3&lt;=INDEX(Inputs!$C:$C,MATCH("End Year",Inputs!$B:$B,0))*12,IF(OR(BJ42=0,BJ$3&lt;INDEX(Inputs!$C:$C,MATCH("*Seller Finance PMT Start Month*",Inputs!$B:$B,0))),0,-BJ42*INDEX(Inputs!$C:$C,MATCH("*Seller Finance Interest Rate*",Inputs!$B:$B,0))/12),0)</f>
        <v>0</v>
      </c>
      <c r="BK44" s="152">
        <f t="array" ref="BK44">IF(BK$3&lt;=INDEX(Inputs!$C:$C,MATCH("End Year",Inputs!$B:$B,0))*12,IF(OR(BK42=0,BK$3&lt;INDEX(Inputs!$C:$C,MATCH("*Seller Finance PMT Start Month*",Inputs!$B:$B,0))),0,-BK42*INDEX(Inputs!$C:$C,MATCH("*Seller Finance Interest Rate*",Inputs!$B:$B,0))/12),0)</f>
        <v>0</v>
      </c>
      <c r="BL44" s="152">
        <f t="array" ref="BL44">IF(BL$3&lt;=INDEX(Inputs!$C:$C,MATCH("End Year",Inputs!$B:$B,0))*12,IF(OR(BL42=0,BL$3&lt;INDEX(Inputs!$C:$C,MATCH("*Seller Finance PMT Start Month*",Inputs!$B:$B,0))),0,-BL42*INDEX(Inputs!$C:$C,MATCH("*Seller Finance Interest Rate*",Inputs!$B:$B,0))/12),0)</f>
        <v>0</v>
      </c>
      <c r="BM44" s="152">
        <f t="array" ref="BM44">IF(BM$3&lt;=INDEX(Inputs!$C:$C,MATCH("End Year",Inputs!$B:$B,0))*12,IF(OR(BM42=0,BM$3&lt;INDEX(Inputs!$C:$C,MATCH("*Seller Finance PMT Start Month*",Inputs!$B:$B,0))),0,-BM42*INDEX(Inputs!$C:$C,MATCH("*Seller Finance Interest Rate*",Inputs!$B:$B,0))/12),0)</f>
        <v>0</v>
      </c>
      <c r="BN44" s="152">
        <f t="array" ref="BN44">IF(BN$3&lt;=INDEX(Inputs!$C:$C,MATCH("End Year",Inputs!$B:$B,0))*12,IF(OR(BN42=0,BN$3&lt;INDEX(Inputs!$C:$C,MATCH("*Seller Finance PMT Start Month*",Inputs!$B:$B,0))),0,-BN42*INDEX(Inputs!$C:$C,MATCH("*Seller Finance Interest Rate*",Inputs!$B:$B,0))/12),0)</f>
        <v>0</v>
      </c>
      <c r="BO44" s="152">
        <f t="array" ref="BO44">IF(BO$3&lt;=INDEX(Inputs!$C:$C,MATCH("End Year",Inputs!$B:$B,0))*12,IF(OR(BO42=0,BO$3&lt;INDEX(Inputs!$C:$C,MATCH("*Seller Finance PMT Start Month*",Inputs!$B:$B,0))),0,-BO42*INDEX(Inputs!$C:$C,MATCH("*Seller Finance Interest Rate*",Inputs!$B:$B,0))/12),0)</f>
        <v>0</v>
      </c>
      <c r="BP44" s="152">
        <f t="array" ref="BP44">IF(BP$3&lt;=INDEX(Inputs!$C:$C,MATCH("End Year",Inputs!$B:$B,0))*12,IF(OR(BP42=0,BP$3&lt;INDEX(Inputs!$C:$C,MATCH("*Seller Finance PMT Start Month*",Inputs!$B:$B,0))),0,-BP42*INDEX(Inputs!$C:$C,MATCH("*Seller Finance Interest Rate*",Inputs!$B:$B,0))/12),0)</f>
        <v>0</v>
      </c>
      <c r="BQ44" s="152">
        <f t="array" ref="BQ44">IF(BQ$3&lt;=INDEX(Inputs!$C:$C,MATCH("End Year",Inputs!$B:$B,0))*12,IF(OR(BQ42=0,BQ$3&lt;INDEX(Inputs!$C:$C,MATCH("*Seller Finance PMT Start Month*",Inputs!$B:$B,0))),0,-BQ42*INDEX(Inputs!$C:$C,MATCH("*Seller Finance Interest Rate*",Inputs!$B:$B,0))/12),0)</f>
        <v>0</v>
      </c>
      <c r="BR44" s="152">
        <f t="array" ref="BR44">IF(BR$3&lt;=INDEX(Inputs!$C:$C,MATCH("End Year",Inputs!$B:$B,0))*12,IF(OR(BR42=0,BR$3&lt;INDEX(Inputs!$C:$C,MATCH("*Seller Finance PMT Start Month*",Inputs!$B:$B,0))),0,-BR42*INDEX(Inputs!$C:$C,MATCH("*Seller Finance Interest Rate*",Inputs!$B:$B,0))/12),0)</f>
        <v>0</v>
      </c>
      <c r="BS44" s="152">
        <f t="array" ref="BS44">IF(BS$3&lt;=INDEX(Inputs!$C:$C,MATCH("End Year",Inputs!$B:$B,0))*12,IF(OR(BS42=0,BS$3&lt;INDEX(Inputs!$C:$C,MATCH("*Seller Finance PMT Start Month*",Inputs!$B:$B,0))),0,-BS42*INDEX(Inputs!$C:$C,MATCH("*Seller Finance Interest Rate*",Inputs!$B:$B,0))/12),0)</f>
        <v>0</v>
      </c>
      <c r="BT44" s="152">
        <f t="array" ref="BT44">IF(BT$3&lt;=INDEX(Inputs!$C:$C,MATCH("End Year",Inputs!$B:$B,0))*12,IF(OR(BT42=0,BT$3&lt;INDEX(Inputs!$C:$C,MATCH("*Seller Finance PMT Start Month*",Inputs!$B:$B,0))),0,-BT42*INDEX(Inputs!$C:$C,MATCH("*Seller Finance Interest Rate*",Inputs!$B:$B,0))/12),0)</f>
        <v>0</v>
      </c>
      <c r="BU44" s="152">
        <f t="array" ref="BU44">IF(BU$3&lt;=INDEX(Inputs!$C:$C,MATCH("End Year",Inputs!$B:$B,0))*12,IF(OR(BU42=0,BU$3&lt;INDEX(Inputs!$C:$C,MATCH("*Seller Finance PMT Start Month*",Inputs!$B:$B,0))),0,-BU42*INDEX(Inputs!$C:$C,MATCH("*Seller Finance Interest Rate*",Inputs!$B:$B,0))/12),0)</f>
        <v>0</v>
      </c>
      <c r="BV44" s="152">
        <f t="array" ref="BV44">IF(BV$3&lt;=INDEX(Inputs!$C:$C,MATCH("End Year",Inputs!$B:$B,0))*12,IF(OR(BV42=0,BV$3&lt;INDEX(Inputs!$C:$C,MATCH("*Seller Finance PMT Start Month*",Inputs!$B:$B,0))),0,-BV42*INDEX(Inputs!$C:$C,MATCH("*Seller Finance Interest Rate*",Inputs!$B:$B,0))/12),0)</f>
        <v>0</v>
      </c>
      <c r="BW44" s="152">
        <f t="array" ref="BW44">IF(BW$3&lt;=INDEX(Inputs!$C:$C,MATCH("End Year",Inputs!$B:$B,0))*12,IF(OR(BW42=0,BW$3&lt;INDEX(Inputs!$C:$C,MATCH("*Seller Finance PMT Start Month*",Inputs!$B:$B,0))),0,-BW42*INDEX(Inputs!$C:$C,MATCH("*Seller Finance Interest Rate*",Inputs!$B:$B,0))/12),0)</f>
        <v>0</v>
      </c>
      <c r="BX44" s="152">
        <f t="array" ref="BX44">IF(BX$3&lt;=INDEX(Inputs!$C:$C,MATCH("End Year",Inputs!$B:$B,0))*12,IF(OR(BX42=0,BX$3&lt;INDEX(Inputs!$C:$C,MATCH("*Seller Finance PMT Start Month*",Inputs!$B:$B,0))),0,-BX42*INDEX(Inputs!$C:$C,MATCH("*Seller Finance Interest Rate*",Inputs!$B:$B,0))/12),0)</f>
        <v>0</v>
      </c>
      <c r="BY44" s="152">
        <f t="array" ref="BY44">IF(BY$3&lt;=INDEX(Inputs!$C:$C,MATCH("End Year",Inputs!$B:$B,0))*12,IF(OR(BY42=0,BY$3&lt;INDEX(Inputs!$C:$C,MATCH("*Seller Finance PMT Start Month*",Inputs!$B:$B,0))),0,-BY42*INDEX(Inputs!$C:$C,MATCH("*Seller Finance Interest Rate*",Inputs!$B:$B,0))/12),0)</f>
        <v>0</v>
      </c>
      <c r="BZ44" s="152">
        <f t="array" ref="BZ44">IF(BZ$3&lt;=INDEX(Inputs!$C:$C,MATCH("End Year",Inputs!$B:$B,0))*12,IF(OR(BZ42=0,BZ$3&lt;INDEX(Inputs!$C:$C,MATCH("*Seller Finance PMT Start Month*",Inputs!$B:$B,0))),0,-BZ42*INDEX(Inputs!$C:$C,MATCH("*Seller Finance Interest Rate*",Inputs!$B:$B,0))/12),0)</f>
        <v>0</v>
      </c>
      <c r="CA44" s="152">
        <f t="array" ref="CA44">IF(CA$3&lt;=INDEX(Inputs!$C:$C,MATCH("End Year",Inputs!$B:$B,0))*12,IF(OR(CA42=0,CA$3&lt;INDEX(Inputs!$C:$C,MATCH("*Seller Finance PMT Start Month*",Inputs!$B:$B,0))),0,-CA42*INDEX(Inputs!$C:$C,MATCH("*Seller Finance Interest Rate*",Inputs!$B:$B,0))/12),0)</f>
        <v>0</v>
      </c>
      <c r="CB44" s="152">
        <f t="array" ref="CB44">IF(CB$3&lt;=INDEX(Inputs!$C:$C,MATCH("End Year",Inputs!$B:$B,0))*12,IF(OR(CB42=0,CB$3&lt;INDEX(Inputs!$C:$C,MATCH("*Seller Finance PMT Start Month*",Inputs!$B:$B,0))),0,-CB42*INDEX(Inputs!$C:$C,MATCH("*Seller Finance Interest Rate*",Inputs!$B:$B,0))/12),0)</f>
        <v>0</v>
      </c>
      <c r="CC44" s="152">
        <f t="array" ref="CC44">IF(CC$3&lt;=INDEX(Inputs!$C:$C,MATCH("End Year",Inputs!$B:$B,0))*12,IF(OR(CC42=0,CC$3&lt;INDEX(Inputs!$C:$C,MATCH("*Seller Finance PMT Start Month*",Inputs!$B:$B,0))),0,-CC42*INDEX(Inputs!$C:$C,MATCH("*Seller Finance Interest Rate*",Inputs!$B:$B,0))/12),0)</f>
        <v>0</v>
      </c>
      <c r="CD44" s="152">
        <f t="array" ref="CD44">IF(CD$3&lt;=INDEX(Inputs!$C:$C,MATCH("End Year",Inputs!$B:$B,0))*12,IF(OR(CD42=0,CD$3&lt;INDEX(Inputs!$C:$C,MATCH("*Seller Finance PMT Start Month*",Inputs!$B:$B,0))),0,-CD42*INDEX(Inputs!$C:$C,MATCH("*Seller Finance Interest Rate*",Inputs!$B:$B,0))/12),0)</f>
        <v>0</v>
      </c>
      <c r="CE44" s="152">
        <f t="array" ref="CE44">IF(CE$3&lt;=INDEX(Inputs!$C:$C,MATCH("End Year",Inputs!$B:$B,0))*12,IF(OR(CE42=0,CE$3&lt;INDEX(Inputs!$C:$C,MATCH("*Seller Finance PMT Start Month*",Inputs!$B:$B,0))),0,-CE42*INDEX(Inputs!$C:$C,MATCH("*Seller Finance Interest Rate*",Inputs!$B:$B,0))/12),0)</f>
        <v>0</v>
      </c>
      <c r="CF44" s="152">
        <f t="array" ref="CF44">IF(CF$3&lt;=INDEX(Inputs!$C:$C,MATCH("End Year",Inputs!$B:$B,0))*12,IF(OR(CF42=0,CF$3&lt;INDEX(Inputs!$C:$C,MATCH("*Seller Finance PMT Start Month*",Inputs!$B:$B,0))),0,-CF42*INDEX(Inputs!$C:$C,MATCH("*Seller Finance Interest Rate*",Inputs!$B:$B,0))/12),0)</f>
        <v>0</v>
      </c>
      <c r="CG44" s="152">
        <f t="array" ref="CG44">IF(CG$3&lt;=INDEX(Inputs!$C:$C,MATCH("End Year",Inputs!$B:$B,0))*12,IF(OR(CG42=0,CG$3&lt;INDEX(Inputs!$C:$C,MATCH("*Seller Finance PMT Start Month*",Inputs!$B:$B,0))),0,-CG42*INDEX(Inputs!$C:$C,MATCH("*Seller Finance Interest Rate*",Inputs!$B:$B,0))/12),0)</f>
        <v>0</v>
      </c>
      <c r="CH44" s="152">
        <f t="array" ref="CH44">IF(CH$3&lt;=INDEX(Inputs!$C:$C,MATCH("End Year",Inputs!$B:$B,0))*12,IF(OR(CH42=0,CH$3&lt;INDEX(Inputs!$C:$C,MATCH("*Seller Finance PMT Start Month*",Inputs!$B:$B,0))),0,-CH42*INDEX(Inputs!$C:$C,MATCH("*Seller Finance Interest Rate*",Inputs!$B:$B,0))/12),0)</f>
        <v>0</v>
      </c>
      <c r="CI44" s="152">
        <f t="array" ref="CI44">IF(CI$3&lt;=INDEX(Inputs!$C:$C,MATCH("End Year",Inputs!$B:$B,0))*12,IF(OR(CI42=0,CI$3&lt;INDEX(Inputs!$C:$C,MATCH("*Seller Finance PMT Start Month*",Inputs!$B:$B,0))),0,-CI42*INDEX(Inputs!$C:$C,MATCH("*Seller Finance Interest Rate*",Inputs!$B:$B,0))/12),0)</f>
        <v>0</v>
      </c>
      <c r="CJ44" s="152">
        <f t="array" ref="CJ44">IF(CJ$3&lt;=INDEX(Inputs!$C:$C,MATCH("End Year",Inputs!$B:$B,0))*12,IF(OR(CJ42=0,CJ$3&lt;INDEX(Inputs!$C:$C,MATCH("*Seller Finance PMT Start Month*",Inputs!$B:$B,0))),0,-CJ42*INDEX(Inputs!$C:$C,MATCH("*Seller Finance Interest Rate*",Inputs!$B:$B,0))/12),0)</f>
        <v>0</v>
      </c>
      <c r="CK44" s="152">
        <f t="array" ref="CK44">IF(CK$3&lt;=INDEX(Inputs!$C:$C,MATCH("End Year",Inputs!$B:$B,0))*12,IF(OR(CK42=0,CK$3&lt;INDEX(Inputs!$C:$C,MATCH("*Seller Finance PMT Start Month*",Inputs!$B:$B,0))),0,-CK42*INDEX(Inputs!$C:$C,MATCH("*Seller Finance Interest Rate*",Inputs!$B:$B,0))/12),0)</f>
        <v>0</v>
      </c>
      <c r="CL44" s="152">
        <f t="array" ref="CL44">IF(CL$3&lt;=INDEX(Inputs!$C:$C,MATCH("End Year",Inputs!$B:$B,0))*12,IF(OR(CL42=0,CL$3&lt;INDEX(Inputs!$C:$C,MATCH("*Seller Finance PMT Start Month*",Inputs!$B:$B,0))),0,-CL42*INDEX(Inputs!$C:$C,MATCH("*Seller Finance Interest Rate*",Inputs!$B:$B,0))/12),0)</f>
        <v>0</v>
      </c>
      <c r="CM44" s="152">
        <f t="array" ref="CM44">IF(CM$3&lt;=INDEX(Inputs!$C:$C,MATCH("End Year",Inputs!$B:$B,0))*12,IF(OR(CM42=0,CM$3&lt;INDEX(Inputs!$C:$C,MATCH("*Seller Finance PMT Start Month*",Inputs!$B:$B,0))),0,-CM42*INDEX(Inputs!$C:$C,MATCH("*Seller Finance Interest Rate*",Inputs!$B:$B,0))/12),0)</f>
        <v>0</v>
      </c>
      <c r="CN44" s="152">
        <f t="array" ref="CN44">IF(CN$3&lt;=INDEX(Inputs!$C:$C,MATCH("End Year",Inputs!$B:$B,0))*12,IF(OR(CN42=0,CN$3&lt;INDEX(Inputs!$C:$C,MATCH("*Seller Finance PMT Start Month*",Inputs!$B:$B,0))),0,-CN42*INDEX(Inputs!$C:$C,MATCH("*Seller Finance Interest Rate*",Inputs!$B:$B,0))/12),0)</f>
        <v>0</v>
      </c>
      <c r="CO44" s="152">
        <f t="array" ref="CO44">IF(CO$3&lt;=INDEX(Inputs!$C:$C,MATCH("End Year",Inputs!$B:$B,0))*12,IF(OR(CO42=0,CO$3&lt;INDEX(Inputs!$C:$C,MATCH("*Seller Finance PMT Start Month*",Inputs!$B:$B,0))),0,-CO42*INDEX(Inputs!$C:$C,MATCH("*Seller Finance Interest Rate*",Inputs!$B:$B,0))/12),0)</f>
        <v>0</v>
      </c>
      <c r="CP44" s="152">
        <f t="array" ref="CP44">IF(CP$3&lt;=INDEX(Inputs!$C:$C,MATCH("End Year",Inputs!$B:$B,0))*12,IF(OR(CP42=0,CP$3&lt;INDEX(Inputs!$C:$C,MATCH("*Seller Finance PMT Start Month*",Inputs!$B:$B,0))),0,-CP42*INDEX(Inputs!$C:$C,MATCH("*Seller Finance Interest Rate*",Inputs!$B:$B,0))/12),0)</f>
        <v>0</v>
      </c>
      <c r="CQ44" s="152">
        <f t="array" ref="CQ44">IF(CQ$3&lt;=INDEX(Inputs!$C:$C,MATCH("End Year",Inputs!$B:$B,0))*12,IF(OR(CQ42=0,CQ$3&lt;INDEX(Inputs!$C:$C,MATCH("*Seller Finance PMT Start Month*",Inputs!$B:$B,0))),0,-CQ42*INDEX(Inputs!$C:$C,MATCH("*Seller Finance Interest Rate*",Inputs!$B:$B,0))/12),0)</f>
        <v>0</v>
      </c>
      <c r="CR44" s="152">
        <f t="array" ref="CR44">IF(CR$3&lt;=INDEX(Inputs!$C:$C,MATCH("End Year",Inputs!$B:$B,0))*12,IF(OR(CR42=0,CR$3&lt;INDEX(Inputs!$C:$C,MATCH("*Seller Finance PMT Start Month*",Inputs!$B:$B,0))),0,-CR42*INDEX(Inputs!$C:$C,MATCH("*Seller Finance Interest Rate*",Inputs!$B:$B,0))/12),0)</f>
        <v>0</v>
      </c>
      <c r="CS44" s="152">
        <f t="array" ref="CS44">IF(CS$3&lt;=INDEX(Inputs!$C:$C,MATCH("End Year",Inputs!$B:$B,0))*12,IF(OR(CS42=0,CS$3&lt;INDEX(Inputs!$C:$C,MATCH("*Seller Finance PMT Start Month*",Inputs!$B:$B,0))),0,-CS42*INDEX(Inputs!$C:$C,MATCH("*Seller Finance Interest Rate*",Inputs!$B:$B,0))/12),0)</f>
        <v>0</v>
      </c>
      <c r="CT44" s="152">
        <f t="array" ref="CT44">IF(CT$3&lt;=INDEX(Inputs!$C:$C,MATCH("End Year",Inputs!$B:$B,0))*12,IF(OR(CT42=0,CT$3&lt;INDEX(Inputs!$C:$C,MATCH("*Seller Finance PMT Start Month*",Inputs!$B:$B,0))),0,-CT42*INDEX(Inputs!$C:$C,MATCH("*Seller Finance Interest Rate*",Inputs!$B:$B,0))/12),0)</f>
        <v>0</v>
      </c>
      <c r="CU44" s="152">
        <f t="array" ref="CU44">IF(CU$3&lt;=INDEX(Inputs!$C:$C,MATCH("End Year",Inputs!$B:$B,0))*12,IF(OR(CU42=0,CU$3&lt;INDEX(Inputs!$C:$C,MATCH("*Seller Finance PMT Start Month*",Inputs!$B:$B,0))),0,-CU42*INDEX(Inputs!$C:$C,MATCH("*Seller Finance Interest Rate*",Inputs!$B:$B,0))/12),0)</f>
        <v>0</v>
      </c>
      <c r="CV44" s="152">
        <f t="array" ref="CV44">IF(CV$3&lt;=INDEX(Inputs!$C:$C,MATCH("End Year",Inputs!$B:$B,0))*12,IF(OR(CV42=0,CV$3&lt;INDEX(Inputs!$C:$C,MATCH("*Seller Finance PMT Start Month*",Inputs!$B:$B,0))),0,-CV42*INDEX(Inputs!$C:$C,MATCH("*Seller Finance Interest Rate*",Inputs!$B:$B,0))/12),0)</f>
        <v>0</v>
      </c>
      <c r="CW44" s="152">
        <f t="array" ref="CW44">IF(CW$3&lt;=INDEX(Inputs!$C:$C,MATCH("End Year",Inputs!$B:$B,0))*12,IF(OR(CW42=0,CW$3&lt;INDEX(Inputs!$C:$C,MATCH("*Seller Finance PMT Start Month*",Inputs!$B:$B,0))),0,-CW42*INDEX(Inputs!$C:$C,MATCH("*Seller Finance Interest Rate*",Inputs!$B:$B,0))/12),0)</f>
        <v>0</v>
      </c>
      <c r="CX44" s="152">
        <f t="array" ref="CX44">IF(CX$3&lt;=INDEX(Inputs!$C:$C,MATCH("End Year",Inputs!$B:$B,0))*12,IF(OR(CX42=0,CX$3&lt;INDEX(Inputs!$C:$C,MATCH("*Seller Finance PMT Start Month*",Inputs!$B:$B,0))),0,-CX42*INDEX(Inputs!$C:$C,MATCH("*Seller Finance Interest Rate*",Inputs!$B:$B,0))/12),0)</f>
        <v>0</v>
      </c>
      <c r="CY44" s="152">
        <f t="array" ref="CY44">IF(CY$3&lt;=INDEX(Inputs!$C:$C,MATCH("End Year",Inputs!$B:$B,0))*12,IF(OR(CY42=0,CY$3&lt;INDEX(Inputs!$C:$C,MATCH("*Seller Finance PMT Start Month*",Inputs!$B:$B,0))),0,-CY42*INDEX(Inputs!$C:$C,MATCH("*Seller Finance Interest Rate*",Inputs!$B:$B,0))/12),0)</f>
        <v>0</v>
      </c>
      <c r="CZ44" s="152">
        <f t="array" ref="CZ44">IF(CZ$3&lt;=INDEX(Inputs!$C:$C,MATCH("End Year",Inputs!$B:$B,0))*12,IF(OR(CZ42=0,CZ$3&lt;INDEX(Inputs!$C:$C,MATCH("*Seller Finance PMT Start Month*",Inputs!$B:$B,0))),0,-CZ42*INDEX(Inputs!$C:$C,MATCH("*Seller Finance Interest Rate*",Inputs!$B:$B,0))/12),0)</f>
        <v>0</v>
      </c>
      <c r="DA44" s="152">
        <f t="array" ref="DA44">IF(DA$3&lt;=INDEX(Inputs!$C:$C,MATCH("End Year",Inputs!$B:$B,0))*12,IF(OR(DA42=0,DA$3&lt;INDEX(Inputs!$C:$C,MATCH("*Seller Finance PMT Start Month*",Inputs!$B:$B,0))),0,-DA42*INDEX(Inputs!$C:$C,MATCH("*Seller Finance Interest Rate*",Inputs!$B:$B,0))/12),0)</f>
        <v>0</v>
      </c>
      <c r="DB44" s="152">
        <f t="array" ref="DB44">IF(DB$3&lt;=INDEX(Inputs!$C:$C,MATCH("End Year",Inputs!$B:$B,0))*12,IF(OR(DB42=0,DB$3&lt;INDEX(Inputs!$C:$C,MATCH("*Seller Finance PMT Start Month*",Inputs!$B:$B,0))),0,-DB42*INDEX(Inputs!$C:$C,MATCH("*Seller Finance Interest Rate*",Inputs!$B:$B,0))/12),0)</f>
        <v>0</v>
      </c>
      <c r="DC44" s="152">
        <f t="array" ref="DC44">IF(DC$3&lt;=INDEX(Inputs!$C:$C,MATCH("End Year",Inputs!$B:$B,0))*12,IF(OR(DC42=0,DC$3&lt;INDEX(Inputs!$C:$C,MATCH("*Seller Finance PMT Start Month*",Inputs!$B:$B,0))),0,-DC42*INDEX(Inputs!$C:$C,MATCH("*Seller Finance Interest Rate*",Inputs!$B:$B,0))/12),0)</f>
        <v>0</v>
      </c>
      <c r="DD44" s="152">
        <f t="array" ref="DD44">IF(DD$3&lt;=INDEX(Inputs!$C:$C,MATCH("End Year",Inputs!$B:$B,0))*12,IF(OR(DD42=0,DD$3&lt;INDEX(Inputs!$C:$C,MATCH("*Seller Finance PMT Start Month*",Inputs!$B:$B,0))),0,-DD42*INDEX(Inputs!$C:$C,MATCH("*Seller Finance Interest Rate*",Inputs!$B:$B,0))/12),0)</f>
        <v>0</v>
      </c>
      <c r="DE44" s="152">
        <f t="array" ref="DE44">IF(DE$3&lt;=INDEX(Inputs!$C:$C,MATCH("End Year",Inputs!$B:$B,0))*12,IF(OR(DE42=0,DE$3&lt;INDEX(Inputs!$C:$C,MATCH("*Seller Finance PMT Start Month*",Inputs!$B:$B,0))),0,-DE42*INDEX(Inputs!$C:$C,MATCH("*Seller Finance Interest Rate*",Inputs!$B:$B,0))/12),0)</f>
        <v>0</v>
      </c>
      <c r="DF44" s="152">
        <f t="array" ref="DF44">IF(DF$3&lt;=INDEX(Inputs!$C:$C,MATCH("End Year",Inputs!$B:$B,0))*12,IF(OR(DF42=0,DF$3&lt;INDEX(Inputs!$C:$C,MATCH("*Seller Finance PMT Start Month*",Inputs!$B:$B,0))),0,-DF42*INDEX(Inputs!$C:$C,MATCH("*Seller Finance Interest Rate*",Inputs!$B:$B,0))/12),0)</f>
        <v>0</v>
      </c>
      <c r="DG44" s="152">
        <f t="array" ref="DG44">IF(DG$3&lt;=INDEX(Inputs!$C:$C,MATCH("End Year",Inputs!$B:$B,0))*12,IF(OR(DG42=0,DG$3&lt;INDEX(Inputs!$C:$C,MATCH("*Seller Finance PMT Start Month*",Inputs!$B:$B,0))),0,-DG42*INDEX(Inputs!$C:$C,MATCH("*Seller Finance Interest Rate*",Inputs!$B:$B,0))/12),0)</f>
        <v>0</v>
      </c>
      <c r="DH44" s="152">
        <f t="array" ref="DH44">IF(DH$3&lt;=INDEX(Inputs!$C:$C,MATCH("End Year",Inputs!$B:$B,0))*12,IF(OR(DH42=0,DH$3&lt;INDEX(Inputs!$C:$C,MATCH("*Seller Finance PMT Start Month*",Inputs!$B:$B,0))),0,-DH42*INDEX(Inputs!$C:$C,MATCH("*Seller Finance Interest Rate*",Inputs!$B:$B,0))/12),0)</f>
        <v>0</v>
      </c>
      <c r="DI44" s="152">
        <f t="array" ref="DI44">IF(DI$3&lt;=INDEX(Inputs!$C:$C,MATCH("End Year",Inputs!$B:$B,0))*12,IF(OR(DI42=0,DI$3&lt;INDEX(Inputs!$C:$C,MATCH("*Seller Finance PMT Start Month*",Inputs!$B:$B,0))),0,-DI42*INDEX(Inputs!$C:$C,MATCH("*Seller Finance Interest Rate*",Inputs!$B:$B,0))/12),0)</f>
        <v>0</v>
      </c>
      <c r="DJ44" s="152">
        <f t="array" ref="DJ44">IF(DJ$3&lt;=INDEX(Inputs!$C:$C,MATCH("End Year",Inputs!$B:$B,0))*12,IF(OR(DJ42=0,DJ$3&lt;INDEX(Inputs!$C:$C,MATCH("*Seller Finance PMT Start Month*",Inputs!$B:$B,0))),0,-DJ42*INDEX(Inputs!$C:$C,MATCH("*Seller Finance Interest Rate*",Inputs!$B:$B,0))/12),0)</f>
        <v>0</v>
      </c>
      <c r="DK44" s="152">
        <f t="array" ref="DK44">IF(DK$3&lt;=INDEX(Inputs!$C:$C,MATCH("End Year",Inputs!$B:$B,0))*12,IF(OR(DK42=0,DK$3&lt;INDEX(Inputs!$C:$C,MATCH("*Seller Finance PMT Start Month*",Inputs!$B:$B,0))),0,-DK42*INDEX(Inputs!$C:$C,MATCH("*Seller Finance Interest Rate*",Inputs!$B:$B,0))/12),0)</f>
        <v>0</v>
      </c>
      <c r="DL44" s="152">
        <f t="array" ref="DL44">IF(DL$3&lt;=INDEX(Inputs!$C:$C,MATCH("End Year",Inputs!$B:$B,0))*12,IF(OR(DL42=0,DL$3&lt;INDEX(Inputs!$C:$C,MATCH("*Seller Finance PMT Start Month*",Inputs!$B:$B,0))),0,-DL42*INDEX(Inputs!$C:$C,MATCH("*Seller Finance Interest Rate*",Inputs!$B:$B,0))/12),0)</f>
        <v>0</v>
      </c>
      <c r="DM44" s="152">
        <f t="array" ref="DM44">IF(DM$3&lt;=INDEX(Inputs!$C:$C,MATCH("End Year",Inputs!$B:$B,0))*12,IF(OR(DM42=0,DM$3&lt;INDEX(Inputs!$C:$C,MATCH("*Seller Finance PMT Start Month*",Inputs!$B:$B,0))),0,-DM42*INDEX(Inputs!$C:$C,MATCH("*Seller Finance Interest Rate*",Inputs!$B:$B,0))/12),0)</f>
        <v>0</v>
      </c>
      <c r="DN44" s="152">
        <f t="array" ref="DN44">IF(DN$3&lt;=INDEX(Inputs!$C:$C,MATCH("End Year",Inputs!$B:$B,0))*12,IF(OR(DN42=0,DN$3&lt;INDEX(Inputs!$C:$C,MATCH("*Seller Finance PMT Start Month*",Inputs!$B:$B,0))),0,-DN42*INDEX(Inputs!$C:$C,MATCH("*Seller Finance Interest Rate*",Inputs!$B:$B,0))/12),0)</f>
        <v>0</v>
      </c>
      <c r="DO44" s="152">
        <f t="array" ref="DO44">IF(DO$3&lt;=INDEX(Inputs!$C:$C,MATCH("End Year",Inputs!$B:$B,0))*12,IF(OR(DO42=0,DO$3&lt;INDEX(Inputs!$C:$C,MATCH("*Seller Finance PMT Start Month*",Inputs!$B:$B,0))),0,-DO42*INDEX(Inputs!$C:$C,MATCH("*Seller Finance Interest Rate*",Inputs!$B:$B,0))/12),0)</f>
        <v>0</v>
      </c>
      <c r="DP44" s="152">
        <f t="array" ref="DP44">IF(DP$3&lt;=INDEX(Inputs!$C:$C,MATCH("End Year",Inputs!$B:$B,0))*12,IF(OR(DP42=0,DP$3&lt;INDEX(Inputs!$C:$C,MATCH("*Seller Finance PMT Start Month*",Inputs!$B:$B,0))),0,-DP42*INDEX(Inputs!$C:$C,MATCH("*Seller Finance Interest Rate*",Inputs!$B:$B,0))/12),0)</f>
        <v>0</v>
      </c>
      <c r="DQ44" s="152">
        <f t="array" ref="DQ44">IF(DQ$3&lt;=INDEX(Inputs!$C:$C,MATCH("End Year",Inputs!$B:$B,0))*12,IF(OR(DQ42=0,DQ$3&lt;INDEX(Inputs!$C:$C,MATCH("*Seller Finance PMT Start Month*",Inputs!$B:$B,0))),0,-DQ42*INDEX(Inputs!$C:$C,MATCH("*Seller Finance Interest Rate*",Inputs!$B:$B,0))/12),0)</f>
        <v>0</v>
      </c>
      <c r="DR44" s="152">
        <f t="array" ref="DR44">IF(DR$3&lt;=INDEX(Inputs!$C:$C,MATCH("End Year",Inputs!$B:$B,0))*12,IF(OR(DR42=0,DR$3&lt;INDEX(Inputs!$C:$C,MATCH("*Seller Finance PMT Start Month*",Inputs!$B:$B,0))),0,-DR42*INDEX(Inputs!$C:$C,MATCH("*Seller Finance Interest Rate*",Inputs!$B:$B,0))/12),0)</f>
        <v>0</v>
      </c>
      <c r="DS44" s="44">
        <f t="array" ref="DS44">IF(DS$3&lt;=INDEX(Inputs!$C:$C,MATCH("End Year",Inputs!$B:$B,0))*12,IF(OR(DS42=0,DS$3&lt;INDEX(Inputs!$C:$C,MATCH("*Seller Finance PMT Start Month*",Inputs!$B:$B,0))),0,-DS42*INDEX(Inputs!$C:$C,MATCH("*Seller Finance Interest Rate*",Inputs!$B:$B,0))/12),0)</f>
        <v>0</v>
      </c>
    </row>
    <row r="45" ht="15.0" customHeight="1">
      <c r="A45" s="44"/>
      <c r="B45" s="46" t="s">
        <v>342</v>
      </c>
      <c r="C45" s="152">
        <f t="array" ref="C45">IF(C$3&lt;=INDEX(Inputs!$C:$C,MATCH("End Year",Inputs!$B:$B,0))*12,IF(OR(C42=0,C$3&lt;INDEX(Inputs!$C:$C,MATCH("*Seller Finance PMT Start Month*",Inputs!$B:$B,0))),0,IF(C$3-INDEX(Inputs!$C:$C,MATCH("*Seller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Amount*",Inputs!$B:$B,0)))-C42*INDEX(Inputs!$C:$C,MATCH("*Seller Finance Interest Rate*",Inputs!$B:$B,0))/12,C42))),0)</f>
        <v>0</v>
      </c>
      <c r="D45" s="152">
        <f t="array" ref="D45">IF(D$3&lt;=INDEX(Inputs!$C:$C,MATCH("End Year",Inputs!$B:$B,0))*12,IF(OR(D42=0,D$3&lt;INDEX(Inputs!$C:$C,MATCH("*Seller Finance PMT Start Month*",Inputs!$B:$B,0))),0,IF(D$3-INDEX(Inputs!$C:$C,MATCH("*Seller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Amount*",Inputs!$B:$B,0)))-D42*INDEX(Inputs!$C:$C,MATCH("*Seller Finance Interest Rate*",Inputs!$B:$B,0))/12,D42))),0)</f>
        <v>0</v>
      </c>
      <c r="E45" s="152">
        <f t="array" ref="E45">IF(E$3&lt;=INDEX(Inputs!$C:$C,MATCH("End Year",Inputs!$B:$B,0))*12,IF(OR(E42=0,E$3&lt;INDEX(Inputs!$C:$C,MATCH("*Seller Finance PMT Start Month*",Inputs!$B:$B,0))),0,IF(E$3-INDEX(Inputs!$C:$C,MATCH("*Seller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Amount*",Inputs!$B:$B,0)))-E42*INDEX(Inputs!$C:$C,MATCH("*Seller Finance Interest Rate*",Inputs!$B:$B,0))/12,E42))),0)</f>
        <v>0</v>
      </c>
      <c r="F45" s="152">
        <f t="array" ref="F45">IF(F$3&lt;=INDEX(Inputs!$C:$C,MATCH("End Year",Inputs!$B:$B,0))*12,IF(OR(F42=0,F$3&lt;INDEX(Inputs!$C:$C,MATCH("*Seller Finance PMT Start Month*",Inputs!$B:$B,0))),0,IF(F$3-INDEX(Inputs!$C:$C,MATCH("*Seller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Amount*",Inputs!$B:$B,0)))-F42*INDEX(Inputs!$C:$C,MATCH("*Seller Finance Interest Rate*",Inputs!$B:$B,0))/12,F42))),0)</f>
        <v>0</v>
      </c>
      <c r="G45" s="152">
        <f t="array" ref="G45">IF(G$3&lt;=INDEX(Inputs!$C:$C,MATCH("End Year",Inputs!$B:$B,0))*12,IF(OR(G42=0,G$3&lt;INDEX(Inputs!$C:$C,MATCH("*Seller Finance PMT Start Month*",Inputs!$B:$B,0))),0,IF(G$3-INDEX(Inputs!$C:$C,MATCH("*Seller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Amount*",Inputs!$B:$B,0)))-G42*INDEX(Inputs!$C:$C,MATCH("*Seller Finance Interest Rate*",Inputs!$B:$B,0))/12,G42))),0)</f>
        <v>0</v>
      </c>
      <c r="H45" s="152">
        <f t="array" ref="H45">IF(H$3&lt;=INDEX(Inputs!$C:$C,MATCH("End Year",Inputs!$B:$B,0))*12,IF(OR(H42=0,H$3&lt;INDEX(Inputs!$C:$C,MATCH("*Seller Finance PMT Start Month*",Inputs!$B:$B,0))),0,IF(H$3-INDEX(Inputs!$C:$C,MATCH("*Seller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Amount*",Inputs!$B:$B,0)))-H42*INDEX(Inputs!$C:$C,MATCH("*Seller Finance Interest Rate*",Inputs!$B:$B,0))/12,H42))),0)</f>
        <v>0</v>
      </c>
      <c r="I45" s="152">
        <f t="array" ref="I45">IF(I$3&lt;=INDEX(Inputs!$C:$C,MATCH("End Year",Inputs!$B:$B,0))*12,IF(OR(I42=0,I$3&lt;INDEX(Inputs!$C:$C,MATCH("*Seller Finance PMT Start Month*",Inputs!$B:$B,0))),0,IF(I$3-INDEX(Inputs!$C:$C,MATCH("*Seller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Amount*",Inputs!$B:$B,0)))-I42*INDEX(Inputs!$C:$C,MATCH("*Seller Finance Interest Rate*",Inputs!$B:$B,0))/12,I42))),0)</f>
        <v>0</v>
      </c>
      <c r="J45" s="152">
        <f t="array" ref="J45">IF(J$3&lt;=INDEX(Inputs!$C:$C,MATCH("End Year",Inputs!$B:$B,0))*12,IF(OR(J42=0,J$3&lt;INDEX(Inputs!$C:$C,MATCH("*Seller Finance PMT Start Month*",Inputs!$B:$B,0))),0,IF(J$3-INDEX(Inputs!$C:$C,MATCH("*Seller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Amount*",Inputs!$B:$B,0)))-J42*INDEX(Inputs!$C:$C,MATCH("*Seller Finance Interest Rate*",Inputs!$B:$B,0))/12,J42))),0)</f>
        <v>0</v>
      </c>
      <c r="K45" s="152">
        <f t="array" ref="K45">IF(K$3&lt;=INDEX(Inputs!$C:$C,MATCH("End Year",Inputs!$B:$B,0))*12,IF(OR(K42=0,K$3&lt;INDEX(Inputs!$C:$C,MATCH("*Seller Finance PMT Start Month*",Inputs!$B:$B,0))),0,IF(K$3-INDEX(Inputs!$C:$C,MATCH("*Seller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Amount*",Inputs!$B:$B,0)))-K42*INDEX(Inputs!$C:$C,MATCH("*Seller Finance Interest Rate*",Inputs!$B:$B,0))/12,K42))),0)</f>
        <v>0</v>
      </c>
      <c r="L45" s="152">
        <f t="array" ref="L45">IF(L$3&lt;=INDEX(Inputs!$C:$C,MATCH("End Year",Inputs!$B:$B,0))*12,IF(OR(L42=0,L$3&lt;INDEX(Inputs!$C:$C,MATCH("*Seller Finance PMT Start Month*",Inputs!$B:$B,0))),0,IF(L$3-INDEX(Inputs!$C:$C,MATCH("*Seller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Amount*",Inputs!$B:$B,0)))-L42*INDEX(Inputs!$C:$C,MATCH("*Seller Finance Interest Rate*",Inputs!$B:$B,0))/12,L42))),0)</f>
        <v>0</v>
      </c>
      <c r="M45" s="152">
        <f t="array" ref="M45">IF(M$3&lt;=INDEX(Inputs!$C:$C,MATCH("End Year",Inputs!$B:$B,0))*12,IF(OR(M42=0,M$3&lt;INDEX(Inputs!$C:$C,MATCH("*Seller Finance PMT Start Month*",Inputs!$B:$B,0))),0,IF(M$3-INDEX(Inputs!$C:$C,MATCH("*Seller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Amount*",Inputs!$B:$B,0)))-M42*INDEX(Inputs!$C:$C,MATCH("*Seller Finance Interest Rate*",Inputs!$B:$B,0))/12,M42))),0)</f>
        <v>0</v>
      </c>
      <c r="N45" s="152">
        <f t="array" ref="N45">IF(N$3&lt;=INDEX(Inputs!$C:$C,MATCH("End Year",Inputs!$B:$B,0))*12,IF(OR(N42=0,N$3&lt;INDEX(Inputs!$C:$C,MATCH("*Seller Finance PMT Start Month*",Inputs!$B:$B,0))),0,IF(N$3-INDEX(Inputs!$C:$C,MATCH("*Seller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Amount*",Inputs!$B:$B,0)))-N42*INDEX(Inputs!$C:$C,MATCH("*Seller Finance Interest Rate*",Inputs!$B:$B,0))/12,N42))),0)</f>
        <v>0</v>
      </c>
      <c r="O45" s="152">
        <f t="array" ref="O45">IF(O$3&lt;=INDEX(Inputs!$C:$C,MATCH("End Year",Inputs!$B:$B,0))*12,IF(OR(O42=0,O$3&lt;INDEX(Inputs!$C:$C,MATCH("*Seller Finance PMT Start Month*",Inputs!$B:$B,0))),0,IF(O$3-INDEX(Inputs!$C:$C,MATCH("*Seller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Amount*",Inputs!$B:$B,0)))-O42*INDEX(Inputs!$C:$C,MATCH("*Seller Finance Interest Rate*",Inputs!$B:$B,0))/12,O42))),0)</f>
        <v>0</v>
      </c>
      <c r="P45" s="152">
        <f t="array" ref="P45">IF(P$3&lt;=INDEX(Inputs!$C:$C,MATCH("End Year",Inputs!$B:$B,0))*12,IF(OR(P42=0,P$3&lt;INDEX(Inputs!$C:$C,MATCH("*Seller Finance PMT Start Month*",Inputs!$B:$B,0))),0,IF(P$3-INDEX(Inputs!$C:$C,MATCH("*Seller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Amount*",Inputs!$B:$B,0)))-P42*INDEX(Inputs!$C:$C,MATCH("*Seller Finance Interest Rate*",Inputs!$B:$B,0))/12,P42))),0)</f>
        <v>0</v>
      </c>
      <c r="Q45" s="152">
        <f t="array" ref="Q45">IF(Q$3&lt;=INDEX(Inputs!$C:$C,MATCH("End Year",Inputs!$B:$B,0))*12,IF(OR(Q42=0,Q$3&lt;INDEX(Inputs!$C:$C,MATCH("*Seller Finance PMT Start Month*",Inputs!$B:$B,0))),0,IF(Q$3-INDEX(Inputs!$C:$C,MATCH("*Seller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Amount*",Inputs!$B:$B,0)))-Q42*INDEX(Inputs!$C:$C,MATCH("*Seller Finance Interest Rate*",Inputs!$B:$B,0))/12,Q42))),0)</f>
        <v>0</v>
      </c>
      <c r="R45" s="152">
        <f t="array" ref="R45">IF(R$3&lt;=INDEX(Inputs!$C:$C,MATCH("End Year",Inputs!$B:$B,0))*12,IF(OR(R42=0,R$3&lt;INDEX(Inputs!$C:$C,MATCH("*Seller Finance PMT Start Month*",Inputs!$B:$B,0))),0,IF(R$3-INDEX(Inputs!$C:$C,MATCH("*Seller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Amount*",Inputs!$B:$B,0)))-R42*INDEX(Inputs!$C:$C,MATCH("*Seller Finance Interest Rate*",Inputs!$B:$B,0))/12,R42))),0)</f>
        <v>0</v>
      </c>
      <c r="S45" s="152">
        <f t="array" ref="S45">IF(S$3&lt;=INDEX(Inputs!$C:$C,MATCH("End Year",Inputs!$B:$B,0))*12,IF(OR(S42=0,S$3&lt;INDEX(Inputs!$C:$C,MATCH("*Seller Finance PMT Start Month*",Inputs!$B:$B,0))),0,IF(S$3-INDEX(Inputs!$C:$C,MATCH("*Seller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Amount*",Inputs!$B:$B,0)))-S42*INDEX(Inputs!$C:$C,MATCH("*Seller Finance Interest Rate*",Inputs!$B:$B,0))/12,S42))),0)</f>
        <v>0</v>
      </c>
      <c r="T45" s="152">
        <f t="array" ref="T45">IF(T$3&lt;=INDEX(Inputs!$C:$C,MATCH("End Year",Inputs!$B:$B,0))*12,IF(OR(T42=0,T$3&lt;INDEX(Inputs!$C:$C,MATCH("*Seller Finance PMT Start Month*",Inputs!$B:$B,0))),0,IF(T$3-INDEX(Inputs!$C:$C,MATCH("*Seller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Amount*",Inputs!$B:$B,0)))-T42*INDEX(Inputs!$C:$C,MATCH("*Seller Finance Interest Rate*",Inputs!$B:$B,0))/12,T42))),0)</f>
        <v>0</v>
      </c>
      <c r="U45" s="152">
        <f t="array" ref="U45">IF(U$3&lt;=INDEX(Inputs!$C:$C,MATCH("End Year",Inputs!$B:$B,0))*12,IF(OR(U42=0,U$3&lt;INDEX(Inputs!$C:$C,MATCH("*Seller Finance PMT Start Month*",Inputs!$B:$B,0))),0,IF(U$3-INDEX(Inputs!$C:$C,MATCH("*Seller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Amount*",Inputs!$B:$B,0)))-U42*INDEX(Inputs!$C:$C,MATCH("*Seller Finance Interest Rate*",Inputs!$B:$B,0))/12,U42))),0)</f>
        <v>0</v>
      </c>
      <c r="V45" s="152">
        <f t="array" ref="V45">IF(V$3&lt;=INDEX(Inputs!$C:$C,MATCH("End Year",Inputs!$B:$B,0))*12,IF(OR(V42=0,V$3&lt;INDEX(Inputs!$C:$C,MATCH("*Seller Finance PMT Start Month*",Inputs!$B:$B,0))),0,IF(V$3-INDEX(Inputs!$C:$C,MATCH("*Seller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Amount*",Inputs!$B:$B,0)))-V42*INDEX(Inputs!$C:$C,MATCH("*Seller Finance Interest Rate*",Inputs!$B:$B,0))/12,V42))),0)</f>
        <v>0</v>
      </c>
      <c r="W45" s="152">
        <f t="array" ref="W45">IF(W$3&lt;=INDEX(Inputs!$C:$C,MATCH("End Year",Inputs!$B:$B,0))*12,IF(OR(W42=0,W$3&lt;INDEX(Inputs!$C:$C,MATCH("*Seller Finance PMT Start Month*",Inputs!$B:$B,0))),0,IF(W$3-INDEX(Inputs!$C:$C,MATCH("*Seller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Amount*",Inputs!$B:$B,0)))-W42*INDEX(Inputs!$C:$C,MATCH("*Seller Finance Interest Rate*",Inputs!$B:$B,0))/12,W42))),0)</f>
        <v>0</v>
      </c>
      <c r="X45" s="152">
        <f t="array" ref="X45">IF(X$3&lt;=INDEX(Inputs!$C:$C,MATCH("End Year",Inputs!$B:$B,0))*12,IF(OR(X42=0,X$3&lt;INDEX(Inputs!$C:$C,MATCH("*Seller Finance PMT Start Month*",Inputs!$B:$B,0))),0,IF(X$3-INDEX(Inputs!$C:$C,MATCH("*Seller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Amount*",Inputs!$B:$B,0)))-X42*INDEX(Inputs!$C:$C,MATCH("*Seller Finance Interest Rate*",Inputs!$B:$B,0))/12,X42))),0)</f>
        <v>0</v>
      </c>
      <c r="Y45" s="152">
        <f t="array" ref="Y45">IF(Y$3&lt;=INDEX(Inputs!$C:$C,MATCH("End Year",Inputs!$B:$B,0))*12,IF(OR(Y42=0,Y$3&lt;INDEX(Inputs!$C:$C,MATCH("*Seller Finance PMT Start Month*",Inputs!$B:$B,0))),0,IF(Y$3-INDEX(Inputs!$C:$C,MATCH("*Seller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Amount*",Inputs!$B:$B,0)))-Y42*INDEX(Inputs!$C:$C,MATCH("*Seller Finance Interest Rate*",Inputs!$B:$B,0))/12,Y42))),0)</f>
        <v>0</v>
      </c>
      <c r="Z45" s="152">
        <f t="array" ref="Z45">IF(Z$3&lt;=INDEX(Inputs!$C:$C,MATCH("End Year",Inputs!$B:$B,0))*12,IF(OR(Z42=0,Z$3&lt;INDEX(Inputs!$C:$C,MATCH("*Seller Finance PMT Start Month*",Inputs!$B:$B,0))),0,IF(Z$3-INDEX(Inputs!$C:$C,MATCH("*Seller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Amount*",Inputs!$B:$B,0)))-Z42*INDEX(Inputs!$C:$C,MATCH("*Seller Finance Interest Rate*",Inputs!$B:$B,0))/12,Z42))),0)</f>
        <v>0</v>
      </c>
      <c r="AA45" s="152">
        <f t="array" ref="AA45">IF(AA$3&lt;=INDEX(Inputs!$C:$C,MATCH("End Year",Inputs!$B:$B,0))*12,IF(OR(AA42=0,AA$3&lt;INDEX(Inputs!$C:$C,MATCH("*Seller Finance PMT Start Month*",Inputs!$B:$B,0))),0,IF(AA$3-INDEX(Inputs!$C:$C,MATCH("*Seller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Amount*",Inputs!$B:$B,0)))-AA42*INDEX(Inputs!$C:$C,MATCH("*Seller Finance Interest Rate*",Inputs!$B:$B,0))/12,AA42))),0)</f>
        <v>0</v>
      </c>
      <c r="AB45" s="152">
        <f t="array" ref="AB45">IF(AB$3&lt;=INDEX(Inputs!$C:$C,MATCH("End Year",Inputs!$B:$B,0))*12,IF(OR(AB42=0,AB$3&lt;INDEX(Inputs!$C:$C,MATCH("*Seller Finance PMT Start Month*",Inputs!$B:$B,0))),0,IF(AB$3-INDEX(Inputs!$C:$C,MATCH("*Seller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Amount*",Inputs!$B:$B,0)))-AB42*INDEX(Inputs!$C:$C,MATCH("*Seller Finance Interest Rate*",Inputs!$B:$B,0))/12,AB42))),0)</f>
        <v>0</v>
      </c>
      <c r="AC45" s="152">
        <f t="array" ref="AC45">IF(AC$3&lt;=INDEX(Inputs!$C:$C,MATCH("End Year",Inputs!$B:$B,0))*12,IF(OR(AC42=0,AC$3&lt;INDEX(Inputs!$C:$C,MATCH("*Seller Finance PMT Start Month*",Inputs!$B:$B,0))),0,IF(AC$3-INDEX(Inputs!$C:$C,MATCH("*Seller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Amount*",Inputs!$B:$B,0)))-AC42*INDEX(Inputs!$C:$C,MATCH("*Seller Finance Interest Rate*",Inputs!$B:$B,0))/12,AC42))),0)</f>
        <v>0</v>
      </c>
      <c r="AD45" s="152">
        <f t="array" ref="AD45">IF(AD$3&lt;=INDEX(Inputs!$C:$C,MATCH("End Year",Inputs!$B:$B,0))*12,IF(OR(AD42=0,AD$3&lt;INDEX(Inputs!$C:$C,MATCH("*Seller Finance PMT Start Month*",Inputs!$B:$B,0))),0,IF(AD$3-INDEX(Inputs!$C:$C,MATCH("*Seller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Amount*",Inputs!$B:$B,0)))-AD42*INDEX(Inputs!$C:$C,MATCH("*Seller Finance Interest Rate*",Inputs!$B:$B,0))/12,AD42))),0)</f>
        <v>0</v>
      </c>
      <c r="AE45" s="152">
        <f t="array" ref="AE45">IF(AE$3&lt;=INDEX(Inputs!$C:$C,MATCH("End Year",Inputs!$B:$B,0))*12,IF(OR(AE42=0,AE$3&lt;INDEX(Inputs!$C:$C,MATCH("*Seller Finance PMT Start Month*",Inputs!$B:$B,0))),0,IF(AE$3-INDEX(Inputs!$C:$C,MATCH("*Seller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Amount*",Inputs!$B:$B,0)))-AE42*INDEX(Inputs!$C:$C,MATCH("*Seller Finance Interest Rate*",Inputs!$B:$B,0))/12,AE42))),0)</f>
        <v>0</v>
      </c>
      <c r="AF45" s="152">
        <f t="array" ref="AF45">IF(AF$3&lt;=INDEX(Inputs!$C:$C,MATCH("End Year",Inputs!$B:$B,0))*12,IF(OR(AF42=0,AF$3&lt;INDEX(Inputs!$C:$C,MATCH("*Seller Finance PMT Start Month*",Inputs!$B:$B,0))),0,IF(AF$3-INDEX(Inputs!$C:$C,MATCH("*Seller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Amount*",Inputs!$B:$B,0)))-AF42*INDEX(Inputs!$C:$C,MATCH("*Seller Finance Interest Rate*",Inputs!$B:$B,0))/12,AF42))),0)</f>
        <v>0</v>
      </c>
      <c r="AG45" s="152">
        <f t="array" ref="AG45">IF(AG$3&lt;=INDEX(Inputs!$C:$C,MATCH("End Year",Inputs!$B:$B,0))*12,IF(OR(AG42=0,AG$3&lt;INDEX(Inputs!$C:$C,MATCH("*Seller Finance PMT Start Month*",Inputs!$B:$B,0))),0,IF(AG$3-INDEX(Inputs!$C:$C,MATCH("*Seller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Amount*",Inputs!$B:$B,0)))-AG42*INDEX(Inputs!$C:$C,MATCH("*Seller Finance Interest Rate*",Inputs!$B:$B,0))/12,AG42))),0)</f>
        <v>0</v>
      </c>
      <c r="AH45" s="152">
        <f t="array" ref="AH45">IF(AH$3&lt;=INDEX(Inputs!$C:$C,MATCH("End Year",Inputs!$B:$B,0))*12,IF(OR(AH42=0,AH$3&lt;INDEX(Inputs!$C:$C,MATCH("*Seller Finance PMT Start Month*",Inputs!$B:$B,0))),0,IF(AH$3-INDEX(Inputs!$C:$C,MATCH("*Seller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Amount*",Inputs!$B:$B,0)))-AH42*INDEX(Inputs!$C:$C,MATCH("*Seller Finance Interest Rate*",Inputs!$B:$B,0))/12,AH42))),0)</f>
        <v>0</v>
      </c>
      <c r="AI45" s="152">
        <f t="array" ref="AI45">IF(AI$3&lt;=INDEX(Inputs!$C:$C,MATCH("End Year",Inputs!$B:$B,0))*12,IF(OR(AI42=0,AI$3&lt;INDEX(Inputs!$C:$C,MATCH("*Seller Finance PMT Start Month*",Inputs!$B:$B,0))),0,IF(AI$3-INDEX(Inputs!$C:$C,MATCH("*Seller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Amount*",Inputs!$B:$B,0)))-AI42*INDEX(Inputs!$C:$C,MATCH("*Seller Finance Interest Rate*",Inputs!$B:$B,0))/12,AI42))),0)</f>
        <v>0</v>
      </c>
      <c r="AJ45" s="152">
        <f t="array" ref="AJ45">IF(AJ$3&lt;=INDEX(Inputs!$C:$C,MATCH("End Year",Inputs!$B:$B,0))*12,IF(OR(AJ42=0,AJ$3&lt;INDEX(Inputs!$C:$C,MATCH("*Seller Finance PMT Start Month*",Inputs!$B:$B,0))),0,IF(AJ$3-INDEX(Inputs!$C:$C,MATCH("*Seller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Amount*",Inputs!$B:$B,0)))-AJ42*INDEX(Inputs!$C:$C,MATCH("*Seller Finance Interest Rate*",Inputs!$B:$B,0))/12,AJ42))),0)</f>
        <v>0</v>
      </c>
      <c r="AK45" s="152">
        <f t="array" ref="AK45">IF(AK$3&lt;=INDEX(Inputs!$C:$C,MATCH("End Year",Inputs!$B:$B,0))*12,IF(OR(AK42=0,AK$3&lt;INDEX(Inputs!$C:$C,MATCH("*Seller Finance PMT Start Month*",Inputs!$B:$B,0))),0,IF(AK$3-INDEX(Inputs!$C:$C,MATCH("*Seller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Amount*",Inputs!$B:$B,0)))-AK42*INDEX(Inputs!$C:$C,MATCH("*Seller Finance Interest Rate*",Inputs!$B:$B,0))/12,AK42))),0)</f>
        <v>0</v>
      </c>
      <c r="AL45" s="152">
        <f t="array" ref="AL45">IF(AL$3&lt;=INDEX(Inputs!$C:$C,MATCH("End Year",Inputs!$B:$B,0))*12,IF(OR(AL42=0,AL$3&lt;INDEX(Inputs!$C:$C,MATCH("*Seller Finance PMT Start Month*",Inputs!$B:$B,0))),0,IF(AL$3-INDEX(Inputs!$C:$C,MATCH("*Seller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Amount*",Inputs!$B:$B,0)))-AL42*INDEX(Inputs!$C:$C,MATCH("*Seller Finance Interest Rate*",Inputs!$B:$B,0))/12,AL42))),0)</f>
        <v>0</v>
      </c>
      <c r="AM45" s="152">
        <f t="array" ref="AM45">IF(AM$3&lt;=INDEX(Inputs!$C:$C,MATCH("End Year",Inputs!$B:$B,0))*12,IF(OR(AM42=0,AM$3&lt;INDEX(Inputs!$C:$C,MATCH("*Seller Finance PMT Start Month*",Inputs!$B:$B,0))),0,IF(AM$3-INDEX(Inputs!$C:$C,MATCH("*Seller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Amount*",Inputs!$B:$B,0)))-AM42*INDEX(Inputs!$C:$C,MATCH("*Seller Finance Interest Rate*",Inputs!$B:$B,0))/12,AM42))),0)</f>
        <v>0</v>
      </c>
      <c r="AN45" s="152">
        <f t="array" ref="AN45">IF(AN$3&lt;=INDEX(Inputs!$C:$C,MATCH("End Year",Inputs!$B:$B,0))*12,IF(OR(AN42=0,AN$3&lt;INDEX(Inputs!$C:$C,MATCH("*Seller Finance PMT Start Month*",Inputs!$B:$B,0))),0,IF(AN$3-INDEX(Inputs!$C:$C,MATCH("*Seller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Amount*",Inputs!$B:$B,0)))-AN42*INDEX(Inputs!$C:$C,MATCH("*Seller Finance Interest Rate*",Inputs!$B:$B,0))/12,AN42))),0)</f>
        <v>0</v>
      </c>
      <c r="AO45" s="152">
        <f t="array" ref="AO45">IF(AO$3&lt;=INDEX(Inputs!$C:$C,MATCH("End Year",Inputs!$B:$B,0))*12,IF(OR(AO42=0,AO$3&lt;INDEX(Inputs!$C:$C,MATCH("*Seller Finance PMT Start Month*",Inputs!$B:$B,0))),0,IF(AO$3-INDEX(Inputs!$C:$C,MATCH("*Seller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Amount*",Inputs!$B:$B,0)))-AO42*INDEX(Inputs!$C:$C,MATCH("*Seller Finance Interest Rate*",Inputs!$B:$B,0))/12,AO42))),0)</f>
        <v>0</v>
      </c>
      <c r="AP45" s="152">
        <f t="array" ref="AP45">IF(AP$3&lt;=INDEX(Inputs!$C:$C,MATCH("End Year",Inputs!$B:$B,0))*12,IF(OR(AP42=0,AP$3&lt;INDEX(Inputs!$C:$C,MATCH("*Seller Finance PMT Start Month*",Inputs!$B:$B,0))),0,IF(AP$3-INDEX(Inputs!$C:$C,MATCH("*Seller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Amount*",Inputs!$B:$B,0)))-AP42*INDEX(Inputs!$C:$C,MATCH("*Seller Finance Interest Rate*",Inputs!$B:$B,0))/12,AP42))),0)</f>
        <v>0</v>
      </c>
      <c r="AQ45" s="152">
        <f t="array" ref="AQ45">IF(AQ$3&lt;=INDEX(Inputs!$C:$C,MATCH("End Year",Inputs!$B:$B,0))*12,IF(OR(AQ42=0,AQ$3&lt;INDEX(Inputs!$C:$C,MATCH("*Seller Finance PMT Start Month*",Inputs!$B:$B,0))),0,IF(AQ$3-INDEX(Inputs!$C:$C,MATCH("*Seller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Amount*",Inputs!$B:$B,0)))-AQ42*INDEX(Inputs!$C:$C,MATCH("*Seller Finance Interest Rate*",Inputs!$B:$B,0))/12,AQ42))),0)</f>
        <v>0</v>
      </c>
      <c r="AR45" s="152">
        <f t="array" ref="AR45">IF(AR$3&lt;=INDEX(Inputs!$C:$C,MATCH("End Year",Inputs!$B:$B,0))*12,IF(OR(AR42=0,AR$3&lt;INDEX(Inputs!$C:$C,MATCH("*Seller Finance PMT Start Month*",Inputs!$B:$B,0))),0,IF(AR$3-INDEX(Inputs!$C:$C,MATCH("*Seller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Amount*",Inputs!$B:$B,0)))-AR42*INDEX(Inputs!$C:$C,MATCH("*Seller Finance Interest Rate*",Inputs!$B:$B,0))/12,AR42))),0)</f>
        <v>0</v>
      </c>
      <c r="AS45" s="152">
        <f t="array" ref="AS45">IF(AS$3&lt;=INDEX(Inputs!$C:$C,MATCH("End Year",Inputs!$B:$B,0))*12,IF(OR(AS42=0,AS$3&lt;INDEX(Inputs!$C:$C,MATCH("*Seller Finance PMT Start Month*",Inputs!$B:$B,0))),0,IF(AS$3-INDEX(Inputs!$C:$C,MATCH("*Seller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Amount*",Inputs!$B:$B,0)))-AS42*INDEX(Inputs!$C:$C,MATCH("*Seller Finance Interest Rate*",Inputs!$B:$B,0))/12,AS42))),0)</f>
        <v>0</v>
      </c>
      <c r="AT45" s="152">
        <f t="array" ref="AT45">IF(AT$3&lt;=INDEX(Inputs!$C:$C,MATCH("End Year",Inputs!$B:$B,0))*12,IF(OR(AT42=0,AT$3&lt;INDEX(Inputs!$C:$C,MATCH("*Seller Finance PMT Start Month*",Inputs!$B:$B,0))),0,IF(AT$3-INDEX(Inputs!$C:$C,MATCH("*Seller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Amount*",Inputs!$B:$B,0)))-AT42*INDEX(Inputs!$C:$C,MATCH("*Seller Finance Interest Rate*",Inputs!$B:$B,0))/12,AT42))),0)</f>
        <v>0</v>
      </c>
      <c r="AU45" s="152">
        <f t="array" ref="AU45">IF(AU$3&lt;=INDEX(Inputs!$C:$C,MATCH("End Year",Inputs!$B:$B,0))*12,IF(OR(AU42=0,AU$3&lt;INDEX(Inputs!$C:$C,MATCH("*Seller Finance PMT Start Month*",Inputs!$B:$B,0))),0,IF(AU$3-INDEX(Inputs!$C:$C,MATCH("*Seller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Amount*",Inputs!$B:$B,0)))-AU42*INDEX(Inputs!$C:$C,MATCH("*Seller Finance Interest Rate*",Inputs!$B:$B,0))/12,AU42))),0)</f>
        <v>0</v>
      </c>
      <c r="AV45" s="152">
        <f t="array" ref="AV45">IF(AV$3&lt;=INDEX(Inputs!$C:$C,MATCH("End Year",Inputs!$B:$B,0))*12,IF(OR(AV42=0,AV$3&lt;INDEX(Inputs!$C:$C,MATCH("*Seller Finance PMT Start Month*",Inputs!$B:$B,0))),0,IF(AV$3-INDEX(Inputs!$C:$C,MATCH("*Seller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Amount*",Inputs!$B:$B,0)))-AV42*INDEX(Inputs!$C:$C,MATCH("*Seller Finance Interest Rate*",Inputs!$B:$B,0))/12,AV42))),0)</f>
        <v>0</v>
      </c>
      <c r="AW45" s="152">
        <f t="array" ref="AW45">IF(AW$3&lt;=INDEX(Inputs!$C:$C,MATCH("End Year",Inputs!$B:$B,0))*12,IF(OR(AW42=0,AW$3&lt;INDEX(Inputs!$C:$C,MATCH("*Seller Finance PMT Start Month*",Inputs!$B:$B,0))),0,IF(AW$3-INDEX(Inputs!$C:$C,MATCH("*Seller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Amount*",Inputs!$B:$B,0)))-AW42*INDEX(Inputs!$C:$C,MATCH("*Seller Finance Interest Rate*",Inputs!$B:$B,0))/12,AW42))),0)</f>
        <v>0</v>
      </c>
      <c r="AX45" s="152">
        <f t="array" ref="AX45">IF(AX$3&lt;=INDEX(Inputs!$C:$C,MATCH("End Year",Inputs!$B:$B,0))*12,IF(OR(AX42=0,AX$3&lt;INDEX(Inputs!$C:$C,MATCH("*Seller Finance PMT Start Month*",Inputs!$B:$B,0))),0,IF(AX$3-INDEX(Inputs!$C:$C,MATCH("*Seller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Amount*",Inputs!$B:$B,0)))-AX42*INDEX(Inputs!$C:$C,MATCH("*Seller Finance Interest Rate*",Inputs!$B:$B,0))/12,AX42))),0)</f>
        <v>0</v>
      </c>
      <c r="AY45" s="152">
        <f t="array" ref="AY45">IF(AY$3&lt;=INDEX(Inputs!$C:$C,MATCH("End Year",Inputs!$B:$B,0))*12,IF(OR(AY42=0,AY$3&lt;INDEX(Inputs!$C:$C,MATCH("*Seller Finance PMT Start Month*",Inputs!$B:$B,0))),0,IF(AY$3-INDEX(Inputs!$C:$C,MATCH("*Seller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Amount*",Inputs!$B:$B,0)))-AY42*INDEX(Inputs!$C:$C,MATCH("*Seller Finance Interest Rate*",Inputs!$B:$B,0))/12,AY42))),0)</f>
        <v>0</v>
      </c>
      <c r="AZ45" s="152">
        <f t="array" ref="AZ45">IF(AZ$3&lt;=INDEX(Inputs!$C:$C,MATCH("End Year",Inputs!$B:$B,0))*12,IF(OR(AZ42=0,AZ$3&lt;INDEX(Inputs!$C:$C,MATCH("*Seller Finance PMT Start Month*",Inputs!$B:$B,0))),0,IF(AZ$3-INDEX(Inputs!$C:$C,MATCH("*Seller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Amount*",Inputs!$B:$B,0)))-AZ42*INDEX(Inputs!$C:$C,MATCH("*Seller Finance Interest Rate*",Inputs!$B:$B,0))/12,AZ42))),0)</f>
        <v>0</v>
      </c>
      <c r="BA45" s="152">
        <f t="array" ref="BA45">IF(BA$3&lt;=INDEX(Inputs!$C:$C,MATCH("End Year",Inputs!$B:$B,0))*12,IF(OR(BA42=0,BA$3&lt;INDEX(Inputs!$C:$C,MATCH("*Seller Finance PMT Start Month*",Inputs!$B:$B,0))),0,IF(BA$3-INDEX(Inputs!$C:$C,MATCH("*Seller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Amount*",Inputs!$B:$B,0)))-BA42*INDEX(Inputs!$C:$C,MATCH("*Seller Finance Interest Rate*",Inputs!$B:$B,0))/12,BA42))),0)</f>
        <v>0</v>
      </c>
      <c r="BB45" s="152">
        <f t="array" ref="BB45">IF(BB$3&lt;=INDEX(Inputs!$C:$C,MATCH("End Year",Inputs!$B:$B,0))*12,IF(OR(BB42=0,BB$3&lt;INDEX(Inputs!$C:$C,MATCH("*Seller Finance PMT Start Month*",Inputs!$B:$B,0))),0,IF(BB$3-INDEX(Inputs!$C:$C,MATCH("*Seller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Amount*",Inputs!$B:$B,0)))-BB42*INDEX(Inputs!$C:$C,MATCH("*Seller Finance Interest Rate*",Inputs!$B:$B,0))/12,BB42))),0)</f>
        <v>0</v>
      </c>
      <c r="BC45" s="152">
        <f t="array" ref="BC45">IF(BC$3&lt;=INDEX(Inputs!$C:$C,MATCH("End Year",Inputs!$B:$B,0))*12,IF(OR(BC42=0,BC$3&lt;INDEX(Inputs!$C:$C,MATCH("*Seller Finance PMT Start Month*",Inputs!$B:$B,0))),0,IF(BC$3-INDEX(Inputs!$C:$C,MATCH("*Seller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Amount*",Inputs!$B:$B,0)))-BC42*INDEX(Inputs!$C:$C,MATCH("*Seller Finance Interest Rate*",Inputs!$B:$B,0))/12,BC42))),0)</f>
        <v>0</v>
      </c>
      <c r="BD45" s="152">
        <f t="array" ref="BD45">IF(BD$3&lt;=INDEX(Inputs!$C:$C,MATCH("End Year",Inputs!$B:$B,0))*12,IF(OR(BD42=0,BD$3&lt;INDEX(Inputs!$C:$C,MATCH("*Seller Finance PMT Start Month*",Inputs!$B:$B,0))),0,IF(BD$3-INDEX(Inputs!$C:$C,MATCH("*Seller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Amount*",Inputs!$B:$B,0)))-BD42*INDEX(Inputs!$C:$C,MATCH("*Seller Finance Interest Rate*",Inputs!$B:$B,0))/12,BD42))),0)</f>
        <v>0</v>
      </c>
      <c r="BE45" s="152">
        <f t="array" ref="BE45">IF(BE$3&lt;=INDEX(Inputs!$C:$C,MATCH("End Year",Inputs!$B:$B,0))*12,IF(OR(BE42=0,BE$3&lt;INDEX(Inputs!$C:$C,MATCH("*Seller Finance PMT Start Month*",Inputs!$B:$B,0))),0,IF(BE$3-INDEX(Inputs!$C:$C,MATCH("*Seller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Amount*",Inputs!$B:$B,0)))-BE42*INDEX(Inputs!$C:$C,MATCH("*Seller Finance Interest Rate*",Inputs!$B:$B,0))/12,BE42))),0)</f>
        <v>0</v>
      </c>
      <c r="BF45" s="152">
        <f t="array" ref="BF45">IF(BF$3&lt;=INDEX(Inputs!$C:$C,MATCH("End Year",Inputs!$B:$B,0))*12,IF(OR(BF42=0,BF$3&lt;INDEX(Inputs!$C:$C,MATCH("*Seller Finance PMT Start Month*",Inputs!$B:$B,0))),0,IF(BF$3-INDEX(Inputs!$C:$C,MATCH("*Seller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Amount*",Inputs!$B:$B,0)))-BF42*INDEX(Inputs!$C:$C,MATCH("*Seller Finance Interest Rate*",Inputs!$B:$B,0))/12,BF42))),0)</f>
        <v>0</v>
      </c>
      <c r="BG45" s="152">
        <f t="array" ref="BG45">IF(BG$3&lt;=INDEX(Inputs!$C:$C,MATCH("End Year",Inputs!$B:$B,0))*12,IF(OR(BG42=0,BG$3&lt;INDEX(Inputs!$C:$C,MATCH("*Seller Finance PMT Start Month*",Inputs!$B:$B,0))),0,IF(BG$3-INDEX(Inputs!$C:$C,MATCH("*Seller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Amount*",Inputs!$B:$B,0)))-BG42*INDEX(Inputs!$C:$C,MATCH("*Seller Finance Interest Rate*",Inputs!$B:$B,0))/12,BG42))),0)</f>
        <v>0</v>
      </c>
      <c r="BH45" s="152">
        <f t="array" ref="BH45">IF(BH$3&lt;=INDEX(Inputs!$C:$C,MATCH("End Year",Inputs!$B:$B,0))*12,IF(OR(BH42=0,BH$3&lt;INDEX(Inputs!$C:$C,MATCH("*Seller Finance PMT Start Month*",Inputs!$B:$B,0))),0,IF(BH$3-INDEX(Inputs!$C:$C,MATCH("*Seller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Amount*",Inputs!$B:$B,0)))-BH42*INDEX(Inputs!$C:$C,MATCH("*Seller Finance Interest Rate*",Inputs!$B:$B,0))/12,BH42))),0)</f>
        <v>0</v>
      </c>
      <c r="BI45" s="152">
        <f t="array" ref="BI45">IF(BI$3&lt;=INDEX(Inputs!$C:$C,MATCH("End Year",Inputs!$B:$B,0))*12,IF(OR(BI42=0,BI$3&lt;INDEX(Inputs!$C:$C,MATCH("*Seller Finance PMT Start Month*",Inputs!$B:$B,0))),0,IF(BI$3-INDEX(Inputs!$C:$C,MATCH("*Seller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Amount*",Inputs!$B:$B,0)))-BI42*INDEX(Inputs!$C:$C,MATCH("*Seller Finance Interest Rate*",Inputs!$B:$B,0))/12,BI42))),0)</f>
        <v>0</v>
      </c>
      <c r="BJ45" s="152">
        <f t="array" ref="BJ45">IF(BJ$3&lt;=INDEX(Inputs!$C:$C,MATCH("End Year",Inputs!$B:$B,0))*12,IF(OR(BJ42=0,BJ$3&lt;INDEX(Inputs!$C:$C,MATCH("*Seller Finance PMT Start Month*",Inputs!$B:$B,0))),0,IF(BJ$3-INDEX(Inputs!$C:$C,MATCH("*Seller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Amount*",Inputs!$B:$B,0)))-BJ42*INDEX(Inputs!$C:$C,MATCH("*Seller Finance Interest Rate*",Inputs!$B:$B,0))/12,BJ42))),0)</f>
        <v>0</v>
      </c>
      <c r="BK45" s="152">
        <f t="array" ref="BK45">IF(BK$3&lt;=INDEX(Inputs!$C:$C,MATCH("End Year",Inputs!$B:$B,0))*12,IF(OR(BK42=0,BK$3&lt;INDEX(Inputs!$C:$C,MATCH("*Seller Finance PMT Start Month*",Inputs!$B:$B,0))),0,IF(BK$3-INDEX(Inputs!$C:$C,MATCH("*Seller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Amount*",Inputs!$B:$B,0)))-BK42*INDEX(Inputs!$C:$C,MATCH("*Seller Finance Interest Rate*",Inputs!$B:$B,0))/12,BK42))),0)</f>
        <v>0</v>
      </c>
      <c r="BL45" s="152">
        <f t="array" ref="BL45">IF(BL$3&lt;=INDEX(Inputs!$C:$C,MATCH("End Year",Inputs!$B:$B,0))*12,IF(OR(BL42=0,BL$3&lt;INDEX(Inputs!$C:$C,MATCH("*Seller Finance PMT Start Month*",Inputs!$B:$B,0))),0,IF(BL$3-INDEX(Inputs!$C:$C,MATCH("*Seller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Amount*",Inputs!$B:$B,0)))-BL42*INDEX(Inputs!$C:$C,MATCH("*Seller Finance Interest Rate*",Inputs!$B:$B,0))/12,BL42))),0)</f>
        <v>0</v>
      </c>
      <c r="BM45" s="152">
        <f t="array" ref="BM45">IF(BM$3&lt;=INDEX(Inputs!$C:$C,MATCH("End Year",Inputs!$B:$B,0))*12,IF(OR(BM42=0,BM$3&lt;INDEX(Inputs!$C:$C,MATCH("*Seller Finance PMT Start Month*",Inputs!$B:$B,0))),0,IF(BM$3-INDEX(Inputs!$C:$C,MATCH("*Seller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Amount*",Inputs!$B:$B,0)))-BM42*INDEX(Inputs!$C:$C,MATCH("*Seller Finance Interest Rate*",Inputs!$B:$B,0))/12,BM42))),0)</f>
        <v>0</v>
      </c>
      <c r="BN45" s="152">
        <f t="array" ref="BN45">IF(BN$3&lt;=INDEX(Inputs!$C:$C,MATCH("End Year",Inputs!$B:$B,0))*12,IF(OR(BN42=0,BN$3&lt;INDEX(Inputs!$C:$C,MATCH("*Seller Finance PMT Start Month*",Inputs!$B:$B,0))),0,IF(BN$3-INDEX(Inputs!$C:$C,MATCH("*Seller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Amount*",Inputs!$B:$B,0)))-BN42*INDEX(Inputs!$C:$C,MATCH("*Seller Finance Interest Rate*",Inputs!$B:$B,0))/12,BN42))),0)</f>
        <v>0</v>
      </c>
      <c r="BO45" s="152">
        <f t="array" ref="BO45">IF(BO$3&lt;=INDEX(Inputs!$C:$C,MATCH("End Year",Inputs!$B:$B,0))*12,IF(OR(BO42=0,BO$3&lt;INDEX(Inputs!$C:$C,MATCH("*Seller Finance PMT Start Month*",Inputs!$B:$B,0))),0,IF(BO$3-INDEX(Inputs!$C:$C,MATCH("*Seller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Amount*",Inputs!$B:$B,0)))-BO42*INDEX(Inputs!$C:$C,MATCH("*Seller Finance Interest Rate*",Inputs!$B:$B,0))/12,BO42))),0)</f>
        <v>0</v>
      </c>
      <c r="BP45" s="152">
        <f t="array" ref="BP45">IF(BP$3&lt;=INDEX(Inputs!$C:$C,MATCH("End Year",Inputs!$B:$B,0))*12,IF(OR(BP42=0,BP$3&lt;INDEX(Inputs!$C:$C,MATCH("*Seller Finance PMT Start Month*",Inputs!$B:$B,0))),0,IF(BP$3-INDEX(Inputs!$C:$C,MATCH("*Seller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Amount*",Inputs!$B:$B,0)))-BP42*INDEX(Inputs!$C:$C,MATCH("*Seller Finance Interest Rate*",Inputs!$B:$B,0))/12,BP42))),0)</f>
        <v>0</v>
      </c>
      <c r="BQ45" s="152">
        <f t="array" ref="BQ45">IF(BQ$3&lt;=INDEX(Inputs!$C:$C,MATCH("End Year",Inputs!$B:$B,0))*12,IF(OR(BQ42=0,BQ$3&lt;INDEX(Inputs!$C:$C,MATCH("*Seller Finance PMT Start Month*",Inputs!$B:$B,0))),0,IF(BQ$3-INDEX(Inputs!$C:$C,MATCH("*Seller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Amount*",Inputs!$B:$B,0)))-BQ42*INDEX(Inputs!$C:$C,MATCH("*Seller Finance Interest Rate*",Inputs!$B:$B,0))/12,BQ42))),0)</f>
        <v>0</v>
      </c>
      <c r="BR45" s="152">
        <f t="array" ref="BR45">IF(BR$3&lt;=INDEX(Inputs!$C:$C,MATCH("End Year",Inputs!$B:$B,0))*12,IF(OR(BR42=0,BR$3&lt;INDEX(Inputs!$C:$C,MATCH("*Seller Finance PMT Start Month*",Inputs!$B:$B,0))),0,IF(BR$3-INDEX(Inputs!$C:$C,MATCH("*Seller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Amount*",Inputs!$B:$B,0)))-BR42*INDEX(Inputs!$C:$C,MATCH("*Seller Finance Interest Rate*",Inputs!$B:$B,0))/12,BR42))),0)</f>
        <v>0</v>
      </c>
      <c r="BS45" s="152">
        <f t="array" ref="BS45">IF(BS$3&lt;=INDEX(Inputs!$C:$C,MATCH("End Year",Inputs!$B:$B,0))*12,IF(OR(BS42=0,BS$3&lt;INDEX(Inputs!$C:$C,MATCH("*Seller Finance PMT Start Month*",Inputs!$B:$B,0))),0,IF(BS$3-INDEX(Inputs!$C:$C,MATCH("*Seller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Amount*",Inputs!$B:$B,0)))-BS42*INDEX(Inputs!$C:$C,MATCH("*Seller Finance Interest Rate*",Inputs!$B:$B,0))/12,BS42))),0)</f>
        <v>0</v>
      </c>
      <c r="BT45" s="152">
        <f t="array" ref="BT45">IF(BT$3&lt;=INDEX(Inputs!$C:$C,MATCH("End Year",Inputs!$B:$B,0))*12,IF(OR(BT42=0,BT$3&lt;INDEX(Inputs!$C:$C,MATCH("*Seller Finance PMT Start Month*",Inputs!$B:$B,0))),0,IF(BT$3-INDEX(Inputs!$C:$C,MATCH("*Seller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Amount*",Inputs!$B:$B,0)))-BT42*INDEX(Inputs!$C:$C,MATCH("*Seller Finance Interest Rate*",Inputs!$B:$B,0))/12,BT42))),0)</f>
        <v>0</v>
      </c>
      <c r="BU45" s="152">
        <f t="array" ref="BU45">IF(BU$3&lt;=INDEX(Inputs!$C:$C,MATCH("End Year",Inputs!$B:$B,0))*12,IF(OR(BU42=0,BU$3&lt;INDEX(Inputs!$C:$C,MATCH("*Seller Finance PMT Start Month*",Inputs!$B:$B,0))),0,IF(BU$3-INDEX(Inputs!$C:$C,MATCH("*Seller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Amount*",Inputs!$B:$B,0)))-BU42*INDEX(Inputs!$C:$C,MATCH("*Seller Finance Interest Rate*",Inputs!$B:$B,0))/12,BU42))),0)</f>
        <v>0</v>
      </c>
      <c r="BV45" s="152">
        <f t="array" ref="BV45">IF(BV$3&lt;=INDEX(Inputs!$C:$C,MATCH("End Year",Inputs!$B:$B,0))*12,IF(OR(BV42=0,BV$3&lt;INDEX(Inputs!$C:$C,MATCH("*Seller Finance PMT Start Month*",Inputs!$B:$B,0))),0,IF(BV$3-INDEX(Inputs!$C:$C,MATCH("*Seller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Amount*",Inputs!$B:$B,0)))-BV42*INDEX(Inputs!$C:$C,MATCH("*Seller Finance Interest Rate*",Inputs!$B:$B,0))/12,BV42))),0)</f>
        <v>0</v>
      </c>
      <c r="BW45" s="152">
        <f t="array" ref="BW45">IF(BW$3&lt;=INDEX(Inputs!$C:$C,MATCH("End Year",Inputs!$B:$B,0))*12,IF(OR(BW42=0,BW$3&lt;INDEX(Inputs!$C:$C,MATCH("*Seller Finance PMT Start Month*",Inputs!$B:$B,0))),0,IF(BW$3-INDEX(Inputs!$C:$C,MATCH("*Seller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Amount*",Inputs!$B:$B,0)))-BW42*INDEX(Inputs!$C:$C,MATCH("*Seller Finance Interest Rate*",Inputs!$B:$B,0))/12,BW42))),0)</f>
        <v>0</v>
      </c>
      <c r="BX45" s="152">
        <f t="array" ref="BX45">IF(BX$3&lt;=INDEX(Inputs!$C:$C,MATCH("End Year",Inputs!$B:$B,0))*12,IF(OR(BX42=0,BX$3&lt;INDEX(Inputs!$C:$C,MATCH("*Seller Finance PMT Start Month*",Inputs!$B:$B,0))),0,IF(BX$3-INDEX(Inputs!$C:$C,MATCH("*Seller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Amount*",Inputs!$B:$B,0)))-BX42*INDEX(Inputs!$C:$C,MATCH("*Seller Finance Interest Rate*",Inputs!$B:$B,0))/12,BX42))),0)</f>
        <v>0</v>
      </c>
      <c r="BY45" s="152">
        <f t="array" ref="BY45">IF(BY$3&lt;=INDEX(Inputs!$C:$C,MATCH("End Year",Inputs!$B:$B,0))*12,IF(OR(BY42=0,BY$3&lt;INDEX(Inputs!$C:$C,MATCH("*Seller Finance PMT Start Month*",Inputs!$B:$B,0))),0,IF(BY$3-INDEX(Inputs!$C:$C,MATCH("*Seller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Amount*",Inputs!$B:$B,0)))-BY42*INDEX(Inputs!$C:$C,MATCH("*Seller Finance Interest Rate*",Inputs!$B:$B,0))/12,BY42))),0)</f>
        <v>0</v>
      </c>
      <c r="BZ45" s="152">
        <f t="array" ref="BZ45">IF(BZ$3&lt;=INDEX(Inputs!$C:$C,MATCH("End Year",Inputs!$B:$B,0))*12,IF(OR(BZ42=0,BZ$3&lt;INDEX(Inputs!$C:$C,MATCH("*Seller Finance PMT Start Month*",Inputs!$B:$B,0))),0,IF(BZ$3-INDEX(Inputs!$C:$C,MATCH("*Seller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Amount*",Inputs!$B:$B,0)))-BZ42*INDEX(Inputs!$C:$C,MATCH("*Seller Finance Interest Rate*",Inputs!$B:$B,0))/12,BZ42))),0)</f>
        <v>0</v>
      </c>
      <c r="CA45" s="152">
        <f t="array" ref="CA45">IF(CA$3&lt;=INDEX(Inputs!$C:$C,MATCH("End Year",Inputs!$B:$B,0))*12,IF(OR(CA42=0,CA$3&lt;INDEX(Inputs!$C:$C,MATCH("*Seller Finance PMT Start Month*",Inputs!$B:$B,0))),0,IF(CA$3-INDEX(Inputs!$C:$C,MATCH("*Seller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Amount*",Inputs!$B:$B,0)))-CA42*INDEX(Inputs!$C:$C,MATCH("*Seller Finance Interest Rate*",Inputs!$B:$B,0))/12,CA42))),0)</f>
        <v>0</v>
      </c>
      <c r="CB45" s="152">
        <f t="array" ref="CB45">IF(CB$3&lt;=INDEX(Inputs!$C:$C,MATCH("End Year",Inputs!$B:$B,0))*12,IF(OR(CB42=0,CB$3&lt;INDEX(Inputs!$C:$C,MATCH("*Seller Finance PMT Start Month*",Inputs!$B:$B,0))),0,IF(CB$3-INDEX(Inputs!$C:$C,MATCH("*Seller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Amount*",Inputs!$B:$B,0)))-CB42*INDEX(Inputs!$C:$C,MATCH("*Seller Finance Interest Rate*",Inputs!$B:$B,0))/12,CB42))),0)</f>
        <v>0</v>
      </c>
      <c r="CC45" s="152">
        <f t="array" ref="CC45">IF(CC$3&lt;=INDEX(Inputs!$C:$C,MATCH("End Year",Inputs!$B:$B,0))*12,IF(OR(CC42=0,CC$3&lt;INDEX(Inputs!$C:$C,MATCH("*Seller Finance PMT Start Month*",Inputs!$B:$B,0))),0,IF(CC$3-INDEX(Inputs!$C:$C,MATCH("*Seller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Amount*",Inputs!$B:$B,0)))-CC42*INDEX(Inputs!$C:$C,MATCH("*Seller Finance Interest Rate*",Inputs!$B:$B,0))/12,CC42))),0)</f>
        <v>0</v>
      </c>
      <c r="CD45" s="152">
        <f t="array" ref="CD45">IF(CD$3&lt;=INDEX(Inputs!$C:$C,MATCH("End Year",Inputs!$B:$B,0))*12,IF(OR(CD42=0,CD$3&lt;INDEX(Inputs!$C:$C,MATCH("*Seller Finance PMT Start Month*",Inputs!$B:$B,0))),0,IF(CD$3-INDEX(Inputs!$C:$C,MATCH("*Seller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Amount*",Inputs!$B:$B,0)))-CD42*INDEX(Inputs!$C:$C,MATCH("*Seller Finance Interest Rate*",Inputs!$B:$B,0))/12,CD42))),0)</f>
        <v>0</v>
      </c>
      <c r="CE45" s="152">
        <f t="array" ref="CE45">IF(CE$3&lt;=INDEX(Inputs!$C:$C,MATCH("End Year",Inputs!$B:$B,0))*12,IF(OR(CE42=0,CE$3&lt;INDEX(Inputs!$C:$C,MATCH("*Seller Finance PMT Start Month*",Inputs!$B:$B,0))),0,IF(CE$3-INDEX(Inputs!$C:$C,MATCH("*Seller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Amount*",Inputs!$B:$B,0)))-CE42*INDEX(Inputs!$C:$C,MATCH("*Seller Finance Interest Rate*",Inputs!$B:$B,0))/12,CE42))),0)</f>
        <v>0</v>
      </c>
      <c r="CF45" s="152">
        <f t="array" ref="CF45">IF(CF$3&lt;=INDEX(Inputs!$C:$C,MATCH("End Year",Inputs!$B:$B,0))*12,IF(OR(CF42=0,CF$3&lt;INDEX(Inputs!$C:$C,MATCH("*Seller Finance PMT Start Month*",Inputs!$B:$B,0))),0,IF(CF$3-INDEX(Inputs!$C:$C,MATCH("*Seller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Amount*",Inputs!$B:$B,0)))-CF42*INDEX(Inputs!$C:$C,MATCH("*Seller Finance Interest Rate*",Inputs!$B:$B,0))/12,CF42))),0)</f>
        <v>0</v>
      </c>
      <c r="CG45" s="152">
        <f t="array" ref="CG45">IF(CG$3&lt;=INDEX(Inputs!$C:$C,MATCH("End Year",Inputs!$B:$B,0))*12,IF(OR(CG42=0,CG$3&lt;INDEX(Inputs!$C:$C,MATCH("*Seller Finance PMT Start Month*",Inputs!$B:$B,0))),0,IF(CG$3-INDEX(Inputs!$C:$C,MATCH("*Seller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Amount*",Inputs!$B:$B,0)))-CG42*INDEX(Inputs!$C:$C,MATCH("*Seller Finance Interest Rate*",Inputs!$B:$B,0))/12,CG42))),0)</f>
        <v>0</v>
      </c>
      <c r="CH45" s="152">
        <f t="array" ref="CH45">IF(CH$3&lt;=INDEX(Inputs!$C:$C,MATCH("End Year",Inputs!$B:$B,0))*12,IF(OR(CH42=0,CH$3&lt;INDEX(Inputs!$C:$C,MATCH("*Seller Finance PMT Start Month*",Inputs!$B:$B,0))),0,IF(CH$3-INDEX(Inputs!$C:$C,MATCH("*Seller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Amount*",Inputs!$B:$B,0)))-CH42*INDEX(Inputs!$C:$C,MATCH("*Seller Finance Interest Rate*",Inputs!$B:$B,0))/12,CH42))),0)</f>
        <v>0</v>
      </c>
      <c r="CI45" s="152">
        <f t="array" ref="CI45">IF(CI$3&lt;=INDEX(Inputs!$C:$C,MATCH("End Year",Inputs!$B:$B,0))*12,IF(OR(CI42=0,CI$3&lt;INDEX(Inputs!$C:$C,MATCH("*Seller Finance PMT Start Month*",Inputs!$B:$B,0))),0,IF(CI$3-INDEX(Inputs!$C:$C,MATCH("*Seller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Amount*",Inputs!$B:$B,0)))-CI42*INDEX(Inputs!$C:$C,MATCH("*Seller Finance Interest Rate*",Inputs!$B:$B,0))/12,CI42))),0)</f>
        <v>0</v>
      </c>
      <c r="CJ45" s="152">
        <f t="array" ref="CJ45">IF(CJ$3&lt;=INDEX(Inputs!$C:$C,MATCH("End Year",Inputs!$B:$B,0))*12,IF(OR(CJ42=0,CJ$3&lt;INDEX(Inputs!$C:$C,MATCH("*Seller Finance PMT Start Month*",Inputs!$B:$B,0))),0,IF(CJ$3-INDEX(Inputs!$C:$C,MATCH("*Seller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Amount*",Inputs!$B:$B,0)))-CJ42*INDEX(Inputs!$C:$C,MATCH("*Seller Finance Interest Rate*",Inputs!$B:$B,0))/12,CJ42))),0)</f>
        <v>0</v>
      </c>
      <c r="CK45" s="152">
        <f t="array" ref="CK45">IF(CK$3&lt;=INDEX(Inputs!$C:$C,MATCH("End Year",Inputs!$B:$B,0))*12,IF(OR(CK42=0,CK$3&lt;INDEX(Inputs!$C:$C,MATCH("*Seller Finance PMT Start Month*",Inputs!$B:$B,0))),0,IF(CK$3-INDEX(Inputs!$C:$C,MATCH("*Seller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Amount*",Inputs!$B:$B,0)))-CK42*INDEX(Inputs!$C:$C,MATCH("*Seller Finance Interest Rate*",Inputs!$B:$B,0))/12,CK42))),0)</f>
        <v>0</v>
      </c>
      <c r="CL45" s="152">
        <f t="array" ref="CL45">IF(CL$3&lt;=INDEX(Inputs!$C:$C,MATCH("End Year",Inputs!$B:$B,0))*12,IF(OR(CL42=0,CL$3&lt;INDEX(Inputs!$C:$C,MATCH("*Seller Finance PMT Start Month*",Inputs!$B:$B,0))),0,IF(CL$3-INDEX(Inputs!$C:$C,MATCH("*Seller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Amount*",Inputs!$B:$B,0)))-CL42*INDEX(Inputs!$C:$C,MATCH("*Seller Finance Interest Rate*",Inputs!$B:$B,0))/12,CL42))),0)</f>
        <v>0</v>
      </c>
      <c r="CM45" s="152">
        <f t="array" ref="CM45">IF(CM$3&lt;=INDEX(Inputs!$C:$C,MATCH("End Year",Inputs!$B:$B,0))*12,IF(OR(CM42=0,CM$3&lt;INDEX(Inputs!$C:$C,MATCH("*Seller Finance PMT Start Month*",Inputs!$B:$B,0))),0,IF(CM$3-INDEX(Inputs!$C:$C,MATCH("*Seller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Amount*",Inputs!$B:$B,0)))-CM42*INDEX(Inputs!$C:$C,MATCH("*Seller Finance Interest Rate*",Inputs!$B:$B,0))/12,CM42))),0)</f>
        <v>0</v>
      </c>
      <c r="CN45" s="152">
        <f t="array" ref="CN45">IF(CN$3&lt;=INDEX(Inputs!$C:$C,MATCH("End Year",Inputs!$B:$B,0))*12,IF(OR(CN42=0,CN$3&lt;INDEX(Inputs!$C:$C,MATCH("*Seller Finance PMT Start Month*",Inputs!$B:$B,0))),0,IF(CN$3-INDEX(Inputs!$C:$C,MATCH("*Seller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Amount*",Inputs!$B:$B,0)))-CN42*INDEX(Inputs!$C:$C,MATCH("*Seller Finance Interest Rate*",Inputs!$B:$B,0))/12,CN42))),0)</f>
        <v>0</v>
      </c>
      <c r="CO45" s="152">
        <f t="array" ref="CO45">IF(CO$3&lt;=INDEX(Inputs!$C:$C,MATCH("End Year",Inputs!$B:$B,0))*12,IF(OR(CO42=0,CO$3&lt;INDEX(Inputs!$C:$C,MATCH("*Seller Finance PMT Start Month*",Inputs!$B:$B,0))),0,IF(CO$3-INDEX(Inputs!$C:$C,MATCH("*Seller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Amount*",Inputs!$B:$B,0)))-CO42*INDEX(Inputs!$C:$C,MATCH("*Seller Finance Interest Rate*",Inputs!$B:$B,0))/12,CO42))),0)</f>
        <v>0</v>
      </c>
      <c r="CP45" s="152">
        <f t="array" ref="CP45">IF(CP$3&lt;=INDEX(Inputs!$C:$C,MATCH("End Year",Inputs!$B:$B,0))*12,IF(OR(CP42=0,CP$3&lt;INDEX(Inputs!$C:$C,MATCH("*Seller Finance PMT Start Month*",Inputs!$B:$B,0))),0,IF(CP$3-INDEX(Inputs!$C:$C,MATCH("*Seller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Amount*",Inputs!$B:$B,0)))-CP42*INDEX(Inputs!$C:$C,MATCH("*Seller Finance Interest Rate*",Inputs!$B:$B,0))/12,CP42))),0)</f>
        <v>0</v>
      </c>
      <c r="CQ45" s="152">
        <f t="array" ref="CQ45">IF(CQ$3&lt;=INDEX(Inputs!$C:$C,MATCH("End Year",Inputs!$B:$B,0))*12,IF(OR(CQ42=0,CQ$3&lt;INDEX(Inputs!$C:$C,MATCH("*Seller Finance PMT Start Month*",Inputs!$B:$B,0))),0,IF(CQ$3-INDEX(Inputs!$C:$C,MATCH("*Seller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Amount*",Inputs!$B:$B,0)))-CQ42*INDEX(Inputs!$C:$C,MATCH("*Seller Finance Interest Rate*",Inputs!$B:$B,0))/12,CQ42))),0)</f>
        <v>0</v>
      </c>
      <c r="CR45" s="152">
        <f t="array" ref="CR45">IF(CR$3&lt;=INDEX(Inputs!$C:$C,MATCH("End Year",Inputs!$B:$B,0))*12,IF(OR(CR42=0,CR$3&lt;INDEX(Inputs!$C:$C,MATCH("*Seller Finance PMT Start Month*",Inputs!$B:$B,0))),0,IF(CR$3-INDEX(Inputs!$C:$C,MATCH("*Seller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Amount*",Inputs!$B:$B,0)))-CR42*INDEX(Inputs!$C:$C,MATCH("*Seller Finance Interest Rate*",Inputs!$B:$B,0))/12,CR42))),0)</f>
        <v>0</v>
      </c>
      <c r="CS45" s="152">
        <f t="array" ref="CS45">IF(CS$3&lt;=INDEX(Inputs!$C:$C,MATCH("End Year",Inputs!$B:$B,0))*12,IF(OR(CS42=0,CS$3&lt;INDEX(Inputs!$C:$C,MATCH("*Seller Finance PMT Start Month*",Inputs!$B:$B,0))),0,IF(CS$3-INDEX(Inputs!$C:$C,MATCH("*Seller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Amount*",Inputs!$B:$B,0)))-CS42*INDEX(Inputs!$C:$C,MATCH("*Seller Finance Interest Rate*",Inputs!$B:$B,0))/12,CS42))),0)</f>
        <v>0</v>
      </c>
      <c r="CT45" s="152">
        <f t="array" ref="CT45">IF(CT$3&lt;=INDEX(Inputs!$C:$C,MATCH("End Year",Inputs!$B:$B,0))*12,IF(OR(CT42=0,CT$3&lt;INDEX(Inputs!$C:$C,MATCH("*Seller Finance PMT Start Month*",Inputs!$B:$B,0))),0,IF(CT$3-INDEX(Inputs!$C:$C,MATCH("*Seller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Amount*",Inputs!$B:$B,0)))-CT42*INDEX(Inputs!$C:$C,MATCH("*Seller Finance Interest Rate*",Inputs!$B:$B,0))/12,CT42))),0)</f>
        <v>0</v>
      </c>
      <c r="CU45" s="152">
        <f t="array" ref="CU45">IF(CU$3&lt;=INDEX(Inputs!$C:$C,MATCH("End Year",Inputs!$B:$B,0))*12,IF(OR(CU42=0,CU$3&lt;INDEX(Inputs!$C:$C,MATCH("*Seller Finance PMT Start Month*",Inputs!$B:$B,0))),0,IF(CU$3-INDEX(Inputs!$C:$C,MATCH("*Seller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Amount*",Inputs!$B:$B,0)))-CU42*INDEX(Inputs!$C:$C,MATCH("*Seller Finance Interest Rate*",Inputs!$B:$B,0))/12,CU42))),0)</f>
        <v>0</v>
      </c>
      <c r="CV45" s="152">
        <f t="array" ref="CV45">IF(CV$3&lt;=INDEX(Inputs!$C:$C,MATCH("End Year",Inputs!$B:$B,0))*12,IF(OR(CV42=0,CV$3&lt;INDEX(Inputs!$C:$C,MATCH("*Seller Finance PMT Start Month*",Inputs!$B:$B,0))),0,IF(CV$3-INDEX(Inputs!$C:$C,MATCH("*Seller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Amount*",Inputs!$B:$B,0)))-CV42*INDEX(Inputs!$C:$C,MATCH("*Seller Finance Interest Rate*",Inputs!$B:$B,0))/12,CV42))),0)</f>
        <v>0</v>
      </c>
      <c r="CW45" s="152">
        <f t="array" ref="CW45">IF(CW$3&lt;=INDEX(Inputs!$C:$C,MATCH("End Year",Inputs!$B:$B,0))*12,IF(OR(CW42=0,CW$3&lt;INDEX(Inputs!$C:$C,MATCH("*Seller Finance PMT Start Month*",Inputs!$B:$B,0))),0,IF(CW$3-INDEX(Inputs!$C:$C,MATCH("*Seller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Amount*",Inputs!$B:$B,0)))-CW42*INDEX(Inputs!$C:$C,MATCH("*Seller Finance Interest Rate*",Inputs!$B:$B,0))/12,CW42))),0)</f>
        <v>0</v>
      </c>
      <c r="CX45" s="152">
        <f t="array" ref="CX45">IF(CX$3&lt;=INDEX(Inputs!$C:$C,MATCH("End Year",Inputs!$B:$B,0))*12,IF(OR(CX42=0,CX$3&lt;INDEX(Inputs!$C:$C,MATCH("*Seller Finance PMT Start Month*",Inputs!$B:$B,0))),0,IF(CX$3-INDEX(Inputs!$C:$C,MATCH("*Seller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Amount*",Inputs!$B:$B,0)))-CX42*INDEX(Inputs!$C:$C,MATCH("*Seller Finance Interest Rate*",Inputs!$B:$B,0))/12,CX42))),0)</f>
        <v>0</v>
      </c>
      <c r="CY45" s="152">
        <f t="array" ref="CY45">IF(CY$3&lt;=INDEX(Inputs!$C:$C,MATCH("End Year",Inputs!$B:$B,0))*12,IF(OR(CY42=0,CY$3&lt;INDEX(Inputs!$C:$C,MATCH("*Seller Finance PMT Start Month*",Inputs!$B:$B,0))),0,IF(CY$3-INDEX(Inputs!$C:$C,MATCH("*Seller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Amount*",Inputs!$B:$B,0)))-CY42*INDEX(Inputs!$C:$C,MATCH("*Seller Finance Interest Rate*",Inputs!$B:$B,0))/12,CY42))),0)</f>
        <v>0</v>
      </c>
      <c r="CZ45" s="152">
        <f t="array" ref="CZ45">IF(CZ$3&lt;=INDEX(Inputs!$C:$C,MATCH("End Year",Inputs!$B:$B,0))*12,IF(OR(CZ42=0,CZ$3&lt;INDEX(Inputs!$C:$C,MATCH("*Seller Finance PMT Start Month*",Inputs!$B:$B,0))),0,IF(CZ$3-INDEX(Inputs!$C:$C,MATCH("*Seller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Amount*",Inputs!$B:$B,0)))-CZ42*INDEX(Inputs!$C:$C,MATCH("*Seller Finance Interest Rate*",Inputs!$B:$B,0))/12,CZ42))),0)</f>
        <v>0</v>
      </c>
      <c r="DA45" s="152">
        <f t="array" ref="DA45">IF(DA$3&lt;=INDEX(Inputs!$C:$C,MATCH("End Year",Inputs!$B:$B,0))*12,IF(OR(DA42=0,DA$3&lt;INDEX(Inputs!$C:$C,MATCH("*Seller Finance PMT Start Month*",Inputs!$B:$B,0))),0,IF(DA$3-INDEX(Inputs!$C:$C,MATCH("*Seller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Amount*",Inputs!$B:$B,0)))-DA42*INDEX(Inputs!$C:$C,MATCH("*Seller Finance Interest Rate*",Inputs!$B:$B,0))/12,DA42))),0)</f>
        <v>0</v>
      </c>
      <c r="DB45" s="152">
        <f t="array" ref="DB45">IF(DB$3&lt;=INDEX(Inputs!$C:$C,MATCH("End Year",Inputs!$B:$B,0))*12,IF(OR(DB42=0,DB$3&lt;INDEX(Inputs!$C:$C,MATCH("*Seller Finance PMT Start Month*",Inputs!$B:$B,0))),0,IF(DB$3-INDEX(Inputs!$C:$C,MATCH("*Seller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Amount*",Inputs!$B:$B,0)))-DB42*INDEX(Inputs!$C:$C,MATCH("*Seller Finance Interest Rate*",Inputs!$B:$B,0))/12,DB42))),0)</f>
        <v>0</v>
      </c>
      <c r="DC45" s="152">
        <f t="array" ref="DC45">IF(DC$3&lt;=INDEX(Inputs!$C:$C,MATCH("End Year",Inputs!$B:$B,0))*12,IF(OR(DC42=0,DC$3&lt;INDEX(Inputs!$C:$C,MATCH("*Seller Finance PMT Start Month*",Inputs!$B:$B,0))),0,IF(DC$3-INDEX(Inputs!$C:$C,MATCH("*Seller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Amount*",Inputs!$B:$B,0)))-DC42*INDEX(Inputs!$C:$C,MATCH("*Seller Finance Interest Rate*",Inputs!$B:$B,0))/12,DC42))),0)</f>
        <v>0</v>
      </c>
      <c r="DD45" s="152">
        <f t="array" ref="DD45">IF(DD$3&lt;=INDEX(Inputs!$C:$C,MATCH("End Year",Inputs!$B:$B,0))*12,IF(OR(DD42=0,DD$3&lt;INDEX(Inputs!$C:$C,MATCH("*Seller Finance PMT Start Month*",Inputs!$B:$B,0))),0,IF(DD$3-INDEX(Inputs!$C:$C,MATCH("*Seller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Amount*",Inputs!$B:$B,0)))-DD42*INDEX(Inputs!$C:$C,MATCH("*Seller Finance Interest Rate*",Inputs!$B:$B,0))/12,DD42))),0)</f>
        <v>0</v>
      </c>
      <c r="DE45" s="152">
        <f t="array" ref="DE45">IF(DE$3&lt;=INDEX(Inputs!$C:$C,MATCH("End Year",Inputs!$B:$B,0))*12,IF(OR(DE42=0,DE$3&lt;INDEX(Inputs!$C:$C,MATCH("*Seller Finance PMT Start Month*",Inputs!$B:$B,0))),0,IF(DE$3-INDEX(Inputs!$C:$C,MATCH("*Seller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Amount*",Inputs!$B:$B,0)))-DE42*INDEX(Inputs!$C:$C,MATCH("*Seller Finance Interest Rate*",Inputs!$B:$B,0))/12,DE42))),0)</f>
        <v>0</v>
      </c>
      <c r="DF45" s="152">
        <f t="array" ref="DF45">IF(DF$3&lt;=INDEX(Inputs!$C:$C,MATCH("End Year",Inputs!$B:$B,0))*12,IF(OR(DF42=0,DF$3&lt;INDEX(Inputs!$C:$C,MATCH("*Seller Finance PMT Start Month*",Inputs!$B:$B,0))),0,IF(DF$3-INDEX(Inputs!$C:$C,MATCH("*Seller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Amount*",Inputs!$B:$B,0)))-DF42*INDEX(Inputs!$C:$C,MATCH("*Seller Finance Interest Rate*",Inputs!$B:$B,0))/12,DF42))),0)</f>
        <v>0</v>
      </c>
      <c r="DG45" s="152">
        <f t="array" ref="DG45">IF(DG$3&lt;=INDEX(Inputs!$C:$C,MATCH("End Year",Inputs!$B:$B,0))*12,IF(OR(DG42=0,DG$3&lt;INDEX(Inputs!$C:$C,MATCH("*Seller Finance PMT Start Month*",Inputs!$B:$B,0))),0,IF(DG$3-INDEX(Inputs!$C:$C,MATCH("*Seller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Amount*",Inputs!$B:$B,0)))-DG42*INDEX(Inputs!$C:$C,MATCH("*Seller Finance Interest Rate*",Inputs!$B:$B,0))/12,DG42))),0)</f>
        <v>0</v>
      </c>
      <c r="DH45" s="152">
        <f t="array" ref="DH45">IF(DH$3&lt;=INDEX(Inputs!$C:$C,MATCH("End Year",Inputs!$B:$B,0))*12,IF(OR(DH42=0,DH$3&lt;INDEX(Inputs!$C:$C,MATCH("*Seller Finance PMT Start Month*",Inputs!$B:$B,0))),0,IF(DH$3-INDEX(Inputs!$C:$C,MATCH("*Seller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Amount*",Inputs!$B:$B,0)))-DH42*INDEX(Inputs!$C:$C,MATCH("*Seller Finance Interest Rate*",Inputs!$B:$B,0))/12,DH42))),0)</f>
        <v>0</v>
      </c>
      <c r="DI45" s="152">
        <f t="array" ref="DI45">IF(DI$3&lt;=INDEX(Inputs!$C:$C,MATCH("End Year",Inputs!$B:$B,0))*12,IF(OR(DI42=0,DI$3&lt;INDEX(Inputs!$C:$C,MATCH("*Seller Finance PMT Start Month*",Inputs!$B:$B,0))),0,IF(DI$3-INDEX(Inputs!$C:$C,MATCH("*Seller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Amount*",Inputs!$B:$B,0)))-DI42*INDEX(Inputs!$C:$C,MATCH("*Seller Finance Interest Rate*",Inputs!$B:$B,0))/12,DI42))),0)</f>
        <v>0</v>
      </c>
      <c r="DJ45" s="152">
        <f t="array" ref="DJ45">IF(DJ$3&lt;=INDEX(Inputs!$C:$C,MATCH("End Year",Inputs!$B:$B,0))*12,IF(OR(DJ42=0,DJ$3&lt;INDEX(Inputs!$C:$C,MATCH("*Seller Finance PMT Start Month*",Inputs!$B:$B,0))),0,IF(DJ$3-INDEX(Inputs!$C:$C,MATCH("*Seller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Amount*",Inputs!$B:$B,0)))-DJ42*INDEX(Inputs!$C:$C,MATCH("*Seller Finance Interest Rate*",Inputs!$B:$B,0))/12,DJ42))),0)</f>
        <v>0</v>
      </c>
      <c r="DK45" s="152">
        <f t="array" ref="DK45">IF(DK$3&lt;=INDEX(Inputs!$C:$C,MATCH("End Year",Inputs!$B:$B,0))*12,IF(OR(DK42=0,DK$3&lt;INDEX(Inputs!$C:$C,MATCH("*Seller Finance PMT Start Month*",Inputs!$B:$B,0))),0,IF(DK$3-INDEX(Inputs!$C:$C,MATCH("*Seller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Amount*",Inputs!$B:$B,0)))-DK42*INDEX(Inputs!$C:$C,MATCH("*Seller Finance Interest Rate*",Inputs!$B:$B,0))/12,DK42))),0)</f>
        <v>0</v>
      </c>
      <c r="DL45" s="152">
        <f t="array" ref="DL45">IF(DL$3&lt;=INDEX(Inputs!$C:$C,MATCH("End Year",Inputs!$B:$B,0))*12,IF(OR(DL42=0,DL$3&lt;INDEX(Inputs!$C:$C,MATCH("*Seller Finance PMT Start Month*",Inputs!$B:$B,0))),0,IF(DL$3-INDEX(Inputs!$C:$C,MATCH("*Seller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Amount*",Inputs!$B:$B,0)))-DL42*INDEX(Inputs!$C:$C,MATCH("*Seller Finance Interest Rate*",Inputs!$B:$B,0))/12,DL42))),0)</f>
        <v>0</v>
      </c>
      <c r="DM45" s="152">
        <f t="array" ref="DM45">IF(DM$3&lt;=INDEX(Inputs!$C:$C,MATCH("End Year",Inputs!$B:$B,0))*12,IF(OR(DM42=0,DM$3&lt;INDEX(Inputs!$C:$C,MATCH("*Seller Finance PMT Start Month*",Inputs!$B:$B,0))),0,IF(DM$3-INDEX(Inputs!$C:$C,MATCH("*Seller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Amount*",Inputs!$B:$B,0)))-DM42*INDEX(Inputs!$C:$C,MATCH("*Seller Finance Interest Rate*",Inputs!$B:$B,0))/12,DM42))),0)</f>
        <v>0</v>
      </c>
      <c r="DN45" s="152">
        <f t="array" ref="DN45">IF(DN$3&lt;=INDEX(Inputs!$C:$C,MATCH("End Year",Inputs!$B:$B,0))*12,IF(OR(DN42=0,DN$3&lt;INDEX(Inputs!$C:$C,MATCH("*Seller Finance PMT Start Month*",Inputs!$B:$B,0))),0,IF(DN$3-INDEX(Inputs!$C:$C,MATCH("*Seller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Amount*",Inputs!$B:$B,0)))-DN42*INDEX(Inputs!$C:$C,MATCH("*Seller Finance Interest Rate*",Inputs!$B:$B,0))/12,DN42))),0)</f>
        <v>0</v>
      </c>
      <c r="DO45" s="152">
        <f t="array" ref="DO45">IF(DO$3&lt;=INDEX(Inputs!$C:$C,MATCH("End Year",Inputs!$B:$B,0))*12,IF(OR(DO42=0,DO$3&lt;INDEX(Inputs!$C:$C,MATCH("*Seller Finance PMT Start Month*",Inputs!$B:$B,0))),0,IF(DO$3-INDEX(Inputs!$C:$C,MATCH("*Seller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Amount*",Inputs!$B:$B,0)))-DO42*INDEX(Inputs!$C:$C,MATCH("*Seller Finance Interest Rate*",Inputs!$B:$B,0))/12,DO42))),0)</f>
        <v>0</v>
      </c>
      <c r="DP45" s="152">
        <f t="array" ref="DP45">IF(DP$3&lt;=INDEX(Inputs!$C:$C,MATCH("End Year",Inputs!$B:$B,0))*12,IF(OR(DP42=0,DP$3&lt;INDEX(Inputs!$C:$C,MATCH("*Seller Finance PMT Start Month*",Inputs!$B:$B,0))),0,IF(DP$3-INDEX(Inputs!$C:$C,MATCH("*Seller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Amount*",Inputs!$B:$B,0)))-DP42*INDEX(Inputs!$C:$C,MATCH("*Seller Finance Interest Rate*",Inputs!$B:$B,0))/12,DP42))),0)</f>
        <v>0</v>
      </c>
      <c r="DQ45" s="152">
        <f t="array" ref="DQ45">IF(DQ$3&lt;=INDEX(Inputs!$C:$C,MATCH("End Year",Inputs!$B:$B,0))*12,IF(OR(DQ42=0,DQ$3&lt;INDEX(Inputs!$C:$C,MATCH("*Seller Finance PMT Start Month*",Inputs!$B:$B,0))),0,IF(DQ$3-INDEX(Inputs!$C:$C,MATCH("*Seller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Amount*",Inputs!$B:$B,0)))-DQ42*INDEX(Inputs!$C:$C,MATCH("*Seller Finance Interest Rate*",Inputs!$B:$B,0))/12,DQ42))),0)</f>
        <v>0</v>
      </c>
      <c r="DR45" s="152">
        <f t="array" ref="DR45">IF(DR$3&lt;=INDEX(Inputs!$C:$C,MATCH("End Year",Inputs!$B:$B,0))*12,IF(OR(DR42=0,DR$3&lt;INDEX(Inputs!$C:$C,MATCH("*Seller Finance PMT Start Month*",Inputs!$B:$B,0))),0,IF(DR$3-INDEX(Inputs!$C:$C,MATCH("*Seller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Amount*",Inputs!$B:$B,0)))-DR42*INDEX(Inputs!$C:$C,MATCH("*Seller Finance Interest Rate*",Inputs!$B:$B,0))/12,DR42))),0)</f>
        <v>0</v>
      </c>
      <c r="DS45" s="44">
        <f t="array" ref="DS45">IF(DS$3&lt;=INDEX(Inputs!$C:$C,MATCH("End Year",Inputs!$B:$B,0))*12,IF(OR(DS42=0,DS$3&lt;INDEX(Inputs!$C:$C,MATCH("*Seller Finance PMT Start Month*",Inputs!$B:$B,0))),0,IF(DS$3-INDEX(Inputs!$C:$C,MATCH("*Seller Finance PMT Start Month*",Inputs!$B:$B,0))+1&lt;=INDEX(Inputs!$C:$C,MATCH("*Seller Finance IO Period*",Inputs!$B:$B,0)),0,MIN(PMT(INDEX(Inputs!$C:$C,MATCH("*Seller Finance Interest Rate*",Inputs!$B:$B,0))/12,INDEX(Inputs!$C:$C,MATCH("*Seller Finance Amortization*",Inputs!$B:$B,0))*12,-INDEX(Inputs!$C:$C,MATCH("*Seller Finance Amount*",Inputs!$B:$B,0)))-DS42*INDEX(Inputs!$C:$C,MATCH("*Seller Finance Interest Rate*",Inputs!$B:$B,0))/12,DS42))),0)</f>
        <v>0</v>
      </c>
    </row>
    <row r="46" ht="15.0" customHeight="1">
      <c r="A46" s="44"/>
      <c r="B46" s="46" t="s">
        <v>343</v>
      </c>
      <c r="C46" s="152">
        <f t="array" ref="C46">IF(C$3&lt;=INDEX(Inputs!$C:$C,MATCH("End Year",Inputs!$B:$B,0))*12,IF(OR(C$3=INDEX(Inputs!$C:$C,MATCH("*Seller Finance Balloon*",Inputs!$B:$B,0))*12,C$3=INDEX(Inputs!$C:$C,MATCH("End Year",Inputs!$B:$B,0))*12),-MAX(C42+C43-C45,0),0),0)</f>
        <v>0</v>
      </c>
      <c r="D46" s="152">
        <f t="array" ref="D46">IF(D$3&lt;=INDEX(Inputs!$C:$C,MATCH("End Year",Inputs!$B:$B,0))*12,IF(OR(D$3=INDEX(Inputs!$C:$C,MATCH("*Seller Finance Balloon*",Inputs!$B:$B,0))*12,D$3=INDEX(Inputs!$C:$C,MATCH("End Year",Inputs!$B:$B,0))*12),-MAX(D42+D43-D45,0),0),0)</f>
        <v>0</v>
      </c>
      <c r="E46" s="152">
        <f t="array" ref="E46">IF(E$3&lt;=INDEX(Inputs!$C:$C,MATCH("End Year",Inputs!$B:$B,0))*12,IF(OR(E$3=INDEX(Inputs!$C:$C,MATCH("*Seller Finance Balloon*",Inputs!$B:$B,0))*12,E$3=INDEX(Inputs!$C:$C,MATCH("End Year",Inputs!$B:$B,0))*12),-MAX(E42+E43-E45,0),0),0)</f>
        <v>0</v>
      </c>
      <c r="F46" s="152">
        <f t="array" ref="F46">IF(F$3&lt;=INDEX(Inputs!$C:$C,MATCH("End Year",Inputs!$B:$B,0))*12,IF(OR(F$3=INDEX(Inputs!$C:$C,MATCH("*Seller Finance Balloon*",Inputs!$B:$B,0))*12,F$3=INDEX(Inputs!$C:$C,MATCH("End Year",Inputs!$B:$B,0))*12),-MAX(F42+F43-F45,0),0),0)</f>
        <v>0</v>
      </c>
      <c r="G46" s="152">
        <f t="array" ref="G46">IF(G$3&lt;=INDEX(Inputs!$C:$C,MATCH("End Year",Inputs!$B:$B,0))*12,IF(OR(G$3=INDEX(Inputs!$C:$C,MATCH("*Seller Finance Balloon*",Inputs!$B:$B,0))*12,G$3=INDEX(Inputs!$C:$C,MATCH("End Year",Inputs!$B:$B,0))*12),-MAX(G42+G43-G45,0),0),0)</f>
        <v>0</v>
      </c>
      <c r="H46" s="152">
        <f t="array" ref="H46">IF(H$3&lt;=INDEX(Inputs!$C:$C,MATCH("End Year",Inputs!$B:$B,0))*12,IF(OR(H$3=INDEX(Inputs!$C:$C,MATCH("*Seller Finance Balloon*",Inputs!$B:$B,0))*12,H$3=INDEX(Inputs!$C:$C,MATCH("End Year",Inputs!$B:$B,0))*12),-MAX(H42+H43-H45,0),0),0)</f>
        <v>0</v>
      </c>
      <c r="I46" s="152">
        <f t="array" ref="I46">IF(I$3&lt;=INDEX(Inputs!$C:$C,MATCH("End Year",Inputs!$B:$B,0))*12,IF(OR(I$3=INDEX(Inputs!$C:$C,MATCH("*Seller Finance Balloon*",Inputs!$B:$B,0))*12,I$3=INDEX(Inputs!$C:$C,MATCH("End Year",Inputs!$B:$B,0))*12),-MAX(I42+I43-I45,0),0),0)</f>
        <v>0</v>
      </c>
      <c r="J46" s="152">
        <f t="array" ref="J46">IF(J$3&lt;=INDEX(Inputs!$C:$C,MATCH("End Year",Inputs!$B:$B,0))*12,IF(OR(J$3=INDEX(Inputs!$C:$C,MATCH("*Seller Finance Balloon*",Inputs!$B:$B,0))*12,J$3=INDEX(Inputs!$C:$C,MATCH("End Year",Inputs!$B:$B,0))*12),-MAX(J42+J43-J45,0),0),0)</f>
        <v>0</v>
      </c>
      <c r="K46" s="152">
        <f t="array" ref="K46">IF(K$3&lt;=INDEX(Inputs!$C:$C,MATCH("End Year",Inputs!$B:$B,0))*12,IF(OR(K$3=INDEX(Inputs!$C:$C,MATCH("*Seller Finance Balloon*",Inputs!$B:$B,0))*12,K$3=INDEX(Inputs!$C:$C,MATCH("End Year",Inputs!$B:$B,0))*12),-MAX(K42+K43-K45,0),0),0)</f>
        <v>0</v>
      </c>
      <c r="L46" s="152">
        <f t="array" ref="L46">IF(L$3&lt;=INDEX(Inputs!$C:$C,MATCH("End Year",Inputs!$B:$B,0))*12,IF(OR(L$3=INDEX(Inputs!$C:$C,MATCH("*Seller Finance Balloon*",Inputs!$B:$B,0))*12,L$3=INDEX(Inputs!$C:$C,MATCH("End Year",Inputs!$B:$B,0))*12),-MAX(L42+L43-L45,0),0),0)</f>
        <v>0</v>
      </c>
      <c r="M46" s="152">
        <f t="array" ref="M46">IF(M$3&lt;=INDEX(Inputs!$C:$C,MATCH("End Year",Inputs!$B:$B,0))*12,IF(OR(M$3=INDEX(Inputs!$C:$C,MATCH("*Seller Finance Balloon*",Inputs!$B:$B,0))*12,M$3=INDEX(Inputs!$C:$C,MATCH("End Year",Inputs!$B:$B,0))*12),-MAX(M42+M43-M45,0),0),0)</f>
        <v>0</v>
      </c>
      <c r="N46" s="152">
        <f t="array" ref="N46">IF(N$3&lt;=INDEX(Inputs!$C:$C,MATCH("End Year",Inputs!$B:$B,0))*12,IF(OR(N$3=INDEX(Inputs!$C:$C,MATCH("*Seller Finance Balloon*",Inputs!$B:$B,0))*12,N$3=INDEX(Inputs!$C:$C,MATCH("End Year",Inputs!$B:$B,0))*12),-MAX(N42+N43-N45,0),0),0)</f>
        <v>0</v>
      </c>
      <c r="O46" s="152">
        <f t="array" ref="O46">IF(O$3&lt;=INDEX(Inputs!$C:$C,MATCH("End Year",Inputs!$B:$B,0))*12,IF(OR(O$3=INDEX(Inputs!$C:$C,MATCH("*Seller Finance Balloon*",Inputs!$B:$B,0))*12,O$3=INDEX(Inputs!$C:$C,MATCH("End Year",Inputs!$B:$B,0))*12),-MAX(O42+O43-O45,0),0),0)</f>
        <v>0</v>
      </c>
      <c r="P46" s="152">
        <f t="array" ref="P46">IF(P$3&lt;=INDEX(Inputs!$C:$C,MATCH("End Year",Inputs!$B:$B,0))*12,IF(OR(P$3=INDEX(Inputs!$C:$C,MATCH("*Seller Finance Balloon*",Inputs!$B:$B,0))*12,P$3=INDEX(Inputs!$C:$C,MATCH("End Year",Inputs!$B:$B,0))*12),-MAX(P42+P43-P45,0),0),0)</f>
        <v>0</v>
      </c>
      <c r="Q46" s="152">
        <f t="array" ref="Q46">IF(Q$3&lt;=INDEX(Inputs!$C:$C,MATCH("End Year",Inputs!$B:$B,0))*12,IF(OR(Q$3=INDEX(Inputs!$C:$C,MATCH("*Seller Finance Balloon*",Inputs!$B:$B,0))*12,Q$3=INDEX(Inputs!$C:$C,MATCH("End Year",Inputs!$B:$B,0))*12),-MAX(Q42+Q43-Q45,0),0),0)</f>
        <v>0</v>
      </c>
      <c r="R46" s="152">
        <f t="array" ref="R46">IF(R$3&lt;=INDEX(Inputs!$C:$C,MATCH("End Year",Inputs!$B:$B,0))*12,IF(OR(R$3=INDEX(Inputs!$C:$C,MATCH("*Seller Finance Balloon*",Inputs!$B:$B,0))*12,R$3=INDEX(Inputs!$C:$C,MATCH("End Year",Inputs!$B:$B,0))*12),-MAX(R42+R43-R45,0),0),0)</f>
        <v>0</v>
      </c>
      <c r="S46" s="152">
        <f t="array" ref="S46">IF(S$3&lt;=INDEX(Inputs!$C:$C,MATCH("End Year",Inputs!$B:$B,0))*12,IF(OR(S$3=INDEX(Inputs!$C:$C,MATCH("*Seller Finance Balloon*",Inputs!$B:$B,0))*12,S$3=INDEX(Inputs!$C:$C,MATCH("End Year",Inputs!$B:$B,0))*12),-MAX(S42+S43-S45,0),0),0)</f>
        <v>0</v>
      </c>
      <c r="T46" s="152">
        <f t="array" ref="T46">IF(T$3&lt;=INDEX(Inputs!$C:$C,MATCH("End Year",Inputs!$B:$B,0))*12,IF(OR(T$3=INDEX(Inputs!$C:$C,MATCH("*Seller Finance Balloon*",Inputs!$B:$B,0))*12,T$3=INDEX(Inputs!$C:$C,MATCH("End Year",Inputs!$B:$B,0))*12),-MAX(T42+T43-T45,0),0),0)</f>
        <v>0</v>
      </c>
      <c r="U46" s="152">
        <f t="array" ref="U46">IF(U$3&lt;=INDEX(Inputs!$C:$C,MATCH("End Year",Inputs!$B:$B,0))*12,IF(OR(U$3=INDEX(Inputs!$C:$C,MATCH("*Seller Finance Balloon*",Inputs!$B:$B,0))*12,U$3=INDEX(Inputs!$C:$C,MATCH("End Year",Inputs!$B:$B,0))*12),-MAX(U42+U43-U45,0),0),0)</f>
        <v>0</v>
      </c>
      <c r="V46" s="152">
        <f t="array" ref="V46">IF(V$3&lt;=INDEX(Inputs!$C:$C,MATCH("End Year",Inputs!$B:$B,0))*12,IF(OR(V$3=INDEX(Inputs!$C:$C,MATCH("*Seller Finance Balloon*",Inputs!$B:$B,0))*12,V$3=INDEX(Inputs!$C:$C,MATCH("End Year",Inputs!$B:$B,0))*12),-MAX(V42+V43-V45,0),0),0)</f>
        <v>0</v>
      </c>
      <c r="W46" s="152">
        <f t="array" ref="W46">IF(W$3&lt;=INDEX(Inputs!$C:$C,MATCH("End Year",Inputs!$B:$B,0))*12,IF(OR(W$3=INDEX(Inputs!$C:$C,MATCH("*Seller Finance Balloon*",Inputs!$B:$B,0))*12,W$3=INDEX(Inputs!$C:$C,MATCH("End Year",Inputs!$B:$B,0))*12),-MAX(W42+W43-W45,0),0),0)</f>
        <v>0</v>
      </c>
      <c r="X46" s="152">
        <f t="array" ref="X46">IF(X$3&lt;=INDEX(Inputs!$C:$C,MATCH("End Year",Inputs!$B:$B,0))*12,IF(OR(X$3=INDEX(Inputs!$C:$C,MATCH("*Seller Finance Balloon*",Inputs!$B:$B,0))*12,X$3=INDEX(Inputs!$C:$C,MATCH("End Year",Inputs!$B:$B,0))*12),-MAX(X42+X43-X45,0),0),0)</f>
        <v>0</v>
      </c>
      <c r="Y46" s="152">
        <f t="array" ref="Y46">IF(Y$3&lt;=INDEX(Inputs!$C:$C,MATCH("End Year",Inputs!$B:$B,0))*12,IF(OR(Y$3=INDEX(Inputs!$C:$C,MATCH("*Seller Finance Balloon*",Inputs!$B:$B,0))*12,Y$3=INDEX(Inputs!$C:$C,MATCH("End Year",Inputs!$B:$B,0))*12),-MAX(Y42+Y43-Y45,0),0),0)</f>
        <v>0</v>
      </c>
      <c r="Z46" s="152">
        <f t="array" ref="Z46">IF(Z$3&lt;=INDEX(Inputs!$C:$C,MATCH("End Year",Inputs!$B:$B,0))*12,IF(OR(Z$3=INDEX(Inputs!$C:$C,MATCH("*Seller Finance Balloon*",Inputs!$B:$B,0))*12,Z$3=INDEX(Inputs!$C:$C,MATCH("End Year",Inputs!$B:$B,0))*12),-MAX(Z42+Z43-Z45,0),0),0)</f>
        <v>0</v>
      </c>
      <c r="AA46" s="152">
        <f t="array" ref="AA46">IF(AA$3&lt;=INDEX(Inputs!$C:$C,MATCH("End Year",Inputs!$B:$B,0))*12,IF(OR(AA$3=INDEX(Inputs!$C:$C,MATCH("*Seller Finance Balloon*",Inputs!$B:$B,0))*12,AA$3=INDEX(Inputs!$C:$C,MATCH("End Year",Inputs!$B:$B,0))*12),-MAX(AA42+AA43-AA45,0),0),0)</f>
        <v>0</v>
      </c>
      <c r="AB46" s="152">
        <f t="array" ref="AB46">IF(AB$3&lt;=INDEX(Inputs!$C:$C,MATCH("End Year",Inputs!$B:$B,0))*12,IF(OR(AB$3=INDEX(Inputs!$C:$C,MATCH("*Seller Finance Balloon*",Inputs!$B:$B,0))*12,AB$3=INDEX(Inputs!$C:$C,MATCH("End Year",Inputs!$B:$B,0))*12),-MAX(AB42+AB43-AB45,0),0),0)</f>
        <v>0</v>
      </c>
      <c r="AC46" s="152">
        <f t="array" ref="AC46">IF(AC$3&lt;=INDEX(Inputs!$C:$C,MATCH("End Year",Inputs!$B:$B,0))*12,IF(OR(AC$3=INDEX(Inputs!$C:$C,MATCH("*Seller Finance Balloon*",Inputs!$B:$B,0))*12,AC$3=INDEX(Inputs!$C:$C,MATCH("End Year",Inputs!$B:$B,0))*12),-MAX(AC42+AC43-AC45,0),0),0)</f>
        <v>0</v>
      </c>
      <c r="AD46" s="152">
        <f t="array" ref="AD46">IF(AD$3&lt;=INDEX(Inputs!$C:$C,MATCH("End Year",Inputs!$B:$B,0))*12,IF(OR(AD$3=INDEX(Inputs!$C:$C,MATCH("*Seller Finance Balloon*",Inputs!$B:$B,0))*12,AD$3=INDEX(Inputs!$C:$C,MATCH("End Year",Inputs!$B:$B,0))*12),-MAX(AD42+AD43-AD45,0),0),0)</f>
        <v>0</v>
      </c>
      <c r="AE46" s="152">
        <f t="array" ref="AE46">IF(AE$3&lt;=INDEX(Inputs!$C:$C,MATCH("End Year",Inputs!$B:$B,0))*12,IF(OR(AE$3=INDEX(Inputs!$C:$C,MATCH("*Seller Finance Balloon*",Inputs!$B:$B,0))*12,AE$3=INDEX(Inputs!$C:$C,MATCH("End Year",Inputs!$B:$B,0))*12),-MAX(AE42+AE43-AE45,0),0),0)</f>
        <v>0</v>
      </c>
      <c r="AF46" s="152">
        <f t="array" ref="AF46">IF(AF$3&lt;=INDEX(Inputs!$C:$C,MATCH("End Year",Inputs!$B:$B,0))*12,IF(OR(AF$3=INDEX(Inputs!$C:$C,MATCH("*Seller Finance Balloon*",Inputs!$B:$B,0))*12,AF$3=INDEX(Inputs!$C:$C,MATCH("End Year",Inputs!$B:$B,0))*12),-MAX(AF42+AF43-AF45,0),0),0)</f>
        <v>0</v>
      </c>
      <c r="AG46" s="152">
        <f t="array" ref="AG46">IF(AG$3&lt;=INDEX(Inputs!$C:$C,MATCH("End Year",Inputs!$B:$B,0))*12,IF(OR(AG$3=INDEX(Inputs!$C:$C,MATCH("*Seller Finance Balloon*",Inputs!$B:$B,0))*12,AG$3=INDEX(Inputs!$C:$C,MATCH("End Year",Inputs!$B:$B,0))*12),-MAX(AG42+AG43-AG45,0),0),0)</f>
        <v>0</v>
      </c>
      <c r="AH46" s="152">
        <f t="array" ref="AH46">IF(AH$3&lt;=INDEX(Inputs!$C:$C,MATCH("End Year",Inputs!$B:$B,0))*12,IF(OR(AH$3=INDEX(Inputs!$C:$C,MATCH("*Seller Finance Balloon*",Inputs!$B:$B,0))*12,AH$3=INDEX(Inputs!$C:$C,MATCH("End Year",Inputs!$B:$B,0))*12),-MAX(AH42+AH43-AH45,0),0),0)</f>
        <v>0</v>
      </c>
      <c r="AI46" s="152">
        <f t="array" ref="AI46">IF(AI$3&lt;=INDEX(Inputs!$C:$C,MATCH("End Year",Inputs!$B:$B,0))*12,IF(OR(AI$3=INDEX(Inputs!$C:$C,MATCH("*Seller Finance Balloon*",Inputs!$B:$B,0))*12,AI$3=INDEX(Inputs!$C:$C,MATCH("End Year",Inputs!$B:$B,0))*12),-MAX(AI42+AI43-AI45,0),0),0)</f>
        <v>0</v>
      </c>
      <c r="AJ46" s="152">
        <f t="array" ref="AJ46">IF(AJ$3&lt;=INDEX(Inputs!$C:$C,MATCH("End Year",Inputs!$B:$B,0))*12,IF(OR(AJ$3=INDEX(Inputs!$C:$C,MATCH("*Seller Finance Balloon*",Inputs!$B:$B,0))*12,AJ$3=INDEX(Inputs!$C:$C,MATCH("End Year",Inputs!$B:$B,0))*12),-MAX(AJ42+AJ43-AJ45,0),0),0)</f>
        <v>0</v>
      </c>
      <c r="AK46" s="152">
        <f t="array" ref="AK46">IF(AK$3&lt;=INDEX(Inputs!$C:$C,MATCH("End Year",Inputs!$B:$B,0))*12,IF(OR(AK$3=INDEX(Inputs!$C:$C,MATCH("*Seller Finance Balloon*",Inputs!$B:$B,0))*12,AK$3=INDEX(Inputs!$C:$C,MATCH("End Year",Inputs!$B:$B,0))*12),-MAX(AK42+AK43-AK45,0),0),0)</f>
        <v>0</v>
      </c>
      <c r="AL46" s="152">
        <f t="array" ref="AL46">IF(AL$3&lt;=INDEX(Inputs!$C:$C,MATCH("End Year",Inputs!$B:$B,0))*12,IF(OR(AL$3=INDEX(Inputs!$C:$C,MATCH("*Seller Finance Balloon*",Inputs!$B:$B,0))*12,AL$3=INDEX(Inputs!$C:$C,MATCH("End Year",Inputs!$B:$B,0))*12),-MAX(AL42+AL43-AL45,0),0),0)</f>
        <v>0</v>
      </c>
      <c r="AM46" s="152">
        <f t="array" ref="AM46">IF(AM$3&lt;=INDEX(Inputs!$C:$C,MATCH("End Year",Inputs!$B:$B,0))*12,IF(OR(AM$3=INDEX(Inputs!$C:$C,MATCH("*Seller Finance Balloon*",Inputs!$B:$B,0))*12,AM$3=INDEX(Inputs!$C:$C,MATCH("End Year",Inputs!$B:$B,0))*12),-MAX(AM42+AM43-AM45,0),0),0)</f>
        <v>0</v>
      </c>
      <c r="AN46" s="152">
        <f t="array" ref="AN46">IF(AN$3&lt;=INDEX(Inputs!$C:$C,MATCH("End Year",Inputs!$B:$B,0))*12,IF(OR(AN$3=INDEX(Inputs!$C:$C,MATCH("*Seller Finance Balloon*",Inputs!$B:$B,0))*12,AN$3=INDEX(Inputs!$C:$C,MATCH("End Year",Inputs!$B:$B,0))*12),-MAX(AN42+AN43-AN45,0),0),0)</f>
        <v>0</v>
      </c>
      <c r="AO46" s="152">
        <f t="array" ref="AO46">IF(AO$3&lt;=INDEX(Inputs!$C:$C,MATCH("End Year",Inputs!$B:$B,0))*12,IF(OR(AO$3=INDEX(Inputs!$C:$C,MATCH("*Seller Finance Balloon*",Inputs!$B:$B,0))*12,AO$3=INDEX(Inputs!$C:$C,MATCH("End Year",Inputs!$B:$B,0))*12),-MAX(AO42+AO43-AO45,0),0),0)</f>
        <v>0</v>
      </c>
      <c r="AP46" s="152">
        <f t="array" ref="AP46">IF(AP$3&lt;=INDEX(Inputs!$C:$C,MATCH("End Year",Inputs!$B:$B,0))*12,IF(OR(AP$3=INDEX(Inputs!$C:$C,MATCH("*Seller Finance Balloon*",Inputs!$B:$B,0))*12,AP$3=INDEX(Inputs!$C:$C,MATCH("End Year",Inputs!$B:$B,0))*12),-MAX(AP42+AP43-AP45,0),0),0)</f>
        <v>0</v>
      </c>
      <c r="AQ46" s="152">
        <f t="array" ref="AQ46">IF(AQ$3&lt;=INDEX(Inputs!$C:$C,MATCH("End Year",Inputs!$B:$B,0))*12,IF(OR(AQ$3=INDEX(Inputs!$C:$C,MATCH("*Seller Finance Balloon*",Inputs!$B:$B,0))*12,AQ$3=INDEX(Inputs!$C:$C,MATCH("End Year",Inputs!$B:$B,0))*12),-MAX(AQ42+AQ43-AQ45,0),0),0)</f>
        <v>0</v>
      </c>
      <c r="AR46" s="152">
        <f t="array" ref="AR46">IF(AR$3&lt;=INDEX(Inputs!$C:$C,MATCH("End Year",Inputs!$B:$B,0))*12,IF(OR(AR$3=INDEX(Inputs!$C:$C,MATCH("*Seller Finance Balloon*",Inputs!$B:$B,0))*12,AR$3=INDEX(Inputs!$C:$C,MATCH("End Year",Inputs!$B:$B,0))*12),-MAX(AR42+AR43-AR45,0),0),0)</f>
        <v>0</v>
      </c>
      <c r="AS46" s="152">
        <f t="array" ref="AS46">IF(AS$3&lt;=INDEX(Inputs!$C:$C,MATCH("End Year",Inputs!$B:$B,0))*12,IF(OR(AS$3=INDEX(Inputs!$C:$C,MATCH("*Seller Finance Balloon*",Inputs!$B:$B,0))*12,AS$3=INDEX(Inputs!$C:$C,MATCH("End Year",Inputs!$B:$B,0))*12),-MAX(AS42+AS43-AS45,0),0),0)</f>
        <v>0</v>
      </c>
      <c r="AT46" s="152">
        <f t="array" ref="AT46">IF(AT$3&lt;=INDEX(Inputs!$C:$C,MATCH("End Year",Inputs!$B:$B,0))*12,IF(OR(AT$3=INDEX(Inputs!$C:$C,MATCH("*Seller Finance Balloon*",Inputs!$B:$B,0))*12,AT$3=INDEX(Inputs!$C:$C,MATCH("End Year",Inputs!$B:$B,0))*12),-MAX(AT42+AT43-AT45,0),0),0)</f>
        <v>0</v>
      </c>
      <c r="AU46" s="152">
        <f t="array" ref="AU46">IF(AU$3&lt;=INDEX(Inputs!$C:$C,MATCH("End Year",Inputs!$B:$B,0))*12,IF(OR(AU$3=INDEX(Inputs!$C:$C,MATCH("*Seller Finance Balloon*",Inputs!$B:$B,0))*12,AU$3=INDEX(Inputs!$C:$C,MATCH("End Year",Inputs!$B:$B,0))*12),-MAX(AU42+AU43-AU45,0),0),0)</f>
        <v>0</v>
      </c>
      <c r="AV46" s="152">
        <f t="array" ref="AV46">IF(AV$3&lt;=INDEX(Inputs!$C:$C,MATCH("End Year",Inputs!$B:$B,0))*12,IF(OR(AV$3=INDEX(Inputs!$C:$C,MATCH("*Seller Finance Balloon*",Inputs!$B:$B,0))*12,AV$3=INDEX(Inputs!$C:$C,MATCH("End Year",Inputs!$B:$B,0))*12),-MAX(AV42+AV43-AV45,0),0),0)</f>
        <v>0</v>
      </c>
      <c r="AW46" s="152">
        <f t="array" ref="AW46">IF(AW$3&lt;=INDEX(Inputs!$C:$C,MATCH("End Year",Inputs!$B:$B,0))*12,IF(OR(AW$3=INDEX(Inputs!$C:$C,MATCH("*Seller Finance Balloon*",Inputs!$B:$B,0))*12,AW$3=INDEX(Inputs!$C:$C,MATCH("End Year",Inputs!$B:$B,0))*12),-MAX(AW42+AW43-AW45,0),0),0)</f>
        <v>0</v>
      </c>
      <c r="AX46" s="152">
        <f t="array" ref="AX46">IF(AX$3&lt;=INDEX(Inputs!$C:$C,MATCH("End Year",Inputs!$B:$B,0))*12,IF(OR(AX$3=INDEX(Inputs!$C:$C,MATCH("*Seller Finance Balloon*",Inputs!$B:$B,0))*12,AX$3=INDEX(Inputs!$C:$C,MATCH("End Year",Inputs!$B:$B,0))*12),-MAX(AX42+AX43-AX45,0),0),0)</f>
        <v>0</v>
      </c>
      <c r="AY46" s="152">
        <f t="array" ref="AY46">IF(AY$3&lt;=INDEX(Inputs!$C:$C,MATCH("End Year",Inputs!$B:$B,0))*12,IF(OR(AY$3=INDEX(Inputs!$C:$C,MATCH("*Seller Finance Balloon*",Inputs!$B:$B,0))*12,AY$3=INDEX(Inputs!$C:$C,MATCH("End Year",Inputs!$B:$B,0))*12),-MAX(AY42+AY43-AY45,0),0),0)</f>
        <v>0</v>
      </c>
      <c r="AZ46" s="152">
        <f t="array" ref="AZ46">IF(AZ$3&lt;=INDEX(Inputs!$C:$C,MATCH("End Year",Inputs!$B:$B,0))*12,IF(OR(AZ$3=INDEX(Inputs!$C:$C,MATCH("*Seller Finance Balloon*",Inputs!$B:$B,0))*12,AZ$3=INDEX(Inputs!$C:$C,MATCH("End Year",Inputs!$B:$B,0))*12),-MAX(AZ42+AZ43-AZ45,0),0),0)</f>
        <v>0</v>
      </c>
      <c r="BA46" s="152">
        <f t="array" ref="BA46">IF(BA$3&lt;=INDEX(Inputs!$C:$C,MATCH("End Year",Inputs!$B:$B,0))*12,IF(OR(BA$3=INDEX(Inputs!$C:$C,MATCH("*Seller Finance Balloon*",Inputs!$B:$B,0))*12,BA$3=INDEX(Inputs!$C:$C,MATCH("End Year",Inputs!$B:$B,0))*12),-MAX(BA42+BA43-BA45,0),0),0)</f>
        <v>0</v>
      </c>
      <c r="BB46" s="152">
        <f t="array" ref="BB46">IF(BB$3&lt;=INDEX(Inputs!$C:$C,MATCH("End Year",Inputs!$B:$B,0))*12,IF(OR(BB$3=INDEX(Inputs!$C:$C,MATCH("*Seller Finance Balloon*",Inputs!$B:$B,0))*12,BB$3=INDEX(Inputs!$C:$C,MATCH("End Year",Inputs!$B:$B,0))*12),-MAX(BB42+BB43-BB45,0),0),0)</f>
        <v>0</v>
      </c>
      <c r="BC46" s="152">
        <f t="array" ref="BC46">IF(BC$3&lt;=INDEX(Inputs!$C:$C,MATCH("End Year",Inputs!$B:$B,0))*12,IF(OR(BC$3=INDEX(Inputs!$C:$C,MATCH("*Seller Finance Balloon*",Inputs!$B:$B,0))*12,BC$3=INDEX(Inputs!$C:$C,MATCH("End Year",Inputs!$B:$B,0))*12),-MAX(BC42+BC43-BC45,0),0),0)</f>
        <v>0</v>
      </c>
      <c r="BD46" s="152">
        <f t="array" ref="BD46">IF(BD$3&lt;=INDEX(Inputs!$C:$C,MATCH("End Year",Inputs!$B:$B,0))*12,IF(OR(BD$3=INDEX(Inputs!$C:$C,MATCH("*Seller Finance Balloon*",Inputs!$B:$B,0))*12,BD$3=INDEX(Inputs!$C:$C,MATCH("End Year",Inputs!$B:$B,0))*12),-MAX(BD42+BD43-BD45,0),0),0)</f>
        <v>0</v>
      </c>
      <c r="BE46" s="152">
        <f t="array" ref="BE46">IF(BE$3&lt;=INDEX(Inputs!$C:$C,MATCH("End Year",Inputs!$B:$B,0))*12,IF(OR(BE$3=INDEX(Inputs!$C:$C,MATCH("*Seller Finance Balloon*",Inputs!$B:$B,0))*12,BE$3=INDEX(Inputs!$C:$C,MATCH("End Year",Inputs!$B:$B,0))*12),-MAX(BE42+BE43-BE45,0),0),0)</f>
        <v>0</v>
      </c>
      <c r="BF46" s="152">
        <f t="array" ref="BF46">IF(BF$3&lt;=INDEX(Inputs!$C:$C,MATCH("End Year",Inputs!$B:$B,0))*12,IF(OR(BF$3=INDEX(Inputs!$C:$C,MATCH("*Seller Finance Balloon*",Inputs!$B:$B,0))*12,BF$3=INDEX(Inputs!$C:$C,MATCH("End Year",Inputs!$B:$B,0))*12),-MAX(BF42+BF43-BF45,0),0),0)</f>
        <v>0</v>
      </c>
      <c r="BG46" s="152">
        <f t="array" ref="BG46">IF(BG$3&lt;=INDEX(Inputs!$C:$C,MATCH("End Year",Inputs!$B:$B,0))*12,IF(OR(BG$3=INDEX(Inputs!$C:$C,MATCH("*Seller Finance Balloon*",Inputs!$B:$B,0))*12,BG$3=INDEX(Inputs!$C:$C,MATCH("End Year",Inputs!$B:$B,0))*12),-MAX(BG42+BG43-BG45,0),0),0)</f>
        <v>0</v>
      </c>
      <c r="BH46" s="152">
        <f t="array" ref="BH46">IF(BH$3&lt;=INDEX(Inputs!$C:$C,MATCH("End Year",Inputs!$B:$B,0))*12,IF(OR(BH$3=INDEX(Inputs!$C:$C,MATCH("*Seller Finance Balloon*",Inputs!$B:$B,0))*12,BH$3=INDEX(Inputs!$C:$C,MATCH("End Year",Inputs!$B:$B,0))*12),-MAX(BH42+BH43-BH45,0),0),0)</f>
        <v>0</v>
      </c>
      <c r="BI46" s="152">
        <f t="array" ref="BI46">IF(BI$3&lt;=INDEX(Inputs!$C:$C,MATCH("End Year",Inputs!$B:$B,0))*12,IF(OR(BI$3=INDEX(Inputs!$C:$C,MATCH("*Seller Finance Balloon*",Inputs!$B:$B,0))*12,BI$3=INDEX(Inputs!$C:$C,MATCH("End Year",Inputs!$B:$B,0))*12),-MAX(BI42+BI43-BI45,0),0),0)</f>
        <v>0</v>
      </c>
      <c r="BJ46" s="152">
        <f t="array" ref="BJ46">IF(BJ$3&lt;=INDEX(Inputs!$C:$C,MATCH("End Year",Inputs!$B:$B,0))*12,IF(OR(BJ$3=INDEX(Inputs!$C:$C,MATCH("*Seller Finance Balloon*",Inputs!$B:$B,0))*12,BJ$3=INDEX(Inputs!$C:$C,MATCH("End Year",Inputs!$B:$B,0))*12),-MAX(BJ42+BJ43-BJ45,0),0),0)</f>
        <v>0</v>
      </c>
      <c r="BK46" s="152">
        <f t="array" ref="BK46">IF(BK$3&lt;=INDEX(Inputs!$C:$C,MATCH("End Year",Inputs!$B:$B,0))*12,IF(OR(BK$3=INDEX(Inputs!$C:$C,MATCH("*Seller Finance Balloon*",Inputs!$B:$B,0))*12,BK$3=INDEX(Inputs!$C:$C,MATCH("End Year",Inputs!$B:$B,0))*12),-MAX(BK42+BK43-BK45,0),0),0)</f>
        <v>0</v>
      </c>
      <c r="BL46" s="152">
        <f t="array" ref="BL46">IF(BL$3&lt;=INDEX(Inputs!$C:$C,MATCH("End Year",Inputs!$B:$B,0))*12,IF(OR(BL$3=INDEX(Inputs!$C:$C,MATCH("*Seller Finance Balloon*",Inputs!$B:$B,0))*12,BL$3=INDEX(Inputs!$C:$C,MATCH("End Year",Inputs!$B:$B,0))*12),-MAX(BL42+BL43-BL45,0),0),0)</f>
        <v>0</v>
      </c>
      <c r="BM46" s="152">
        <f t="array" ref="BM46">IF(BM$3&lt;=INDEX(Inputs!$C:$C,MATCH("End Year",Inputs!$B:$B,0))*12,IF(OR(BM$3=INDEX(Inputs!$C:$C,MATCH("*Seller Finance Balloon*",Inputs!$B:$B,0))*12,BM$3=INDEX(Inputs!$C:$C,MATCH("End Year",Inputs!$B:$B,0))*12),-MAX(BM42+BM43-BM45,0),0),0)</f>
        <v>0</v>
      </c>
      <c r="BN46" s="152">
        <f t="array" ref="BN46">IF(BN$3&lt;=INDEX(Inputs!$C:$C,MATCH("End Year",Inputs!$B:$B,0))*12,IF(OR(BN$3=INDEX(Inputs!$C:$C,MATCH("*Seller Finance Balloon*",Inputs!$B:$B,0))*12,BN$3=INDEX(Inputs!$C:$C,MATCH("End Year",Inputs!$B:$B,0))*12),-MAX(BN42+BN43-BN45,0),0),0)</f>
        <v>0</v>
      </c>
      <c r="BO46" s="152">
        <f t="array" ref="BO46">IF(BO$3&lt;=INDEX(Inputs!$C:$C,MATCH("End Year",Inputs!$B:$B,0))*12,IF(OR(BO$3=INDEX(Inputs!$C:$C,MATCH("*Seller Finance Balloon*",Inputs!$B:$B,0))*12,BO$3=INDEX(Inputs!$C:$C,MATCH("End Year",Inputs!$B:$B,0))*12),-MAX(BO42+BO43-BO45,0),0),0)</f>
        <v>0</v>
      </c>
      <c r="BP46" s="152">
        <f t="array" ref="BP46">IF(BP$3&lt;=INDEX(Inputs!$C:$C,MATCH("End Year",Inputs!$B:$B,0))*12,IF(OR(BP$3=INDEX(Inputs!$C:$C,MATCH("*Seller Finance Balloon*",Inputs!$B:$B,0))*12,BP$3=INDEX(Inputs!$C:$C,MATCH("End Year",Inputs!$B:$B,0))*12),-MAX(BP42+BP43-BP45,0),0),0)</f>
        <v>0</v>
      </c>
      <c r="BQ46" s="152">
        <f t="array" ref="BQ46">IF(BQ$3&lt;=INDEX(Inputs!$C:$C,MATCH("End Year",Inputs!$B:$B,0))*12,IF(OR(BQ$3=INDEX(Inputs!$C:$C,MATCH("*Seller Finance Balloon*",Inputs!$B:$B,0))*12,BQ$3=INDEX(Inputs!$C:$C,MATCH("End Year",Inputs!$B:$B,0))*12),-MAX(BQ42+BQ43-BQ45,0),0),0)</f>
        <v>0</v>
      </c>
      <c r="BR46" s="152">
        <f t="array" ref="BR46">IF(BR$3&lt;=INDEX(Inputs!$C:$C,MATCH("End Year",Inputs!$B:$B,0))*12,IF(OR(BR$3=INDEX(Inputs!$C:$C,MATCH("*Seller Finance Balloon*",Inputs!$B:$B,0))*12,BR$3=INDEX(Inputs!$C:$C,MATCH("End Year",Inputs!$B:$B,0))*12),-MAX(BR42+BR43-BR45,0),0),0)</f>
        <v>0</v>
      </c>
      <c r="BS46" s="152">
        <f t="array" ref="BS46">IF(BS$3&lt;=INDEX(Inputs!$C:$C,MATCH("End Year",Inputs!$B:$B,0))*12,IF(OR(BS$3=INDEX(Inputs!$C:$C,MATCH("*Seller Finance Balloon*",Inputs!$B:$B,0))*12,BS$3=INDEX(Inputs!$C:$C,MATCH("End Year",Inputs!$B:$B,0))*12),-MAX(BS42+BS43-BS45,0),0),0)</f>
        <v>0</v>
      </c>
      <c r="BT46" s="152">
        <f t="array" ref="BT46">IF(BT$3&lt;=INDEX(Inputs!$C:$C,MATCH("End Year",Inputs!$B:$B,0))*12,IF(OR(BT$3=INDEX(Inputs!$C:$C,MATCH("*Seller Finance Balloon*",Inputs!$B:$B,0))*12,BT$3=INDEX(Inputs!$C:$C,MATCH("End Year",Inputs!$B:$B,0))*12),-MAX(BT42+BT43-BT45,0),0),0)</f>
        <v>0</v>
      </c>
      <c r="BU46" s="152">
        <f t="array" ref="BU46">IF(BU$3&lt;=INDEX(Inputs!$C:$C,MATCH("End Year",Inputs!$B:$B,0))*12,IF(OR(BU$3=INDEX(Inputs!$C:$C,MATCH("*Seller Finance Balloon*",Inputs!$B:$B,0))*12,BU$3=INDEX(Inputs!$C:$C,MATCH("End Year",Inputs!$B:$B,0))*12),-MAX(BU42+BU43-BU45,0),0),0)</f>
        <v>0</v>
      </c>
      <c r="BV46" s="152">
        <f t="array" ref="BV46">IF(BV$3&lt;=INDEX(Inputs!$C:$C,MATCH("End Year",Inputs!$B:$B,0))*12,IF(OR(BV$3=INDEX(Inputs!$C:$C,MATCH("*Seller Finance Balloon*",Inputs!$B:$B,0))*12,BV$3=INDEX(Inputs!$C:$C,MATCH("End Year",Inputs!$B:$B,0))*12),-MAX(BV42+BV43-BV45,0),0),0)</f>
        <v>0</v>
      </c>
      <c r="BW46" s="152">
        <f t="array" ref="BW46">IF(BW$3&lt;=INDEX(Inputs!$C:$C,MATCH("End Year",Inputs!$B:$B,0))*12,IF(OR(BW$3=INDEX(Inputs!$C:$C,MATCH("*Seller Finance Balloon*",Inputs!$B:$B,0))*12,BW$3=INDEX(Inputs!$C:$C,MATCH("End Year",Inputs!$B:$B,0))*12),-MAX(BW42+BW43-BW45,0),0),0)</f>
        <v>0</v>
      </c>
      <c r="BX46" s="152">
        <f t="array" ref="BX46">IF(BX$3&lt;=INDEX(Inputs!$C:$C,MATCH("End Year",Inputs!$B:$B,0))*12,IF(OR(BX$3=INDEX(Inputs!$C:$C,MATCH("*Seller Finance Balloon*",Inputs!$B:$B,0))*12,BX$3=INDEX(Inputs!$C:$C,MATCH("End Year",Inputs!$B:$B,0))*12),-MAX(BX42+BX43-BX45,0),0),0)</f>
        <v>0</v>
      </c>
      <c r="BY46" s="152">
        <f t="array" ref="BY46">IF(BY$3&lt;=INDEX(Inputs!$C:$C,MATCH("End Year",Inputs!$B:$B,0))*12,IF(OR(BY$3=INDEX(Inputs!$C:$C,MATCH("*Seller Finance Balloon*",Inputs!$B:$B,0))*12,BY$3=INDEX(Inputs!$C:$C,MATCH("End Year",Inputs!$B:$B,0))*12),-MAX(BY42+BY43-BY45,0),0),0)</f>
        <v>0</v>
      </c>
      <c r="BZ46" s="152">
        <f t="array" ref="BZ46">IF(BZ$3&lt;=INDEX(Inputs!$C:$C,MATCH("End Year",Inputs!$B:$B,0))*12,IF(OR(BZ$3=INDEX(Inputs!$C:$C,MATCH("*Seller Finance Balloon*",Inputs!$B:$B,0))*12,BZ$3=INDEX(Inputs!$C:$C,MATCH("End Year",Inputs!$B:$B,0))*12),-MAX(BZ42+BZ43-BZ45,0),0),0)</f>
        <v>0</v>
      </c>
      <c r="CA46" s="152">
        <f t="array" ref="CA46">IF(CA$3&lt;=INDEX(Inputs!$C:$C,MATCH("End Year",Inputs!$B:$B,0))*12,IF(OR(CA$3=INDEX(Inputs!$C:$C,MATCH("*Seller Finance Balloon*",Inputs!$B:$B,0))*12,CA$3=INDEX(Inputs!$C:$C,MATCH("End Year",Inputs!$B:$B,0))*12),-MAX(CA42+CA43-CA45,0),0),0)</f>
        <v>0</v>
      </c>
      <c r="CB46" s="152">
        <f t="array" ref="CB46">IF(CB$3&lt;=INDEX(Inputs!$C:$C,MATCH("End Year",Inputs!$B:$B,0))*12,IF(OR(CB$3=INDEX(Inputs!$C:$C,MATCH("*Seller Finance Balloon*",Inputs!$B:$B,0))*12,CB$3=INDEX(Inputs!$C:$C,MATCH("End Year",Inputs!$B:$B,0))*12),-MAX(CB42+CB43-CB45,0),0),0)</f>
        <v>0</v>
      </c>
      <c r="CC46" s="152">
        <f t="array" ref="CC46">IF(CC$3&lt;=INDEX(Inputs!$C:$C,MATCH("End Year",Inputs!$B:$B,0))*12,IF(OR(CC$3=INDEX(Inputs!$C:$C,MATCH("*Seller Finance Balloon*",Inputs!$B:$B,0))*12,CC$3=INDEX(Inputs!$C:$C,MATCH("End Year",Inputs!$B:$B,0))*12),-MAX(CC42+CC43-CC45,0),0),0)</f>
        <v>0</v>
      </c>
      <c r="CD46" s="152">
        <f t="array" ref="CD46">IF(CD$3&lt;=INDEX(Inputs!$C:$C,MATCH("End Year",Inputs!$B:$B,0))*12,IF(OR(CD$3=INDEX(Inputs!$C:$C,MATCH("*Seller Finance Balloon*",Inputs!$B:$B,0))*12,CD$3=INDEX(Inputs!$C:$C,MATCH("End Year",Inputs!$B:$B,0))*12),-MAX(CD42+CD43-CD45,0),0),0)</f>
        <v>0</v>
      </c>
      <c r="CE46" s="152">
        <f t="array" ref="CE46">IF(CE$3&lt;=INDEX(Inputs!$C:$C,MATCH("End Year",Inputs!$B:$B,0))*12,IF(OR(CE$3=INDEX(Inputs!$C:$C,MATCH("*Seller Finance Balloon*",Inputs!$B:$B,0))*12,CE$3=INDEX(Inputs!$C:$C,MATCH("End Year",Inputs!$B:$B,0))*12),-MAX(CE42+CE43-CE45,0),0),0)</f>
        <v>0</v>
      </c>
      <c r="CF46" s="152">
        <f t="array" ref="CF46">IF(CF$3&lt;=INDEX(Inputs!$C:$C,MATCH("End Year",Inputs!$B:$B,0))*12,IF(OR(CF$3=INDEX(Inputs!$C:$C,MATCH("*Seller Finance Balloon*",Inputs!$B:$B,0))*12,CF$3=INDEX(Inputs!$C:$C,MATCH("End Year",Inputs!$B:$B,0))*12),-MAX(CF42+CF43-CF45,0),0),0)</f>
        <v>0</v>
      </c>
      <c r="CG46" s="152">
        <f t="array" ref="CG46">IF(CG$3&lt;=INDEX(Inputs!$C:$C,MATCH("End Year",Inputs!$B:$B,0))*12,IF(OR(CG$3=INDEX(Inputs!$C:$C,MATCH("*Seller Finance Balloon*",Inputs!$B:$B,0))*12,CG$3=INDEX(Inputs!$C:$C,MATCH("End Year",Inputs!$B:$B,0))*12),-MAX(CG42+CG43-CG45,0),0),0)</f>
        <v>0</v>
      </c>
      <c r="CH46" s="152">
        <f t="array" ref="CH46">IF(CH$3&lt;=INDEX(Inputs!$C:$C,MATCH("End Year",Inputs!$B:$B,0))*12,IF(OR(CH$3=INDEX(Inputs!$C:$C,MATCH("*Seller Finance Balloon*",Inputs!$B:$B,0))*12,CH$3=INDEX(Inputs!$C:$C,MATCH("End Year",Inputs!$B:$B,0))*12),-MAX(CH42+CH43-CH45,0),0),0)</f>
        <v>0</v>
      </c>
      <c r="CI46" s="152">
        <f t="array" ref="CI46">IF(CI$3&lt;=INDEX(Inputs!$C:$C,MATCH("End Year",Inputs!$B:$B,0))*12,IF(OR(CI$3=INDEX(Inputs!$C:$C,MATCH("*Seller Finance Balloon*",Inputs!$B:$B,0))*12,CI$3=INDEX(Inputs!$C:$C,MATCH("End Year",Inputs!$B:$B,0))*12),-MAX(CI42+CI43-CI45,0),0),0)</f>
        <v>0</v>
      </c>
      <c r="CJ46" s="152">
        <f t="array" ref="CJ46">IF(CJ$3&lt;=INDEX(Inputs!$C:$C,MATCH("End Year",Inputs!$B:$B,0))*12,IF(OR(CJ$3=INDEX(Inputs!$C:$C,MATCH("*Seller Finance Balloon*",Inputs!$B:$B,0))*12,CJ$3=INDEX(Inputs!$C:$C,MATCH("End Year",Inputs!$B:$B,0))*12),-MAX(CJ42+CJ43-CJ45,0),0),0)</f>
        <v>0</v>
      </c>
      <c r="CK46" s="152">
        <f t="array" ref="CK46">IF(CK$3&lt;=INDEX(Inputs!$C:$C,MATCH("End Year",Inputs!$B:$B,0))*12,IF(OR(CK$3=INDEX(Inputs!$C:$C,MATCH("*Seller Finance Balloon*",Inputs!$B:$B,0))*12,CK$3=INDEX(Inputs!$C:$C,MATCH("End Year",Inputs!$B:$B,0))*12),-MAX(CK42+CK43-CK45,0),0),0)</f>
        <v>0</v>
      </c>
      <c r="CL46" s="152">
        <f t="array" ref="CL46">IF(CL$3&lt;=INDEX(Inputs!$C:$C,MATCH("End Year",Inputs!$B:$B,0))*12,IF(OR(CL$3=INDEX(Inputs!$C:$C,MATCH("*Seller Finance Balloon*",Inputs!$B:$B,0))*12,CL$3=INDEX(Inputs!$C:$C,MATCH("End Year",Inputs!$B:$B,0))*12),-MAX(CL42+CL43-CL45,0),0),0)</f>
        <v>0</v>
      </c>
      <c r="CM46" s="152">
        <f t="array" ref="CM46">IF(CM$3&lt;=INDEX(Inputs!$C:$C,MATCH("End Year",Inputs!$B:$B,0))*12,IF(OR(CM$3=INDEX(Inputs!$C:$C,MATCH("*Seller Finance Balloon*",Inputs!$B:$B,0))*12,CM$3=INDEX(Inputs!$C:$C,MATCH("End Year",Inputs!$B:$B,0))*12),-MAX(CM42+CM43-CM45,0),0),0)</f>
        <v>0</v>
      </c>
      <c r="CN46" s="152">
        <f t="array" ref="CN46">IF(CN$3&lt;=INDEX(Inputs!$C:$C,MATCH("End Year",Inputs!$B:$B,0))*12,IF(OR(CN$3=INDEX(Inputs!$C:$C,MATCH("*Seller Finance Balloon*",Inputs!$B:$B,0))*12,CN$3=INDEX(Inputs!$C:$C,MATCH("End Year",Inputs!$B:$B,0))*12),-MAX(CN42+CN43-CN45,0),0),0)</f>
        <v>0</v>
      </c>
      <c r="CO46" s="152">
        <f t="array" ref="CO46">IF(CO$3&lt;=INDEX(Inputs!$C:$C,MATCH("End Year",Inputs!$B:$B,0))*12,IF(OR(CO$3=INDEX(Inputs!$C:$C,MATCH("*Seller Finance Balloon*",Inputs!$B:$B,0))*12,CO$3=INDEX(Inputs!$C:$C,MATCH("End Year",Inputs!$B:$B,0))*12),-MAX(CO42+CO43-CO45,0),0),0)</f>
        <v>0</v>
      </c>
      <c r="CP46" s="152">
        <f t="array" ref="CP46">IF(CP$3&lt;=INDEX(Inputs!$C:$C,MATCH("End Year",Inputs!$B:$B,0))*12,IF(OR(CP$3=INDEX(Inputs!$C:$C,MATCH("*Seller Finance Balloon*",Inputs!$B:$B,0))*12,CP$3=INDEX(Inputs!$C:$C,MATCH("End Year",Inputs!$B:$B,0))*12),-MAX(CP42+CP43-CP45,0),0),0)</f>
        <v>0</v>
      </c>
      <c r="CQ46" s="152">
        <f t="array" ref="CQ46">IF(CQ$3&lt;=INDEX(Inputs!$C:$C,MATCH("End Year",Inputs!$B:$B,0))*12,IF(OR(CQ$3=INDEX(Inputs!$C:$C,MATCH("*Seller Finance Balloon*",Inputs!$B:$B,0))*12,CQ$3=INDEX(Inputs!$C:$C,MATCH("End Year",Inputs!$B:$B,0))*12),-MAX(CQ42+CQ43-CQ45,0),0),0)</f>
        <v>0</v>
      </c>
      <c r="CR46" s="152">
        <f t="array" ref="CR46">IF(CR$3&lt;=INDEX(Inputs!$C:$C,MATCH("End Year",Inputs!$B:$B,0))*12,IF(OR(CR$3=INDEX(Inputs!$C:$C,MATCH("*Seller Finance Balloon*",Inputs!$B:$B,0))*12,CR$3=INDEX(Inputs!$C:$C,MATCH("End Year",Inputs!$B:$B,0))*12),-MAX(CR42+CR43-CR45,0),0),0)</f>
        <v>0</v>
      </c>
      <c r="CS46" s="152">
        <f t="array" ref="CS46">IF(CS$3&lt;=INDEX(Inputs!$C:$C,MATCH("End Year",Inputs!$B:$B,0))*12,IF(OR(CS$3=INDEX(Inputs!$C:$C,MATCH("*Seller Finance Balloon*",Inputs!$B:$B,0))*12,CS$3=INDEX(Inputs!$C:$C,MATCH("End Year",Inputs!$B:$B,0))*12),-MAX(CS42+CS43-CS45,0),0),0)</f>
        <v>0</v>
      </c>
      <c r="CT46" s="152">
        <f t="array" ref="CT46">IF(CT$3&lt;=INDEX(Inputs!$C:$C,MATCH("End Year",Inputs!$B:$B,0))*12,IF(OR(CT$3=INDEX(Inputs!$C:$C,MATCH("*Seller Finance Balloon*",Inputs!$B:$B,0))*12,CT$3=INDEX(Inputs!$C:$C,MATCH("End Year",Inputs!$B:$B,0))*12),-MAX(CT42+CT43-CT45,0),0),0)</f>
        <v>0</v>
      </c>
      <c r="CU46" s="152">
        <f t="array" ref="CU46">IF(CU$3&lt;=INDEX(Inputs!$C:$C,MATCH("End Year",Inputs!$B:$B,0))*12,IF(OR(CU$3=INDEX(Inputs!$C:$C,MATCH("*Seller Finance Balloon*",Inputs!$B:$B,0))*12,CU$3=INDEX(Inputs!$C:$C,MATCH("End Year",Inputs!$B:$B,0))*12),-MAX(CU42+CU43-CU45,0),0),0)</f>
        <v>0</v>
      </c>
      <c r="CV46" s="152">
        <f t="array" ref="CV46">IF(CV$3&lt;=INDEX(Inputs!$C:$C,MATCH("End Year",Inputs!$B:$B,0))*12,IF(OR(CV$3=INDEX(Inputs!$C:$C,MATCH("*Seller Finance Balloon*",Inputs!$B:$B,0))*12,CV$3=INDEX(Inputs!$C:$C,MATCH("End Year",Inputs!$B:$B,0))*12),-MAX(CV42+CV43-CV45,0),0),0)</f>
        <v>0</v>
      </c>
      <c r="CW46" s="152">
        <f t="array" ref="CW46">IF(CW$3&lt;=INDEX(Inputs!$C:$C,MATCH("End Year",Inputs!$B:$B,0))*12,IF(OR(CW$3=INDEX(Inputs!$C:$C,MATCH("*Seller Finance Balloon*",Inputs!$B:$B,0))*12,CW$3=INDEX(Inputs!$C:$C,MATCH("End Year",Inputs!$B:$B,0))*12),-MAX(CW42+CW43-CW45,0),0),0)</f>
        <v>0</v>
      </c>
      <c r="CX46" s="152">
        <f t="array" ref="CX46">IF(CX$3&lt;=INDEX(Inputs!$C:$C,MATCH("End Year",Inputs!$B:$B,0))*12,IF(OR(CX$3=INDEX(Inputs!$C:$C,MATCH("*Seller Finance Balloon*",Inputs!$B:$B,0))*12,CX$3=INDEX(Inputs!$C:$C,MATCH("End Year",Inputs!$B:$B,0))*12),-MAX(CX42+CX43-CX45,0),0),0)</f>
        <v>0</v>
      </c>
      <c r="CY46" s="152">
        <f t="array" ref="CY46">IF(CY$3&lt;=INDEX(Inputs!$C:$C,MATCH("End Year",Inputs!$B:$B,0))*12,IF(OR(CY$3=INDEX(Inputs!$C:$C,MATCH("*Seller Finance Balloon*",Inputs!$B:$B,0))*12,CY$3=INDEX(Inputs!$C:$C,MATCH("End Year",Inputs!$B:$B,0))*12),-MAX(CY42+CY43-CY45,0),0),0)</f>
        <v>0</v>
      </c>
      <c r="CZ46" s="152">
        <f t="array" ref="CZ46">IF(CZ$3&lt;=INDEX(Inputs!$C:$C,MATCH("End Year",Inputs!$B:$B,0))*12,IF(OR(CZ$3=INDEX(Inputs!$C:$C,MATCH("*Seller Finance Balloon*",Inputs!$B:$B,0))*12,CZ$3=INDEX(Inputs!$C:$C,MATCH("End Year",Inputs!$B:$B,0))*12),-MAX(CZ42+CZ43-CZ45,0),0),0)</f>
        <v>0</v>
      </c>
      <c r="DA46" s="152">
        <f t="array" ref="DA46">IF(DA$3&lt;=INDEX(Inputs!$C:$C,MATCH("End Year",Inputs!$B:$B,0))*12,IF(OR(DA$3=INDEX(Inputs!$C:$C,MATCH("*Seller Finance Balloon*",Inputs!$B:$B,0))*12,DA$3=INDEX(Inputs!$C:$C,MATCH("End Year",Inputs!$B:$B,0))*12),-MAX(DA42+DA43-DA45,0),0),0)</f>
        <v>0</v>
      </c>
      <c r="DB46" s="152">
        <f t="array" ref="DB46">IF(DB$3&lt;=INDEX(Inputs!$C:$C,MATCH("End Year",Inputs!$B:$B,0))*12,IF(OR(DB$3=INDEX(Inputs!$C:$C,MATCH("*Seller Finance Balloon*",Inputs!$B:$B,0))*12,DB$3=INDEX(Inputs!$C:$C,MATCH("End Year",Inputs!$B:$B,0))*12),-MAX(DB42+DB43-DB45,0),0),0)</f>
        <v>0</v>
      </c>
      <c r="DC46" s="152">
        <f t="array" ref="DC46">IF(DC$3&lt;=INDEX(Inputs!$C:$C,MATCH("End Year",Inputs!$B:$B,0))*12,IF(OR(DC$3=INDEX(Inputs!$C:$C,MATCH("*Seller Finance Balloon*",Inputs!$B:$B,0))*12,DC$3=INDEX(Inputs!$C:$C,MATCH("End Year",Inputs!$B:$B,0))*12),-MAX(DC42+DC43-DC45,0),0),0)</f>
        <v>0</v>
      </c>
      <c r="DD46" s="152">
        <f t="array" ref="DD46">IF(DD$3&lt;=INDEX(Inputs!$C:$C,MATCH("End Year",Inputs!$B:$B,0))*12,IF(OR(DD$3=INDEX(Inputs!$C:$C,MATCH("*Seller Finance Balloon*",Inputs!$B:$B,0))*12,DD$3=INDEX(Inputs!$C:$C,MATCH("End Year",Inputs!$B:$B,0))*12),-MAX(DD42+DD43-DD45,0),0),0)</f>
        <v>0</v>
      </c>
      <c r="DE46" s="152">
        <f t="array" ref="DE46">IF(DE$3&lt;=INDEX(Inputs!$C:$C,MATCH("End Year",Inputs!$B:$B,0))*12,IF(OR(DE$3=INDEX(Inputs!$C:$C,MATCH("*Seller Finance Balloon*",Inputs!$B:$B,0))*12,DE$3=INDEX(Inputs!$C:$C,MATCH("End Year",Inputs!$B:$B,0))*12),-MAX(DE42+DE43-DE45,0),0),0)</f>
        <v>0</v>
      </c>
      <c r="DF46" s="152">
        <f t="array" ref="DF46">IF(DF$3&lt;=INDEX(Inputs!$C:$C,MATCH("End Year",Inputs!$B:$B,0))*12,IF(OR(DF$3=INDEX(Inputs!$C:$C,MATCH("*Seller Finance Balloon*",Inputs!$B:$B,0))*12,DF$3=INDEX(Inputs!$C:$C,MATCH("End Year",Inputs!$B:$B,0))*12),-MAX(DF42+DF43-DF45,0),0),0)</f>
        <v>0</v>
      </c>
      <c r="DG46" s="152">
        <f t="array" ref="DG46">IF(DG$3&lt;=INDEX(Inputs!$C:$C,MATCH("End Year",Inputs!$B:$B,0))*12,IF(OR(DG$3=INDEX(Inputs!$C:$C,MATCH("*Seller Finance Balloon*",Inputs!$B:$B,0))*12,DG$3=INDEX(Inputs!$C:$C,MATCH("End Year",Inputs!$B:$B,0))*12),-MAX(DG42+DG43-DG45,0),0),0)</f>
        <v>0</v>
      </c>
      <c r="DH46" s="152">
        <f t="array" ref="DH46">IF(DH$3&lt;=INDEX(Inputs!$C:$C,MATCH("End Year",Inputs!$B:$B,0))*12,IF(OR(DH$3=INDEX(Inputs!$C:$C,MATCH("*Seller Finance Balloon*",Inputs!$B:$B,0))*12,DH$3=INDEX(Inputs!$C:$C,MATCH("End Year",Inputs!$B:$B,0))*12),-MAX(DH42+DH43-DH45,0),0),0)</f>
        <v>0</v>
      </c>
      <c r="DI46" s="152">
        <f t="array" ref="DI46">IF(DI$3&lt;=INDEX(Inputs!$C:$C,MATCH("End Year",Inputs!$B:$B,0))*12,IF(OR(DI$3=INDEX(Inputs!$C:$C,MATCH("*Seller Finance Balloon*",Inputs!$B:$B,0))*12,DI$3=INDEX(Inputs!$C:$C,MATCH("End Year",Inputs!$B:$B,0))*12),-MAX(DI42+DI43-DI45,0),0),0)</f>
        <v>0</v>
      </c>
      <c r="DJ46" s="152">
        <f t="array" ref="DJ46">IF(DJ$3&lt;=INDEX(Inputs!$C:$C,MATCH("End Year",Inputs!$B:$B,0))*12,IF(OR(DJ$3=INDEX(Inputs!$C:$C,MATCH("*Seller Finance Balloon*",Inputs!$B:$B,0))*12,DJ$3=INDEX(Inputs!$C:$C,MATCH("End Year",Inputs!$B:$B,0))*12),-MAX(DJ42+DJ43-DJ45,0),0),0)</f>
        <v>0</v>
      </c>
      <c r="DK46" s="152">
        <f t="array" ref="DK46">IF(DK$3&lt;=INDEX(Inputs!$C:$C,MATCH("End Year",Inputs!$B:$B,0))*12,IF(OR(DK$3=INDEX(Inputs!$C:$C,MATCH("*Seller Finance Balloon*",Inputs!$B:$B,0))*12,DK$3=INDEX(Inputs!$C:$C,MATCH("End Year",Inputs!$B:$B,0))*12),-MAX(DK42+DK43-DK45,0),0),0)</f>
        <v>0</v>
      </c>
      <c r="DL46" s="152">
        <f t="array" ref="DL46">IF(DL$3&lt;=INDEX(Inputs!$C:$C,MATCH("End Year",Inputs!$B:$B,0))*12,IF(OR(DL$3=INDEX(Inputs!$C:$C,MATCH("*Seller Finance Balloon*",Inputs!$B:$B,0))*12,DL$3=INDEX(Inputs!$C:$C,MATCH("End Year",Inputs!$B:$B,0))*12),-MAX(DL42+DL43-DL45,0),0),0)</f>
        <v>0</v>
      </c>
      <c r="DM46" s="152">
        <f t="array" ref="DM46">IF(DM$3&lt;=INDEX(Inputs!$C:$C,MATCH("End Year",Inputs!$B:$B,0))*12,IF(OR(DM$3=INDEX(Inputs!$C:$C,MATCH("*Seller Finance Balloon*",Inputs!$B:$B,0))*12,DM$3=INDEX(Inputs!$C:$C,MATCH("End Year",Inputs!$B:$B,0))*12),-MAX(DM42+DM43-DM45,0),0),0)</f>
        <v>0</v>
      </c>
      <c r="DN46" s="152">
        <f t="array" ref="DN46">IF(DN$3&lt;=INDEX(Inputs!$C:$C,MATCH("End Year",Inputs!$B:$B,0))*12,IF(OR(DN$3=INDEX(Inputs!$C:$C,MATCH("*Seller Finance Balloon*",Inputs!$B:$B,0))*12,DN$3=INDEX(Inputs!$C:$C,MATCH("End Year",Inputs!$B:$B,0))*12),-MAX(DN42+DN43-DN45,0),0),0)</f>
        <v>0</v>
      </c>
      <c r="DO46" s="152">
        <f t="array" ref="DO46">IF(DO$3&lt;=INDEX(Inputs!$C:$C,MATCH("End Year",Inputs!$B:$B,0))*12,IF(OR(DO$3=INDEX(Inputs!$C:$C,MATCH("*Seller Finance Balloon*",Inputs!$B:$B,0))*12,DO$3=INDEX(Inputs!$C:$C,MATCH("End Year",Inputs!$B:$B,0))*12),-MAX(DO42+DO43-DO45,0),0),0)</f>
        <v>0</v>
      </c>
      <c r="DP46" s="152">
        <f t="array" ref="DP46">IF(DP$3&lt;=INDEX(Inputs!$C:$C,MATCH("End Year",Inputs!$B:$B,0))*12,IF(OR(DP$3=INDEX(Inputs!$C:$C,MATCH("*Seller Finance Balloon*",Inputs!$B:$B,0))*12,DP$3=INDEX(Inputs!$C:$C,MATCH("End Year",Inputs!$B:$B,0))*12),-MAX(DP42+DP43-DP45,0),0),0)</f>
        <v>0</v>
      </c>
      <c r="DQ46" s="152">
        <f t="array" ref="DQ46">IF(DQ$3&lt;=INDEX(Inputs!$C:$C,MATCH("End Year",Inputs!$B:$B,0))*12,IF(OR(DQ$3=INDEX(Inputs!$C:$C,MATCH("*Seller Finance Balloon*",Inputs!$B:$B,0))*12,DQ$3=INDEX(Inputs!$C:$C,MATCH("End Year",Inputs!$B:$B,0))*12),-MAX(DQ42+DQ43-DQ45,0),0),0)</f>
        <v>0</v>
      </c>
      <c r="DR46" s="152">
        <f t="array" ref="DR46">IF(DR$3&lt;=INDEX(Inputs!$C:$C,MATCH("End Year",Inputs!$B:$B,0))*12,IF(OR(DR$3=INDEX(Inputs!$C:$C,MATCH("*Seller Finance Balloon*",Inputs!$B:$B,0))*12,DR$3=INDEX(Inputs!$C:$C,MATCH("End Year",Inputs!$B:$B,0))*12),-MAX(DR42+DR43-DR45,0),0),0)</f>
        <v>0</v>
      </c>
      <c r="DS46" s="44">
        <f t="array" ref="DS46">IF(DS$3&lt;=INDEX(Inputs!$C:$C,MATCH("End Year",Inputs!$B:$B,0))*12,IF(OR(DS$3=INDEX(Inputs!$C:$C,MATCH("*Seller Finance Balloon*",Inputs!$B:$B,0))*12,DS$3=INDEX(Inputs!$C:$C,MATCH("End Year",Inputs!$B:$B,0))*12),-MAX(DS42+DS43-DS45,0),0),0)</f>
        <v>0</v>
      </c>
    </row>
    <row r="47" ht="15.0" customHeight="1">
      <c r="A47" s="44"/>
      <c r="B47" s="101" t="s">
        <v>344</v>
      </c>
      <c r="C47" s="173">
        <f t="array" ref="C47">IF(C$3&lt;=INDEX(Inputs!$C:$C,MATCH("End Year",Inputs!$B:$B,0))*12,MAX(C42+C43-C45+C46,0),0)</f>
        <v>0</v>
      </c>
      <c r="D47" s="173">
        <f t="array" ref="D47">IF(D$3&lt;=INDEX(Inputs!$C:$C,MATCH("End Year",Inputs!$B:$B,0))*12,MAX(D42+D43-D45+D46,0),0)</f>
        <v>0</v>
      </c>
      <c r="E47" s="173">
        <f t="array" ref="E47">IF(E$3&lt;=INDEX(Inputs!$C:$C,MATCH("End Year",Inputs!$B:$B,0))*12,MAX(E42+E43-E45+E46,0),0)</f>
        <v>0</v>
      </c>
      <c r="F47" s="173">
        <f t="array" ref="F47">IF(F$3&lt;=INDEX(Inputs!$C:$C,MATCH("End Year",Inputs!$B:$B,0))*12,MAX(F42+F43-F45+F46,0),0)</f>
        <v>0</v>
      </c>
      <c r="G47" s="173">
        <f t="array" ref="G47">IF(G$3&lt;=INDEX(Inputs!$C:$C,MATCH("End Year",Inputs!$B:$B,0))*12,MAX(G42+G43-G45+G46,0),0)</f>
        <v>0</v>
      </c>
      <c r="H47" s="173">
        <f t="array" ref="H47">IF(H$3&lt;=INDEX(Inputs!$C:$C,MATCH("End Year",Inputs!$B:$B,0))*12,MAX(H42+H43-H45+H46,0),0)</f>
        <v>0</v>
      </c>
      <c r="I47" s="173">
        <f t="array" ref="I47">IF(I$3&lt;=INDEX(Inputs!$C:$C,MATCH("End Year",Inputs!$B:$B,0))*12,MAX(I42+I43-I45+I46,0),0)</f>
        <v>0</v>
      </c>
      <c r="J47" s="173">
        <f t="array" ref="J47">IF(J$3&lt;=INDEX(Inputs!$C:$C,MATCH("End Year",Inputs!$B:$B,0))*12,MAX(J42+J43-J45+J46,0),0)</f>
        <v>0</v>
      </c>
      <c r="K47" s="173">
        <f t="array" ref="K47">IF(K$3&lt;=INDEX(Inputs!$C:$C,MATCH("End Year",Inputs!$B:$B,0))*12,MAX(K42+K43-K45+K46,0),0)</f>
        <v>0</v>
      </c>
      <c r="L47" s="173">
        <f t="array" ref="L47">IF(L$3&lt;=INDEX(Inputs!$C:$C,MATCH("End Year",Inputs!$B:$B,0))*12,MAX(L42+L43-L45+L46,0),0)</f>
        <v>0</v>
      </c>
      <c r="M47" s="173">
        <f t="array" ref="M47">IF(M$3&lt;=INDEX(Inputs!$C:$C,MATCH("End Year",Inputs!$B:$B,0))*12,MAX(M42+M43-M45+M46,0),0)</f>
        <v>0</v>
      </c>
      <c r="N47" s="173">
        <f t="array" ref="N47">IF(N$3&lt;=INDEX(Inputs!$C:$C,MATCH("End Year",Inputs!$B:$B,0))*12,MAX(N42+N43-N45+N46,0),0)</f>
        <v>0</v>
      </c>
      <c r="O47" s="173">
        <f t="array" ref="O47">IF(O$3&lt;=INDEX(Inputs!$C:$C,MATCH("End Year",Inputs!$B:$B,0))*12,MAX(O42+O43-O45+O46,0),0)</f>
        <v>0</v>
      </c>
      <c r="P47" s="173">
        <f t="array" ref="P47">IF(P$3&lt;=INDEX(Inputs!$C:$C,MATCH("End Year",Inputs!$B:$B,0))*12,MAX(P42+P43-P45+P46,0),0)</f>
        <v>0</v>
      </c>
      <c r="Q47" s="173">
        <f t="array" ref="Q47">IF(Q$3&lt;=INDEX(Inputs!$C:$C,MATCH("End Year",Inputs!$B:$B,0))*12,MAX(Q42+Q43-Q45+Q46,0),0)</f>
        <v>0</v>
      </c>
      <c r="R47" s="173">
        <f t="array" ref="R47">IF(R$3&lt;=INDEX(Inputs!$C:$C,MATCH("End Year",Inputs!$B:$B,0))*12,MAX(R42+R43-R45+R46,0),0)</f>
        <v>0</v>
      </c>
      <c r="S47" s="173">
        <f t="array" ref="S47">IF(S$3&lt;=INDEX(Inputs!$C:$C,MATCH("End Year",Inputs!$B:$B,0))*12,MAX(S42+S43-S45+S46,0),0)</f>
        <v>0</v>
      </c>
      <c r="T47" s="173">
        <f t="array" ref="T47">IF(T$3&lt;=INDEX(Inputs!$C:$C,MATCH("End Year",Inputs!$B:$B,0))*12,MAX(T42+T43-T45+T46,0),0)</f>
        <v>0</v>
      </c>
      <c r="U47" s="173">
        <f t="array" ref="U47">IF(U$3&lt;=INDEX(Inputs!$C:$C,MATCH("End Year",Inputs!$B:$B,0))*12,MAX(U42+U43-U45+U46,0),0)</f>
        <v>0</v>
      </c>
      <c r="V47" s="173">
        <f t="array" ref="V47">IF(V$3&lt;=INDEX(Inputs!$C:$C,MATCH("End Year",Inputs!$B:$B,0))*12,MAX(V42+V43-V45+V46,0),0)</f>
        <v>0</v>
      </c>
      <c r="W47" s="173">
        <f t="array" ref="W47">IF(W$3&lt;=INDEX(Inputs!$C:$C,MATCH("End Year",Inputs!$B:$B,0))*12,MAX(W42+W43-W45+W46,0),0)</f>
        <v>0</v>
      </c>
      <c r="X47" s="173">
        <f t="array" ref="X47">IF(X$3&lt;=INDEX(Inputs!$C:$C,MATCH("End Year",Inputs!$B:$B,0))*12,MAX(X42+X43-X45+X46,0),0)</f>
        <v>0</v>
      </c>
      <c r="Y47" s="173">
        <f t="array" ref="Y47">IF(Y$3&lt;=INDEX(Inputs!$C:$C,MATCH("End Year",Inputs!$B:$B,0))*12,MAX(Y42+Y43-Y45+Y46,0),0)</f>
        <v>0</v>
      </c>
      <c r="Z47" s="173">
        <f t="array" ref="Z47">IF(Z$3&lt;=INDEX(Inputs!$C:$C,MATCH("End Year",Inputs!$B:$B,0))*12,MAX(Z42+Z43-Z45+Z46,0),0)</f>
        <v>0</v>
      </c>
      <c r="AA47" s="173">
        <f t="array" ref="AA47">IF(AA$3&lt;=INDEX(Inputs!$C:$C,MATCH("End Year",Inputs!$B:$B,0))*12,MAX(AA42+AA43-AA45+AA46,0),0)</f>
        <v>0</v>
      </c>
      <c r="AB47" s="173">
        <f t="array" ref="AB47">IF(AB$3&lt;=INDEX(Inputs!$C:$C,MATCH("End Year",Inputs!$B:$B,0))*12,MAX(AB42+AB43-AB45+AB46,0),0)</f>
        <v>0</v>
      </c>
      <c r="AC47" s="173">
        <f t="array" ref="AC47">IF(AC$3&lt;=INDEX(Inputs!$C:$C,MATCH("End Year",Inputs!$B:$B,0))*12,MAX(AC42+AC43-AC45+AC46,0),0)</f>
        <v>0</v>
      </c>
      <c r="AD47" s="173">
        <f t="array" ref="AD47">IF(AD$3&lt;=INDEX(Inputs!$C:$C,MATCH("End Year",Inputs!$B:$B,0))*12,MAX(AD42+AD43-AD45+AD46,0),0)</f>
        <v>0</v>
      </c>
      <c r="AE47" s="173">
        <f t="array" ref="AE47">IF(AE$3&lt;=INDEX(Inputs!$C:$C,MATCH("End Year",Inputs!$B:$B,0))*12,MAX(AE42+AE43-AE45+AE46,0),0)</f>
        <v>0</v>
      </c>
      <c r="AF47" s="173">
        <f t="array" ref="AF47">IF(AF$3&lt;=INDEX(Inputs!$C:$C,MATCH("End Year",Inputs!$B:$B,0))*12,MAX(AF42+AF43-AF45+AF46,0),0)</f>
        <v>0</v>
      </c>
      <c r="AG47" s="173">
        <f t="array" ref="AG47">IF(AG$3&lt;=INDEX(Inputs!$C:$C,MATCH("End Year",Inputs!$B:$B,0))*12,MAX(AG42+AG43-AG45+AG46,0),0)</f>
        <v>0</v>
      </c>
      <c r="AH47" s="173">
        <f t="array" ref="AH47">IF(AH$3&lt;=INDEX(Inputs!$C:$C,MATCH("End Year",Inputs!$B:$B,0))*12,MAX(AH42+AH43-AH45+AH46,0),0)</f>
        <v>0</v>
      </c>
      <c r="AI47" s="173">
        <f t="array" ref="AI47">IF(AI$3&lt;=INDEX(Inputs!$C:$C,MATCH("End Year",Inputs!$B:$B,0))*12,MAX(AI42+AI43-AI45+AI46,0),0)</f>
        <v>0</v>
      </c>
      <c r="AJ47" s="173">
        <f t="array" ref="AJ47">IF(AJ$3&lt;=INDEX(Inputs!$C:$C,MATCH("End Year",Inputs!$B:$B,0))*12,MAX(AJ42+AJ43-AJ45+AJ46,0),0)</f>
        <v>0</v>
      </c>
      <c r="AK47" s="173">
        <f t="array" ref="AK47">IF(AK$3&lt;=INDEX(Inputs!$C:$C,MATCH("End Year",Inputs!$B:$B,0))*12,MAX(AK42+AK43-AK45+AK46,0),0)</f>
        <v>0</v>
      </c>
      <c r="AL47" s="173">
        <f t="array" ref="AL47">IF(AL$3&lt;=INDEX(Inputs!$C:$C,MATCH("End Year",Inputs!$B:$B,0))*12,MAX(AL42+AL43-AL45+AL46,0),0)</f>
        <v>0</v>
      </c>
      <c r="AM47" s="173">
        <f t="array" ref="AM47">IF(AM$3&lt;=INDEX(Inputs!$C:$C,MATCH("End Year",Inputs!$B:$B,0))*12,MAX(AM42+AM43-AM45+AM46,0),0)</f>
        <v>0</v>
      </c>
      <c r="AN47" s="173">
        <f t="array" ref="AN47">IF(AN$3&lt;=INDEX(Inputs!$C:$C,MATCH("End Year",Inputs!$B:$B,0))*12,MAX(AN42+AN43-AN45+AN46,0),0)</f>
        <v>0</v>
      </c>
      <c r="AO47" s="173">
        <f t="array" ref="AO47">IF(AO$3&lt;=INDEX(Inputs!$C:$C,MATCH("End Year",Inputs!$B:$B,0))*12,MAX(AO42+AO43-AO45+AO46,0),0)</f>
        <v>0</v>
      </c>
      <c r="AP47" s="173">
        <f t="array" ref="AP47">IF(AP$3&lt;=INDEX(Inputs!$C:$C,MATCH("End Year",Inputs!$B:$B,0))*12,MAX(AP42+AP43-AP45+AP46,0),0)</f>
        <v>0</v>
      </c>
      <c r="AQ47" s="173">
        <f t="array" ref="AQ47">IF(AQ$3&lt;=INDEX(Inputs!$C:$C,MATCH("End Year",Inputs!$B:$B,0))*12,MAX(AQ42+AQ43-AQ45+AQ46,0),0)</f>
        <v>0</v>
      </c>
      <c r="AR47" s="173">
        <f t="array" ref="AR47">IF(AR$3&lt;=INDEX(Inputs!$C:$C,MATCH("End Year",Inputs!$B:$B,0))*12,MAX(AR42+AR43-AR45+AR46,0),0)</f>
        <v>0</v>
      </c>
      <c r="AS47" s="173">
        <f t="array" ref="AS47">IF(AS$3&lt;=INDEX(Inputs!$C:$C,MATCH("End Year",Inputs!$B:$B,0))*12,MAX(AS42+AS43-AS45+AS46,0),0)</f>
        <v>0</v>
      </c>
      <c r="AT47" s="173">
        <f t="array" ref="AT47">IF(AT$3&lt;=INDEX(Inputs!$C:$C,MATCH("End Year",Inputs!$B:$B,0))*12,MAX(AT42+AT43-AT45+AT46,0),0)</f>
        <v>0</v>
      </c>
      <c r="AU47" s="173">
        <f t="array" ref="AU47">IF(AU$3&lt;=INDEX(Inputs!$C:$C,MATCH("End Year",Inputs!$B:$B,0))*12,MAX(AU42+AU43-AU45+AU46,0),0)</f>
        <v>0</v>
      </c>
      <c r="AV47" s="173">
        <f t="array" ref="AV47">IF(AV$3&lt;=INDEX(Inputs!$C:$C,MATCH("End Year",Inputs!$B:$B,0))*12,MAX(AV42+AV43-AV45+AV46,0),0)</f>
        <v>0</v>
      </c>
      <c r="AW47" s="173">
        <f t="array" ref="AW47">IF(AW$3&lt;=INDEX(Inputs!$C:$C,MATCH("End Year",Inputs!$B:$B,0))*12,MAX(AW42+AW43-AW45+AW46,0),0)</f>
        <v>0</v>
      </c>
      <c r="AX47" s="173">
        <f t="array" ref="AX47">IF(AX$3&lt;=INDEX(Inputs!$C:$C,MATCH("End Year",Inputs!$B:$B,0))*12,MAX(AX42+AX43-AX45+AX46,0),0)</f>
        <v>0</v>
      </c>
      <c r="AY47" s="173">
        <f t="array" ref="AY47">IF(AY$3&lt;=INDEX(Inputs!$C:$C,MATCH("End Year",Inputs!$B:$B,0))*12,MAX(AY42+AY43-AY45+AY46,0),0)</f>
        <v>0</v>
      </c>
      <c r="AZ47" s="173">
        <f t="array" ref="AZ47">IF(AZ$3&lt;=INDEX(Inputs!$C:$C,MATCH("End Year",Inputs!$B:$B,0))*12,MAX(AZ42+AZ43-AZ45+AZ46,0),0)</f>
        <v>0</v>
      </c>
      <c r="BA47" s="173">
        <f t="array" ref="BA47">IF(BA$3&lt;=INDEX(Inputs!$C:$C,MATCH("End Year",Inputs!$B:$B,0))*12,MAX(BA42+BA43-BA45+BA46,0),0)</f>
        <v>0</v>
      </c>
      <c r="BB47" s="173">
        <f t="array" ref="BB47">IF(BB$3&lt;=INDEX(Inputs!$C:$C,MATCH("End Year",Inputs!$B:$B,0))*12,MAX(BB42+BB43-BB45+BB46,0),0)</f>
        <v>0</v>
      </c>
      <c r="BC47" s="173">
        <f t="array" ref="BC47">IF(BC$3&lt;=INDEX(Inputs!$C:$C,MATCH("End Year",Inputs!$B:$B,0))*12,MAX(BC42+BC43-BC45+BC46,0),0)</f>
        <v>0</v>
      </c>
      <c r="BD47" s="173">
        <f t="array" ref="BD47">IF(BD$3&lt;=INDEX(Inputs!$C:$C,MATCH("End Year",Inputs!$B:$B,0))*12,MAX(BD42+BD43-BD45+BD46,0),0)</f>
        <v>0</v>
      </c>
      <c r="BE47" s="173">
        <f t="array" ref="BE47">IF(BE$3&lt;=INDEX(Inputs!$C:$C,MATCH("End Year",Inputs!$B:$B,0))*12,MAX(BE42+BE43-BE45+BE46,0),0)</f>
        <v>0</v>
      </c>
      <c r="BF47" s="173">
        <f t="array" ref="BF47">IF(BF$3&lt;=INDEX(Inputs!$C:$C,MATCH("End Year",Inputs!$B:$B,0))*12,MAX(BF42+BF43-BF45+BF46,0),0)</f>
        <v>0</v>
      </c>
      <c r="BG47" s="173">
        <f t="array" ref="BG47">IF(BG$3&lt;=INDEX(Inputs!$C:$C,MATCH("End Year",Inputs!$B:$B,0))*12,MAX(BG42+BG43-BG45+BG46,0),0)</f>
        <v>0</v>
      </c>
      <c r="BH47" s="173">
        <f t="array" ref="BH47">IF(BH$3&lt;=INDEX(Inputs!$C:$C,MATCH("End Year",Inputs!$B:$B,0))*12,MAX(BH42+BH43-BH45+BH46,0),0)</f>
        <v>0</v>
      </c>
      <c r="BI47" s="173">
        <f t="array" ref="BI47">IF(BI$3&lt;=INDEX(Inputs!$C:$C,MATCH("End Year",Inputs!$B:$B,0))*12,MAX(BI42+BI43-BI45+BI46,0),0)</f>
        <v>0</v>
      </c>
      <c r="BJ47" s="173">
        <f t="array" ref="BJ47">IF(BJ$3&lt;=INDEX(Inputs!$C:$C,MATCH("End Year",Inputs!$B:$B,0))*12,MAX(BJ42+BJ43-BJ45+BJ46,0),0)</f>
        <v>0</v>
      </c>
      <c r="BK47" s="173">
        <f t="array" ref="BK47">IF(BK$3&lt;=INDEX(Inputs!$C:$C,MATCH("End Year",Inputs!$B:$B,0))*12,MAX(BK42+BK43-BK45+BK46,0),0)</f>
        <v>0</v>
      </c>
      <c r="BL47" s="173">
        <f t="array" ref="BL47">IF(BL$3&lt;=INDEX(Inputs!$C:$C,MATCH("End Year",Inputs!$B:$B,0))*12,MAX(BL42+BL43-BL45+BL46,0),0)</f>
        <v>0</v>
      </c>
      <c r="BM47" s="173">
        <f t="array" ref="BM47">IF(BM$3&lt;=INDEX(Inputs!$C:$C,MATCH("End Year",Inputs!$B:$B,0))*12,MAX(BM42+BM43-BM45+BM46,0),0)</f>
        <v>0</v>
      </c>
      <c r="BN47" s="173">
        <f t="array" ref="BN47">IF(BN$3&lt;=INDEX(Inputs!$C:$C,MATCH("End Year",Inputs!$B:$B,0))*12,MAX(BN42+BN43-BN45+BN46,0),0)</f>
        <v>0</v>
      </c>
      <c r="BO47" s="173">
        <f t="array" ref="BO47">IF(BO$3&lt;=INDEX(Inputs!$C:$C,MATCH("End Year",Inputs!$B:$B,0))*12,MAX(BO42+BO43-BO45+BO46,0),0)</f>
        <v>0</v>
      </c>
      <c r="BP47" s="173">
        <f t="array" ref="BP47">IF(BP$3&lt;=INDEX(Inputs!$C:$C,MATCH("End Year",Inputs!$B:$B,0))*12,MAX(BP42+BP43-BP45+BP46,0),0)</f>
        <v>0</v>
      </c>
      <c r="BQ47" s="173">
        <f t="array" ref="BQ47">IF(BQ$3&lt;=INDEX(Inputs!$C:$C,MATCH("End Year",Inputs!$B:$B,0))*12,MAX(BQ42+BQ43-BQ45+BQ46,0),0)</f>
        <v>0</v>
      </c>
      <c r="BR47" s="173">
        <f t="array" ref="BR47">IF(BR$3&lt;=INDEX(Inputs!$C:$C,MATCH("End Year",Inputs!$B:$B,0))*12,MAX(BR42+BR43-BR45+BR46,0),0)</f>
        <v>0</v>
      </c>
      <c r="BS47" s="173">
        <f t="array" ref="BS47">IF(BS$3&lt;=INDEX(Inputs!$C:$C,MATCH("End Year",Inputs!$B:$B,0))*12,MAX(BS42+BS43-BS45+BS46,0),0)</f>
        <v>0</v>
      </c>
      <c r="BT47" s="173">
        <f t="array" ref="BT47">IF(BT$3&lt;=INDEX(Inputs!$C:$C,MATCH("End Year",Inputs!$B:$B,0))*12,MAX(BT42+BT43-BT45+BT46,0),0)</f>
        <v>0</v>
      </c>
      <c r="BU47" s="173">
        <f t="array" ref="BU47">IF(BU$3&lt;=INDEX(Inputs!$C:$C,MATCH("End Year",Inputs!$B:$B,0))*12,MAX(BU42+BU43-BU45+BU46,0),0)</f>
        <v>0</v>
      </c>
      <c r="BV47" s="173">
        <f t="array" ref="BV47">IF(BV$3&lt;=INDEX(Inputs!$C:$C,MATCH("End Year",Inputs!$B:$B,0))*12,MAX(BV42+BV43-BV45+BV46,0),0)</f>
        <v>0</v>
      </c>
      <c r="BW47" s="173">
        <f t="array" ref="BW47">IF(BW$3&lt;=INDEX(Inputs!$C:$C,MATCH("End Year",Inputs!$B:$B,0))*12,MAX(BW42+BW43-BW45+BW46,0),0)</f>
        <v>0</v>
      </c>
      <c r="BX47" s="173">
        <f t="array" ref="BX47">IF(BX$3&lt;=INDEX(Inputs!$C:$C,MATCH("End Year",Inputs!$B:$B,0))*12,MAX(BX42+BX43-BX45+BX46,0),0)</f>
        <v>0</v>
      </c>
      <c r="BY47" s="173">
        <f t="array" ref="BY47">IF(BY$3&lt;=INDEX(Inputs!$C:$C,MATCH("End Year",Inputs!$B:$B,0))*12,MAX(BY42+BY43-BY45+BY46,0),0)</f>
        <v>0</v>
      </c>
      <c r="BZ47" s="173">
        <f t="array" ref="BZ47">IF(BZ$3&lt;=INDEX(Inputs!$C:$C,MATCH("End Year",Inputs!$B:$B,0))*12,MAX(BZ42+BZ43-BZ45+BZ46,0),0)</f>
        <v>0</v>
      </c>
      <c r="CA47" s="173">
        <f t="array" ref="CA47">IF(CA$3&lt;=INDEX(Inputs!$C:$C,MATCH("End Year",Inputs!$B:$B,0))*12,MAX(CA42+CA43-CA45+CA46,0),0)</f>
        <v>0</v>
      </c>
      <c r="CB47" s="173">
        <f t="array" ref="CB47">IF(CB$3&lt;=INDEX(Inputs!$C:$C,MATCH("End Year",Inputs!$B:$B,0))*12,MAX(CB42+CB43-CB45+CB46,0),0)</f>
        <v>0</v>
      </c>
      <c r="CC47" s="173">
        <f t="array" ref="CC47">IF(CC$3&lt;=INDEX(Inputs!$C:$C,MATCH("End Year",Inputs!$B:$B,0))*12,MAX(CC42+CC43-CC45+CC46,0),0)</f>
        <v>0</v>
      </c>
      <c r="CD47" s="173">
        <f t="array" ref="CD47">IF(CD$3&lt;=INDEX(Inputs!$C:$C,MATCH("End Year",Inputs!$B:$B,0))*12,MAX(CD42+CD43-CD45+CD46,0),0)</f>
        <v>0</v>
      </c>
      <c r="CE47" s="173">
        <f t="array" ref="CE47">IF(CE$3&lt;=INDEX(Inputs!$C:$C,MATCH("End Year",Inputs!$B:$B,0))*12,MAX(CE42+CE43-CE45+CE46,0),0)</f>
        <v>0</v>
      </c>
      <c r="CF47" s="173">
        <f t="array" ref="CF47">IF(CF$3&lt;=INDEX(Inputs!$C:$C,MATCH("End Year",Inputs!$B:$B,0))*12,MAX(CF42+CF43-CF45+CF46,0),0)</f>
        <v>0</v>
      </c>
      <c r="CG47" s="173">
        <f t="array" ref="CG47">IF(CG$3&lt;=INDEX(Inputs!$C:$C,MATCH("End Year",Inputs!$B:$B,0))*12,MAX(CG42+CG43-CG45+CG46,0),0)</f>
        <v>0</v>
      </c>
      <c r="CH47" s="173">
        <f t="array" ref="CH47">IF(CH$3&lt;=INDEX(Inputs!$C:$C,MATCH("End Year",Inputs!$B:$B,0))*12,MAX(CH42+CH43-CH45+CH46,0),0)</f>
        <v>0</v>
      </c>
      <c r="CI47" s="173">
        <f t="array" ref="CI47">IF(CI$3&lt;=INDEX(Inputs!$C:$C,MATCH("End Year",Inputs!$B:$B,0))*12,MAX(CI42+CI43-CI45+CI46,0),0)</f>
        <v>0</v>
      </c>
      <c r="CJ47" s="173">
        <f t="array" ref="CJ47">IF(CJ$3&lt;=INDEX(Inputs!$C:$C,MATCH("End Year",Inputs!$B:$B,0))*12,MAX(CJ42+CJ43-CJ45+CJ46,0),0)</f>
        <v>0</v>
      </c>
      <c r="CK47" s="173">
        <f t="array" ref="CK47">IF(CK$3&lt;=INDEX(Inputs!$C:$C,MATCH("End Year",Inputs!$B:$B,0))*12,MAX(CK42+CK43-CK45+CK46,0),0)</f>
        <v>0</v>
      </c>
      <c r="CL47" s="173">
        <f t="array" ref="CL47">IF(CL$3&lt;=INDEX(Inputs!$C:$C,MATCH("End Year",Inputs!$B:$B,0))*12,MAX(CL42+CL43-CL45+CL46,0),0)</f>
        <v>0</v>
      </c>
      <c r="CM47" s="173">
        <f t="array" ref="CM47">IF(CM$3&lt;=INDEX(Inputs!$C:$C,MATCH("End Year",Inputs!$B:$B,0))*12,MAX(CM42+CM43-CM45+CM46,0),0)</f>
        <v>0</v>
      </c>
      <c r="CN47" s="173">
        <f t="array" ref="CN47">IF(CN$3&lt;=INDEX(Inputs!$C:$C,MATCH("End Year",Inputs!$B:$B,0))*12,MAX(CN42+CN43-CN45+CN46,0),0)</f>
        <v>0</v>
      </c>
      <c r="CO47" s="173">
        <f t="array" ref="CO47">IF(CO$3&lt;=INDEX(Inputs!$C:$C,MATCH("End Year",Inputs!$B:$B,0))*12,MAX(CO42+CO43-CO45+CO46,0),0)</f>
        <v>0</v>
      </c>
      <c r="CP47" s="173">
        <f t="array" ref="CP47">IF(CP$3&lt;=INDEX(Inputs!$C:$C,MATCH("End Year",Inputs!$B:$B,0))*12,MAX(CP42+CP43-CP45+CP46,0),0)</f>
        <v>0</v>
      </c>
      <c r="CQ47" s="173">
        <f t="array" ref="CQ47">IF(CQ$3&lt;=INDEX(Inputs!$C:$C,MATCH("End Year",Inputs!$B:$B,0))*12,MAX(CQ42+CQ43-CQ45+CQ46,0),0)</f>
        <v>0</v>
      </c>
      <c r="CR47" s="173">
        <f t="array" ref="CR47">IF(CR$3&lt;=INDEX(Inputs!$C:$C,MATCH("End Year",Inputs!$B:$B,0))*12,MAX(CR42+CR43-CR45+CR46,0),0)</f>
        <v>0</v>
      </c>
      <c r="CS47" s="173">
        <f t="array" ref="CS47">IF(CS$3&lt;=INDEX(Inputs!$C:$C,MATCH("End Year",Inputs!$B:$B,0))*12,MAX(CS42+CS43-CS45+CS46,0),0)</f>
        <v>0</v>
      </c>
      <c r="CT47" s="173">
        <f t="array" ref="CT47">IF(CT$3&lt;=INDEX(Inputs!$C:$C,MATCH("End Year",Inputs!$B:$B,0))*12,MAX(CT42+CT43-CT45+CT46,0),0)</f>
        <v>0</v>
      </c>
      <c r="CU47" s="173">
        <f t="array" ref="CU47">IF(CU$3&lt;=INDEX(Inputs!$C:$C,MATCH("End Year",Inputs!$B:$B,0))*12,MAX(CU42+CU43-CU45+CU46,0),0)</f>
        <v>0</v>
      </c>
      <c r="CV47" s="173">
        <f t="array" ref="CV47">IF(CV$3&lt;=INDEX(Inputs!$C:$C,MATCH("End Year",Inputs!$B:$B,0))*12,MAX(CV42+CV43-CV45+CV46,0),0)</f>
        <v>0</v>
      </c>
      <c r="CW47" s="173">
        <f t="array" ref="CW47">IF(CW$3&lt;=INDEX(Inputs!$C:$C,MATCH("End Year",Inputs!$B:$B,0))*12,MAX(CW42+CW43-CW45+CW46,0),0)</f>
        <v>0</v>
      </c>
      <c r="CX47" s="173">
        <f t="array" ref="CX47">IF(CX$3&lt;=INDEX(Inputs!$C:$C,MATCH("End Year",Inputs!$B:$B,0))*12,MAX(CX42+CX43-CX45+CX46,0),0)</f>
        <v>0</v>
      </c>
      <c r="CY47" s="173">
        <f t="array" ref="CY47">IF(CY$3&lt;=INDEX(Inputs!$C:$C,MATCH("End Year",Inputs!$B:$B,0))*12,MAX(CY42+CY43-CY45+CY46,0),0)</f>
        <v>0</v>
      </c>
      <c r="CZ47" s="173">
        <f t="array" ref="CZ47">IF(CZ$3&lt;=INDEX(Inputs!$C:$C,MATCH("End Year",Inputs!$B:$B,0))*12,MAX(CZ42+CZ43-CZ45+CZ46,0),0)</f>
        <v>0</v>
      </c>
      <c r="DA47" s="173">
        <f t="array" ref="DA47">IF(DA$3&lt;=INDEX(Inputs!$C:$C,MATCH("End Year",Inputs!$B:$B,0))*12,MAX(DA42+DA43-DA45+DA46,0),0)</f>
        <v>0</v>
      </c>
      <c r="DB47" s="173">
        <f t="array" ref="DB47">IF(DB$3&lt;=INDEX(Inputs!$C:$C,MATCH("End Year",Inputs!$B:$B,0))*12,MAX(DB42+DB43-DB45+DB46,0),0)</f>
        <v>0</v>
      </c>
      <c r="DC47" s="173">
        <f t="array" ref="DC47">IF(DC$3&lt;=INDEX(Inputs!$C:$C,MATCH("End Year",Inputs!$B:$B,0))*12,MAX(DC42+DC43-DC45+DC46,0),0)</f>
        <v>0</v>
      </c>
      <c r="DD47" s="173">
        <f t="array" ref="DD47">IF(DD$3&lt;=INDEX(Inputs!$C:$C,MATCH("End Year",Inputs!$B:$B,0))*12,MAX(DD42+DD43-DD45+DD46,0),0)</f>
        <v>0</v>
      </c>
      <c r="DE47" s="173">
        <f t="array" ref="DE47">IF(DE$3&lt;=INDEX(Inputs!$C:$C,MATCH("End Year",Inputs!$B:$B,0))*12,MAX(DE42+DE43-DE45+DE46,0),0)</f>
        <v>0</v>
      </c>
      <c r="DF47" s="173">
        <f t="array" ref="DF47">IF(DF$3&lt;=INDEX(Inputs!$C:$C,MATCH("End Year",Inputs!$B:$B,0))*12,MAX(DF42+DF43-DF45+DF46,0),0)</f>
        <v>0</v>
      </c>
      <c r="DG47" s="173">
        <f t="array" ref="DG47">IF(DG$3&lt;=INDEX(Inputs!$C:$C,MATCH("End Year",Inputs!$B:$B,0))*12,MAX(DG42+DG43-DG45+DG46,0),0)</f>
        <v>0</v>
      </c>
      <c r="DH47" s="173">
        <f t="array" ref="DH47">IF(DH$3&lt;=INDEX(Inputs!$C:$C,MATCH("End Year",Inputs!$B:$B,0))*12,MAX(DH42+DH43-DH45+DH46,0),0)</f>
        <v>0</v>
      </c>
      <c r="DI47" s="173">
        <f t="array" ref="DI47">IF(DI$3&lt;=INDEX(Inputs!$C:$C,MATCH("End Year",Inputs!$B:$B,0))*12,MAX(DI42+DI43-DI45+DI46,0),0)</f>
        <v>0</v>
      </c>
      <c r="DJ47" s="173">
        <f t="array" ref="DJ47">IF(DJ$3&lt;=INDEX(Inputs!$C:$C,MATCH("End Year",Inputs!$B:$B,0))*12,MAX(DJ42+DJ43-DJ45+DJ46,0),0)</f>
        <v>0</v>
      </c>
      <c r="DK47" s="173">
        <f t="array" ref="DK47">IF(DK$3&lt;=INDEX(Inputs!$C:$C,MATCH("End Year",Inputs!$B:$B,0))*12,MAX(DK42+DK43-DK45+DK46,0),0)</f>
        <v>0</v>
      </c>
      <c r="DL47" s="173">
        <f t="array" ref="DL47">IF(DL$3&lt;=INDEX(Inputs!$C:$C,MATCH("End Year",Inputs!$B:$B,0))*12,MAX(DL42+DL43-DL45+DL46,0),0)</f>
        <v>0</v>
      </c>
      <c r="DM47" s="173">
        <f t="array" ref="DM47">IF(DM$3&lt;=INDEX(Inputs!$C:$C,MATCH("End Year",Inputs!$B:$B,0))*12,MAX(DM42+DM43-DM45+DM46,0),0)</f>
        <v>0</v>
      </c>
      <c r="DN47" s="173">
        <f t="array" ref="DN47">IF(DN$3&lt;=INDEX(Inputs!$C:$C,MATCH("End Year",Inputs!$B:$B,0))*12,MAX(DN42+DN43-DN45+DN46,0),0)</f>
        <v>0</v>
      </c>
      <c r="DO47" s="173">
        <f t="array" ref="DO47">IF(DO$3&lt;=INDEX(Inputs!$C:$C,MATCH("End Year",Inputs!$B:$B,0))*12,MAX(DO42+DO43-DO45+DO46,0),0)</f>
        <v>0</v>
      </c>
      <c r="DP47" s="173">
        <f t="array" ref="DP47">IF(DP$3&lt;=INDEX(Inputs!$C:$C,MATCH("End Year",Inputs!$B:$B,0))*12,MAX(DP42+DP43-DP45+DP46,0),0)</f>
        <v>0</v>
      </c>
      <c r="DQ47" s="173">
        <f t="array" ref="DQ47">IF(DQ$3&lt;=INDEX(Inputs!$C:$C,MATCH("End Year",Inputs!$B:$B,0))*12,MAX(DQ42+DQ43-DQ45+DQ46,0),0)</f>
        <v>0</v>
      </c>
      <c r="DR47" s="173">
        <f t="array" ref="DR47">IF(DR$3&lt;=INDEX(Inputs!$C:$C,MATCH("End Year",Inputs!$B:$B,0))*12,MAX(DR42+DR43-DR45+DR46,0),0)</f>
        <v>0</v>
      </c>
      <c r="DS47" s="44">
        <f t="array" ref="DS47">IF(DS$3&lt;=INDEX(Inputs!$C:$C,MATCH("End Year",Inputs!$B:$B,0))*12,MAX(DS42+DS43-DS45+DS46,0),0)</f>
        <v>0</v>
      </c>
    </row>
    <row r="48" ht="15.0" customHeight="1">
      <c r="A48" s="44"/>
      <c r="B48" s="46" t="s">
        <v>345</v>
      </c>
      <c r="C48" s="152">
        <f t="array" ref="C48">IF(C$3&lt;=INDEX(Inputs!$C:$C,MATCH("End Year",Inputs!$B:$B,0))*12,C44-C45+C46,0)</f>
        <v>0</v>
      </c>
      <c r="D48" s="152">
        <f t="array" ref="D48">IF(D$3&lt;=INDEX(Inputs!$C:$C,MATCH("End Year",Inputs!$B:$B,0))*12,D44-D45+D46,0)</f>
        <v>0</v>
      </c>
      <c r="E48" s="152">
        <f t="array" ref="E48">IF(E$3&lt;=INDEX(Inputs!$C:$C,MATCH("End Year",Inputs!$B:$B,0))*12,E44-E45+E46,0)</f>
        <v>0</v>
      </c>
      <c r="F48" s="152">
        <f t="array" ref="F48">IF(F$3&lt;=INDEX(Inputs!$C:$C,MATCH("End Year",Inputs!$B:$B,0))*12,F44-F45+F46,0)</f>
        <v>0</v>
      </c>
      <c r="G48" s="152">
        <f t="array" ref="G48">IF(G$3&lt;=INDEX(Inputs!$C:$C,MATCH("End Year",Inputs!$B:$B,0))*12,G44-G45+G46,0)</f>
        <v>0</v>
      </c>
      <c r="H48" s="152">
        <f t="array" ref="H48">IF(H$3&lt;=INDEX(Inputs!$C:$C,MATCH("End Year",Inputs!$B:$B,0))*12,H44-H45+H46,0)</f>
        <v>0</v>
      </c>
      <c r="I48" s="152">
        <f t="array" ref="I48">IF(I$3&lt;=INDEX(Inputs!$C:$C,MATCH("End Year",Inputs!$B:$B,0))*12,I44-I45+I46,0)</f>
        <v>0</v>
      </c>
      <c r="J48" s="152">
        <f t="array" ref="J48">IF(J$3&lt;=INDEX(Inputs!$C:$C,MATCH("End Year",Inputs!$B:$B,0))*12,J44-J45+J46,0)</f>
        <v>0</v>
      </c>
      <c r="K48" s="152">
        <f t="array" ref="K48">IF(K$3&lt;=INDEX(Inputs!$C:$C,MATCH("End Year",Inputs!$B:$B,0))*12,K44-K45+K46,0)</f>
        <v>0</v>
      </c>
      <c r="L48" s="152">
        <f t="array" ref="L48">IF(L$3&lt;=INDEX(Inputs!$C:$C,MATCH("End Year",Inputs!$B:$B,0))*12,L44-L45+L46,0)</f>
        <v>0</v>
      </c>
      <c r="M48" s="152">
        <f t="array" ref="M48">IF(M$3&lt;=INDEX(Inputs!$C:$C,MATCH("End Year",Inputs!$B:$B,0))*12,M44-M45+M46,0)</f>
        <v>0</v>
      </c>
      <c r="N48" s="152">
        <f t="array" ref="N48">IF(N$3&lt;=INDEX(Inputs!$C:$C,MATCH("End Year",Inputs!$B:$B,0))*12,N44-N45+N46,0)</f>
        <v>0</v>
      </c>
      <c r="O48" s="152">
        <f t="array" ref="O48">IF(O$3&lt;=INDEX(Inputs!$C:$C,MATCH("End Year",Inputs!$B:$B,0))*12,O44-O45+O46,0)</f>
        <v>0</v>
      </c>
      <c r="P48" s="152">
        <f t="array" ref="P48">IF(P$3&lt;=INDEX(Inputs!$C:$C,MATCH("End Year",Inputs!$B:$B,0))*12,P44-P45+P46,0)</f>
        <v>0</v>
      </c>
      <c r="Q48" s="152">
        <f t="array" ref="Q48">IF(Q$3&lt;=INDEX(Inputs!$C:$C,MATCH("End Year",Inputs!$B:$B,0))*12,Q44-Q45+Q46,0)</f>
        <v>0</v>
      </c>
      <c r="R48" s="152">
        <f t="array" ref="R48">IF(R$3&lt;=INDEX(Inputs!$C:$C,MATCH("End Year",Inputs!$B:$B,0))*12,R44-R45+R46,0)</f>
        <v>0</v>
      </c>
      <c r="S48" s="152">
        <f t="array" ref="S48">IF(S$3&lt;=INDEX(Inputs!$C:$C,MATCH("End Year",Inputs!$B:$B,0))*12,S44-S45+S46,0)</f>
        <v>0</v>
      </c>
      <c r="T48" s="152">
        <f t="array" ref="T48">IF(T$3&lt;=INDEX(Inputs!$C:$C,MATCH("End Year",Inputs!$B:$B,0))*12,T44-T45+T46,0)</f>
        <v>0</v>
      </c>
      <c r="U48" s="152">
        <f t="array" ref="U48">IF(U$3&lt;=INDEX(Inputs!$C:$C,MATCH("End Year",Inputs!$B:$B,0))*12,U44-U45+U46,0)</f>
        <v>0</v>
      </c>
      <c r="V48" s="152">
        <f t="array" ref="V48">IF(V$3&lt;=INDEX(Inputs!$C:$C,MATCH("End Year",Inputs!$B:$B,0))*12,V44-V45+V46,0)</f>
        <v>0</v>
      </c>
      <c r="W48" s="152">
        <f t="array" ref="W48">IF(W$3&lt;=INDEX(Inputs!$C:$C,MATCH("End Year",Inputs!$B:$B,0))*12,W44-W45+W46,0)</f>
        <v>0</v>
      </c>
      <c r="X48" s="152">
        <f t="array" ref="X48">IF(X$3&lt;=INDEX(Inputs!$C:$C,MATCH("End Year",Inputs!$B:$B,0))*12,X44-X45+X46,0)</f>
        <v>0</v>
      </c>
      <c r="Y48" s="152">
        <f t="array" ref="Y48">IF(Y$3&lt;=INDEX(Inputs!$C:$C,MATCH("End Year",Inputs!$B:$B,0))*12,Y44-Y45+Y46,0)</f>
        <v>0</v>
      </c>
      <c r="Z48" s="152">
        <f t="array" ref="Z48">IF(Z$3&lt;=INDEX(Inputs!$C:$C,MATCH("End Year",Inputs!$B:$B,0))*12,Z44-Z45+Z46,0)</f>
        <v>0</v>
      </c>
      <c r="AA48" s="152">
        <f t="array" ref="AA48">IF(AA$3&lt;=INDEX(Inputs!$C:$C,MATCH("End Year",Inputs!$B:$B,0))*12,AA44-AA45+AA46,0)</f>
        <v>0</v>
      </c>
      <c r="AB48" s="152">
        <f t="array" ref="AB48">IF(AB$3&lt;=INDEX(Inputs!$C:$C,MATCH("End Year",Inputs!$B:$B,0))*12,AB44-AB45+AB46,0)</f>
        <v>0</v>
      </c>
      <c r="AC48" s="152">
        <f t="array" ref="AC48">IF(AC$3&lt;=INDEX(Inputs!$C:$C,MATCH("End Year",Inputs!$B:$B,0))*12,AC44-AC45+AC46,0)</f>
        <v>0</v>
      </c>
      <c r="AD48" s="152">
        <f t="array" ref="AD48">IF(AD$3&lt;=INDEX(Inputs!$C:$C,MATCH("End Year",Inputs!$B:$B,0))*12,AD44-AD45+AD46,0)</f>
        <v>0</v>
      </c>
      <c r="AE48" s="152">
        <f t="array" ref="AE48">IF(AE$3&lt;=INDEX(Inputs!$C:$C,MATCH("End Year",Inputs!$B:$B,0))*12,AE44-AE45+AE46,0)</f>
        <v>0</v>
      </c>
      <c r="AF48" s="152">
        <f t="array" ref="AF48">IF(AF$3&lt;=INDEX(Inputs!$C:$C,MATCH("End Year",Inputs!$B:$B,0))*12,AF44-AF45+AF46,0)</f>
        <v>0</v>
      </c>
      <c r="AG48" s="152">
        <f t="array" ref="AG48">IF(AG$3&lt;=INDEX(Inputs!$C:$C,MATCH("End Year",Inputs!$B:$B,0))*12,AG44-AG45+AG46,0)</f>
        <v>0</v>
      </c>
      <c r="AH48" s="152">
        <f t="array" ref="AH48">IF(AH$3&lt;=INDEX(Inputs!$C:$C,MATCH("End Year",Inputs!$B:$B,0))*12,AH44-AH45+AH46,0)</f>
        <v>0</v>
      </c>
      <c r="AI48" s="152">
        <f t="array" ref="AI48">IF(AI$3&lt;=INDEX(Inputs!$C:$C,MATCH("End Year",Inputs!$B:$B,0))*12,AI44-AI45+AI46,0)</f>
        <v>0</v>
      </c>
      <c r="AJ48" s="152">
        <f t="array" ref="AJ48">IF(AJ$3&lt;=INDEX(Inputs!$C:$C,MATCH("End Year",Inputs!$B:$B,0))*12,AJ44-AJ45+AJ46,0)</f>
        <v>0</v>
      </c>
      <c r="AK48" s="152">
        <f t="array" ref="AK48">IF(AK$3&lt;=INDEX(Inputs!$C:$C,MATCH("End Year",Inputs!$B:$B,0))*12,AK44-AK45+AK46,0)</f>
        <v>0</v>
      </c>
      <c r="AL48" s="152">
        <f t="array" ref="AL48">IF(AL$3&lt;=INDEX(Inputs!$C:$C,MATCH("End Year",Inputs!$B:$B,0))*12,AL44-AL45+AL46,0)</f>
        <v>0</v>
      </c>
      <c r="AM48" s="152">
        <f t="array" ref="AM48">IF(AM$3&lt;=INDEX(Inputs!$C:$C,MATCH("End Year",Inputs!$B:$B,0))*12,AM44-AM45+AM46,0)</f>
        <v>0</v>
      </c>
      <c r="AN48" s="152">
        <f t="array" ref="AN48">IF(AN$3&lt;=INDEX(Inputs!$C:$C,MATCH("End Year",Inputs!$B:$B,0))*12,AN44-AN45+AN46,0)</f>
        <v>0</v>
      </c>
      <c r="AO48" s="152">
        <f t="array" ref="AO48">IF(AO$3&lt;=INDEX(Inputs!$C:$C,MATCH("End Year",Inputs!$B:$B,0))*12,AO44-AO45+AO46,0)</f>
        <v>0</v>
      </c>
      <c r="AP48" s="152">
        <f t="array" ref="AP48">IF(AP$3&lt;=INDEX(Inputs!$C:$C,MATCH("End Year",Inputs!$B:$B,0))*12,AP44-AP45+AP46,0)</f>
        <v>0</v>
      </c>
      <c r="AQ48" s="152">
        <f t="array" ref="AQ48">IF(AQ$3&lt;=INDEX(Inputs!$C:$C,MATCH("End Year",Inputs!$B:$B,0))*12,AQ44-AQ45+AQ46,0)</f>
        <v>0</v>
      </c>
      <c r="AR48" s="152">
        <f t="array" ref="AR48">IF(AR$3&lt;=INDEX(Inputs!$C:$C,MATCH("End Year",Inputs!$B:$B,0))*12,AR44-AR45+AR46,0)</f>
        <v>0</v>
      </c>
      <c r="AS48" s="152">
        <f t="array" ref="AS48">IF(AS$3&lt;=INDEX(Inputs!$C:$C,MATCH("End Year",Inputs!$B:$B,0))*12,AS44-AS45+AS46,0)</f>
        <v>0</v>
      </c>
      <c r="AT48" s="152">
        <f t="array" ref="AT48">IF(AT$3&lt;=INDEX(Inputs!$C:$C,MATCH("End Year",Inputs!$B:$B,0))*12,AT44-AT45+AT46,0)</f>
        <v>0</v>
      </c>
      <c r="AU48" s="152">
        <f t="array" ref="AU48">IF(AU$3&lt;=INDEX(Inputs!$C:$C,MATCH("End Year",Inputs!$B:$B,0))*12,AU44-AU45+AU46,0)</f>
        <v>0</v>
      </c>
      <c r="AV48" s="152">
        <f t="array" ref="AV48">IF(AV$3&lt;=INDEX(Inputs!$C:$C,MATCH("End Year",Inputs!$B:$B,0))*12,AV44-AV45+AV46,0)</f>
        <v>0</v>
      </c>
      <c r="AW48" s="152">
        <f t="array" ref="AW48">IF(AW$3&lt;=INDEX(Inputs!$C:$C,MATCH("End Year",Inputs!$B:$B,0))*12,AW44-AW45+AW46,0)</f>
        <v>0</v>
      </c>
      <c r="AX48" s="152">
        <f t="array" ref="AX48">IF(AX$3&lt;=INDEX(Inputs!$C:$C,MATCH("End Year",Inputs!$B:$B,0))*12,AX44-AX45+AX46,0)</f>
        <v>0</v>
      </c>
      <c r="AY48" s="152">
        <f t="array" ref="AY48">IF(AY$3&lt;=INDEX(Inputs!$C:$C,MATCH("End Year",Inputs!$B:$B,0))*12,AY44-AY45+AY46,0)</f>
        <v>0</v>
      </c>
      <c r="AZ48" s="152">
        <f t="array" ref="AZ48">IF(AZ$3&lt;=INDEX(Inputs!$C:$C,MATCH("End Year",Inputs!$B:$B,0))*12,AZ44-AZ45+AZ46,0)</f>
        <v>0</v>
      </c>
      <c r="BA48" s="152">
        <f t="array" ref="BA48">IF(BA$3&lt;=INDEX(Inputs!$C:$C,MATCH("End Year",Inputs!$B:$B,0))*12,BA44-BA45+BA46,0)</f>
        <v>0</v>
      </c>
      <c r="BB48" s="152">
        <f t="array" ref="BB48">IF(BB$3&lt;=INDEX(Inputs!$C:$C,MATCH("End Year",Inputs!$B:$B,0))*12,BB44-BB45+BB46,0)</f>
        <v>0</v>
      </c>
      <c r="BC48" s="152">
        <f t="array" ref="BC48">IF(BC$3&lt;=INDEX(Inputs!$C:$C,MATCH("End Year",Inputs!$B:$B,0))*12,BC44-BC45+BC46,0)</f>
        <v>0</v>
      </c>
      <c r="BD48" s="152">
        <f t="array" ref="BD48">IF(BD$3&lt;=INDEX(Inputs!$C:$C,MATCH("End Year",Inputs!$B:$B,0))*12,BD44-BD45+BD46,0)</f>
        <v>0</v>
      </c>
      <c r="BE48" s="152">
        <f t="array" ref="BE48">IF(BE$3&lt;=INDEX(Inputs!$C:$C,MATCH("End Year",Inputs!$B:$B,0))*12,BE44-BE45+BE46,0)</f>
        <v>0</v>
      </c>
      <c r="BF48" s="152">
        <f t="array" ref="BF48">IF(BF$3&lt;=INDEX(Inputs!$C:$C,MATCH("End Year",Inputs!$B:$B,0))*12,BF44-BF45+BF46,0)</f>
        <v>0</v>
      </c>
      <c r="BG48" s="152">
        <f t="array" ref="BG48">IF(BG$3&lt;=INDEX(Inputs!$C:$C,MATCH("End Year",Inputs!$B:$B,0))*12,BG44-BG45+BG46,0)</f>
        <v>0</v>
      </c>
      <c r="BH48" s="152">
        <f t="array" ref="BH48">IF(BH$3&lt;=INDEX(Inputs!$C:$C,MATCH("End Year",Inputs!$B:$B,0))*12,BH44-BH45+BH46,0)</f>
        <v>0</v>
      </c>
      <c r="BI48" s="152">
        <f t="array" ref="BI48">IF(BI$3&lt;=INDEX(Inputs!$C:$C,MATCH("End Year",Inputs!$B:$B,0))*12,BI44-BI45+BI46,0)</f>
        <v>0</v>
      </c>
      <c r="BJ48" s="152">
        <f t="array" ref="BJ48">IF(BJ$3&lt;=INDEX(Inputs!$C:$C,MATCH("End Year",Inputs!$B:$B,0))*12,BJ44-BJ45+BJ46,0)</f>
        <v>0</v>
      </c>
      <c r="BK48" s="152">
        <f t="array" ref="BK48">IF(BK$3&lt;=INDEX(Inputs!$C:$C,MATCH("End Year",Inputs!$B:$B,0))*12,BK44-BK45+BK46,0)</f>
        <v>0</v>
      </c>
      <c r="BL48" s="152">
        <f t="array" ref="BL48">IF(BL$3&lt;=INDEX(Inputs!$C:$C,MATCH("End Year",Inputs!$B:$B,0))*12,BL44-BL45+BL46,0)</f>
        <v>0</v>
      </c>
      <c r="BM48" s="152">
        <f t="array" ref="BM48">IF(BM$3&lt;=INDEX(Inputs!$C:$C,MATCH("End Year",Inputs!$B:$B,0))*12,BM44-BM45+BM46,0)</f>
        <v>0</v>
      </c>
      <c r="BN48" s="152">
        <f t="array" ref="BN48">IF(BN$3&lt;=INDEX(Inputs!$C:$C,MATCH("End Year",Inputs!$B:$B,0))*12,BN44-BN45+BN46,0)</f>
        <v>0</v>
      </c>
      <c r="BO48" s="152">
        <f t="array" ref="BO48">IF(BO$3&lt;=INDEX(Inputs!$C:$C,MATCH("End Year",Inputs!$B:$B,0))*12,BO44-BO45+BO46,0)</f>
        <v>0</v>
      </c>
      <c r="BP48" s="152">
        <f t="array" ref="BP48">IF(BP$3&lt;=INDEX(Inputs!$C:$C,MATCH("End Year",Inputs!$B:$B,0))*12,BP44-BP45+BP46,0)</f>
        <v>0</v>
      </c>
      <c r="BQ48" s="152">
        <f t="array" ref="BQ48">IF(BQ$3&lt;=INDEX(Inputs!$C:$C,MATCH("End Year",Inputs!$B:$B,0))*12,BQ44-BQ45+BQ46,0)</f>
        <v>0</v>
      </c>
      <c r="BR48" s="152">
        <f t="array" ref="BR48">IF(BR$3&lt;=INDEX(Inputs!$C:$C,MATCH("End Year",Inputs!$B:$B,0))*12,BR44-BR45+BR46,0)</f>
        <v>0</v>
      </c>
      <c r="BS48" s="152">
        <f t="array" ref="BS48">IF(BS$3&lt;=INDEX(Inputs!$C:$C,MATCH("End Year",Inputs!$B:$B,0))*12,BS44-BS45+BS46,0)</f>
        <v>0</v>
      </c>
      <c r="BT48" s="152">
        <f t="array" ref="BT48">IF(BT$3&lt;=INDEX(Inputs!$C:$C,MATCH("End Year",Inputs!$B:$B,0))*12,BT44-BT45+BT46,0)</f>
        <v>0</v>
      </c>
      <c r="BU48" s="152">
        <f t="array" ref="BU48">IF(BU$3&lt;=INDEX(Inputs!$C:$C,MATCH("End Year",Inputs!$B:$B,0))*12,BU44-BU45+BU46,0)</f>
        <v>0</v>
      </c>
      <c r="BV48" s="152">
        <f t="array" ref="BV48">IF(BV$3&lt;=INDEX(Inputs!$C:$C,MATCH("End Year",Inputs!$B:$B,0))*12,BV44-BV45+BV46,0)</f>
        <v>0</v>
      </c>
      <c r="BW48" s="152">
        <f t="array" ref="BW48">IF(BW$3&lt;=INDEX(Inputs!$C:$C,MATCH("End Year",Inputs!$B:$B,0))*12,BW44-BW45+BW46,0)</f>
        <v>0</v>
      </c>
      <c r="BX48" s="152">
        <f t="array" ref="BX48">IF(BX$3&lt;=INDEX(Inputs!$C:$C,MATCH("End Year",Inputs!$B:$B,0))*12,BX44-BX45+BX46,0)</f>
        <v>0</v>
      </c>
      <c r="BY48" s="152">
        <f t="array" ref="BY48">IF(BY$3&lt;=INDEX(Inputs!$C:$C,MATCH("End Year",Inputs!$B:$B,0))*12,BY44-BY45+BY46,0)</f>
        <v>0</v>
      </c>
      <c r="BZ48" s="152">
        <f t="array" ref="BZ48">IF(BZ$3&lt;=INDEX(Inputs!$C:$C,MATCH("End Year",Inputs!$B:$B,0))*12,BZ44-BZ45+BZ46,0)</f>
        <v>0</v>
      </c>
      <c r="CA48" s="152">
        <f t="array" ref="CA48">IF(CA$3&lt;=INDEX(Inputs!$C:$C,MATCH("End Year",Inputs!$B:$B,0))*12,CA44-CA45+CA46,0)</f>
        <v>0</v>
      </c>
      <c r="CB48" s="152">
        <f t="array" ref="CB48">IF(CB$3&lt;=INDEX(Inputs!$C:$C,MATCH("End Year",Inputs!$B:$B,0))*12,CB44-CB45+CB46,0)</f>
        <v>0</v>
      </c>
      <c r="CC48" s="152">
        <f t="array" ref="CC48">IF(CC$3&lt;=INDEX(Inputs!$C:$C,MATCH("End Year",Inputs!$B:$B,0))*12,CC44-CC45+CC46,0)</f>
        <v>0</v>
      </c>
      <c r="CD48" s="152">
        <f t="array" ref="CD48">IF(CD$3&lt;=INDEX(Inputs!$C:$C,MATCH("End Year",Inputs!$B:$B,0))*12,CD44-CD45+CD46,0)</f>
        <v>0</v>
      </c>
      <c r="CE48" s="152">
        <f t="array" ref="CE48">IF(CE$3&lt;=INDEX(Inputs!$C:$C,MATCH("End Year",Inputs!$B:$B,0))*12,CE44-CE45+CE46,0)</f>
        <v>0</v>
      </c>
      <c r="CF48" s="152">
        <f t="array" ref="CF48">IF(CF$3&lt;=INDEX(Inputs!$C:$C,MATCH("End Year",Inputs!$B:$B,0))*12,CF44-CF45+CF46,0)</f>
        <v>0</v>
      </c>
      <c r="CG48" s="152">
        <f t="array" ref="CG48">IF(CG$3&lt;=INDEX(Inputs!$C:$C,MATCH("End Year",Inputs!$B:$B,0))*12,CG44-CG45+CG46,0)</f>
        <v>0</v>
      </c>
      <c r="CH48" s="152">
        <f t="array" ref="CH48">IF(CH$3&lt;=INDEX(Inputs!$C:$C,MATCH("End Year",Inputs!$B:$B,0))*12,CH44-CH45+CH46,0)</f>
        <v>0</v>
      </c>
      <c r="CI48" s="152">
        <f t="array" ref="CI48">IF(CI$3&lt;=INDEX(Inputs!$C:$C,MATCH("End Year",Inputs!$B:$B,0))*12,CI44-CI45+CI46,0)</f>
        <v>0</v>
      </c>
      <c r="CJ48" s="152">
        <f t="array" ref="CJ48">IF(CJ$3&lt;=INDEX(Inputs!$C:$C,MATCH("End Year",Inputs!$B:$B,0))*12,CJ44-CJ45+CJ46,0)</f>
        <v>0</v>
      </c>
      <c r="CK48" s="152">
        <f t="array" ref="CK48">IF(CK$3&lt;=INDEX(Inputs!$C:$C,MATCH("End Year",Inputs!$B:$B,0))*12,CK44-CK45+CK46,0)</f>
        <v>0</v>
      </c>
      <c r="CL48" s="152">
        <f t="array" ref="CL48">IF(CL$3&lt;=INDEX(Inputs!$C:$C,MATCH("End Year",Inputs!$B:$B,0))*12,CL44-CL45+CL46,0)</f>
        <v>0</v>
      </c>
      <c r="CM48" s="152">
        <f t="array" ref="CM48">IF(CM$3&lt;=INDEX(Inputs!$C:$C,MATCH("End Year",Inputs!$B:$B,0))*12,CM44-CM45+CM46,0)</f>
        <v>0</v>
      </c>
      <c r="CN48" s="152">
        <f t="array" ref="CN48">IF(CN$3&lt;=INDEX(Inputs!$C:$C,MATCH("End Year",Inputs!$B:$B,0))*12,CN44-CN45+CN46,0)</f>
        <v>0</v>
      </c>
      <c r="CO48" s="152">
        <f t="array" ref="CO48">IF(CO$3&lt;=INDEX(Inputs!$C:$C,MATCH("End Year",Inputs!$B:$B,0))*12,CO44-CO45+CO46,0)</f>
        <v>0</v>
      </c>
      <c r="CP48" s="152">
        <f t="array" ref="CP48">IF(CP$3&lt;=INDEX(Inputs!$C:$C,MATCH("End Year",Inputs!$B:$B,0))*12,CP44-CP45+CP46,0)</f>
        <v>0</v>
      </c>
      <c r="CQ48" s="152">
        <f t="array" ref="CQ48">IF(CQ$3&lt;=INDEX(Inputs!$C:$C,MATCH("End Year",Inputs!$B:$B,0))*12,CQ44-CQ45+CQ46,0)</f>
        <v>0</v>
      </c>
      <c r="CR48" s="152">
        <f t="array" ref="CR48">IF(CR$3&lt;=INDEX(Inputs!$C:$C,MATCH("End Year",Inputs!$B:$B,0))*12,CR44-CR45+CR46,0)</f>
        <v>0</v>
      </c>
      <c r="CS48" s="152">
        <f t="array" ref="CS48">IF(CS$3&lt;=INDEX(Inputs!$C:$C,MATCH("End Year",Inputs!$B:$B,0))*12,CS44-CS45+CS46,0)</f>
        <v>0</v>
      </c>
      <c r="CT48" s="152">
        <f t="array" ref="CT48">IF(CT$3&lt;=INDEX(Inputs!$C:$C,MATCH("End Year",Inputs!$B:$B,0))*12,CT44-CT45+CT46,0)</f>
        <v>0</v>
      </c>
      <c r="CU48" s="152">
        <f t="array" ref="CU48">IF(CU$3&lt;=INDEX(Inputs!$C:$C,MATCH("End Year",Inputs!$B:$B,0))*12,CU44-CU45+CU46,0)</f>
        <v>0</v>
      </c>
      <c r="CV48" s="152">
        <f t="array" ref="CV48">IF(CV$3&lt;=INDEX(Inputs!$C:$C,MATCH("End Year",Inputs!$B:$B,0))*12,CV44-CV45+CV46,0)</f>
        <v>0</v>
      </c>
      <c r="CW48" s="152">
        <f t="array" ref="CW48">IF(CW$3&lt;=INDEX(Inputs!$C:$C,MATCH("End Year",Inputs!$B:$B,0))*12,CW44-CW45+CW46,0)</f>
        <v>0</v>
      </c>
      <c r="CX48" s="152">
        <f t="array" ref="CX48">IF(CX$3&lt;=INDEX(Inputs!$C:$C,MATCH("End Year",Inputs!$B:$B,0))*12,CX44-CX45+CX46,0)</f>
        <v>0</v>
      </c>
      <c r="CY48" s="152">
        <f t="array" ref="CY48">IF(CY$3&lt;=INDEX(Inputs!$C:$C,MATCH("End Year",Inputs!$B:$B,0))*12,CY44-CY45+CY46,0)</f>
        <v>0</v>
      </c>
      <c r="CZ48" s="152">
        <f t="array" ref="CZ48">IF(CZ$3&lt;=INDEX(Inputs!$C:$C,MATCH("End Year",Inputs!$B:$B,0))*12,CZ44-CZ45+CZ46,0)</f>
        <v>0</v>
      </c>
      <c r="DA48" s="152">
        <f t="array" ref="DA48">IF(DA$3&lt;=INDEX(Inputs!$C:$C,MATCH("End Year",Inputs!$B:$B,0))*12,DA44-DA45+DA46,0)</f>
        <v>0</v>
      </c>
      <c r="DB48" s="152">
        <f t="array" ref="DB48">IF(DB$3&lt;=INDEX(Inputs!$C:$C,MATCH("End Year",Inputs!$B:$B,0))*12,DB44-DB45+DB46,0)</f>
        <v>0</v>
      </c>
      <c r="DC48" s="152">
        <f t="array" ref="DC48">IF(DC$3&lt;=INDEX(Inputs!$C:$C,MATCH("End Year",Inputs!$B:$B,0))*12,DC44-DC45+DC46,0)</f>
        <v>0</v>
      </c>
      <c r="DD48" s="152">
        <f t="array" ref="DD48">IF(DD$3&lt;=INDEX(Inputs!$C:$C,MATCH("End Year",Inputs!$B:$B,0))*12,DD44-DD45+DD46,0)</f>
        <v>0</v>
      </c>
      <c r="DE48" s="152">
        <f t="array" ref="DE48">IF(DE$3&lt;=INDEX(Inputs!$C:$C,MATCH("End Year",Inputs!$B:$B,0))*12,DE44-DE45+DE46,0)</f>
        <v>0</v>
      </c>
      <c r="DF48" s="152">
        <f t="array" ref="DF48">IF(DF$3&lt;=INDEX(Inputs!$C:$C,MATCH("End Year",Inputs!$B:$B,0))*12,DF44-DF45+DF46,0)</f>
        <v>0</v>
      </c>
      <c r="DG48" s="152">
        <f t="array" ref="DG48">IF(DG$3&lt;=INDEX(Inputs!$C:$C,MATCH("End Year",Inputs!$B:$B,0))*12,DG44-DG45+DG46,0)</f>
        <v>0</v>
      </c>
      <c r="DH48" s="152">
        <f t="array" ref="DH48">IF(DH$3&lt;=INDEX(Inputs!$C:$C,MATCH("End Year",Inputs!$B:$B,0))*12,DH44-DH45+DH46,0)</f>
        <v>0</v>
      </c>
      <c r="DI48" s="152">
        <f t="array" ref="DI48">IF(DI$3&lt;=INDEX(Inputs!$C:$C,MATCH("End Year",Inputs!$B:$B,0))*12,DI44-DI45+DI46,0)</f>
        <v>0</v>
      </c>
      <c r="DJ48" s="152">
        <f t="array" ref="DJ48">IF(DJ$3&lt;=INDEX(Inputs!$C:$C,MATCH("End Year",Inputs!$B:$B,0))*12,DJ44-DJ45+DJ46,0)</f>
        <v>0</v>
      </c>
      <c r="DK48" s="152">
        <f t="array" ref="DK48">IF(DK$3&lt;=INDEX(Inputs!$C:$C,MATCH("End Year",Inputs!$B:$B,0))*12,DK44-DK45+DK46,0)</f>
        <v>0</v>
      </c>
      <c r="DL48" s="152">
        <f t="array" ref="DL48">IF(DL$3&lt;=INDEX(Inputs!$C:$C,MATCH("End Year",Inputs!$B:$B,0))*12,DL44-DL45+DL46,0)</f>
        <v>0</v>
      </c>
      <c r="DM48" s="152">
        <f t="array" ref="DM48">IF(DM$3&lt;=INDEX(Inputs!$C:$C,MATCH("End Year",Inputs!$B:$B,0))*12,DM44-DM45+DM46,0)</f>
        <v>0</v>
      </c>
      <c r="DN48" s="152">
        <f t="array" ref="DN48">IF(DN$3&lt;=INDEX(Inputs!$C:$C,MATCH("End Year",Inputs!$B:$B,0))*12,DN44-DN45+DN46,0)</f>
        <v>0</v>
      </c>
      <c r="DO48" s="152">
        <f t="array" ref="DO48">IF(DO$3&lt;=INDEX(Inputs!$C:$C,MATCH("End Year",Inputs!$B:$B,0))*12,DO44-DO45+DO46,0)</f>
        <v>0</v>
      </c>
      <c r="DP48" s="152">
        <f t="array" ref="DP48">IF(DP$3&lt;=INDEX(Inputs!$C:$C,MATCH("End Year",Inputs!$B:$B,0))*12,DP44-DP45+DP46,0)</f>
        <v>0</v>
      </c>
      <c r="DQ48" s="152">
        <f t="array" ref="DQ48">IF(DQ$3&lt;=INDEX(Inputs!$C:$C,MATCH("End Year",Inputs!$B:$B,0))*12,DQ44-DQ45+DQ46,0)</f>
        <v>0</v>
      </c>
      <c r="DR48" s="152">
        <f t="array" ref="DR48">IF(DR$3&lt;=INDEX(Inputs!$C:$C,MATCH("End Year",Inputs!$B:$B,0))*12,DR44-DR45+DR46,0)</f>
        <v>0</v>
      </c>
      <c r="DS48" s="44">
        <f t="array" ref="DS48">IF(DS$3&lt;=INDEX(Inputs!$C:$C,MATCH("End Year",Inputs!$B:$B,0))*12,DS44-DS45+DS46,0)</f>
        <v>0</v>
      </c>
    </row>
    <row r="49" ht="15.0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</row>
    <row r="50" ht="15.75" customHeight="1">
      <c r="A50" s="44"/>
      <c r="B50" s="45" t="s">
        <v>346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44"/>
    </row>
    <row r="51" ht="15.0" customHeight="1">
      <c r="A51" s="44"/>
      <c r="B51" s="46" t="s">
        <v>339</v>
      </c>
      <c r="C51" s="152" t="s">
        <v>330</v>
      </c>
      <c r="D51" s="152">
        <f t="array" ref="D51">IF(D$3&lt;=INDEX(Inputs!$C:$C,MATCH("End Year",Inputs!$B:$B,0))*12,IF(D$3&lt;=INDEX(Inputs!$C:$C,MATCH("*Bank Loan Origination Month*",Inputs!$B:$B,0)),0,C56),0)</f>
        <v>0</v>
      </c>
      <c r="E51" s="152">
        <f t="array" ref="E51">IF(E$3&lt;=INDEX(Inputs!$C:$C,MATCH("End Year",Inputs!$B:$B,0))*12,IF(E$3&lt;=INDEX(Inputs!$C:$C,MATCH("*Bank Loan Origination Month*",Inputs!$B:$B,0)),0,D56),0)</f>
        <v>0</v>
      </c>
      <c r="F51" s="152">
        <f t="array" ref="F51">IF(F$3&lt;=INDEX(Inputs!$C:$C,MATCH("End Year",Inputs!$B:$B,0))*12,IF(F$3&lt;=INDEX(Inputs!$C:$C,MATCH("*Bank Loan Origination Month*",Inputs!$B:$B,0)),0,E56),0)</f>
        <v>0</v>
      </c>
      <c r="G51" s="152">
        <f t="array" ref="G51">IF(G$3&lt;=INDEX(Inputs!$C:$C,MATCH("End Year",Inputs!$B:$B,0))*12,IF(G$3&lt;=INDEX(Inputs!$C:$C,MATCH("*Bank Loan Origination Month*",Inputs!$B:$B,0)),0,F56),0)</f>
        <v>0</v>
      </c>
      <c r="H51" s="152">
        <f t="array" ref="H51">IF(H$3&lt;=INDEX(Inputs!$C:$C,MATCH("End Year",Inputs!$B:$B,0))*12,IF(H$3&lt;=INDEX(Inputs!$C:$C,MATCH("*Bank Loan Origination Month*",Inputs!$B:$B,0)),0,G56),0)</f>
        <v>0</v>
      </c>
      <c r="I51" s="152">
        <f t="array" ref="I51">IF(I$3&lt;=INDEX(Inputs!$C:$C,MATCH("End Year",Inputs!$B:$B,0))*12,IF(I$3&lt;=INDEX(Inputs!$C:$C,MATCH("*Bank Loan Origination Month*",Inputs!$B:$B,0)),0,H56),0)</f>
        <v>0</v>
      </c>
      <c r="J51" s="152">
        <f t="array" ref="J51">IF(J$3&lt;=INDEX(Inputs!$C:$C,MATCH("End Year",Inputs!$B:$B,0))*12,IF(J$3&lt;=INDEX(Inputs!$C:$C,MATCH("*Bank Loan Origination Month*",Inputs!$B:$B,0)),0,I56),0)</f>
        <v>0</v>
      </c>
      <c r="K51" s="152">
        <f t="array" ref="K51">IF(K$3&lt;=INDEX(Inputs!$C:$C,MATCH("End Year",Inputs!$B:$B,0))*12,IF(K$3&lt;=INDEX(Inputs!$C:$C,MATCH("*Bank Loan Origination Month*",Inputs!$B:$B,0)),0,J56),0)</f>
        <v>0</v>
      </c>
      <c r="L51" s="152">
        <f t="array" ref="L51">IF(L$3&lt;=INDEX(Inputs!$C:$C,MATCH("End Year",Inputs!$B:$B,0))*12,IF(L$3&lt;=INDEX(Inputs!$C:$C,MATCH("*Bank Loan Origination Month*",Inputs!$B:$B,0)),0,K56),0)</f>
        <v>0</v>
      </c>
      <c r="M51" s="152">
        <f t="array" ref="M51">IF(M$3&lt;=INDEX(Inputs!$C:$C,MATCH("End Year",Inputs!$B:$B,0))*12,IF(M$3&lt;=INDEX(Inputs!$C:$C,MATCH("*Bank Loan Origination Month*",Inputs!$B:$B,0)),0,L56),0)</f>
        <v>0</v>
      </c>
      <c r="N51" s="152">
        <f t="array" ref="N51">IF(N$3&lt;=INDEX(Inputs!$C:$C,MATCH("End Year",Inputs!$B:$B,0))*12,IF(N$3&lt;=INDEX(Inputs!$C:$C,MATCH("*Bank Loan Origination Month*",Inputs!$B:$B,0)),0,M56),0)</f>
        <v>0</v>
      </c>
      <c r="O51" s="152">
        <f t="array" ref="O51">IF(O$3&lt;=INDEX(Inputs!$C:$C,MATCH("End Year",Inputs!$B:$B,0))*12,IF(O$3&lt;=INDEX(Inputs!$C:$C,MATCH("*Bank Loan Origination Month*",Inputs!$B:$B,0)),0,N56),0)</f>
        <v>0</v>
      </c>
      <c r="P51" s="152">
        <f t="array" ref="P51">IF(P$3&lt;=INDEX(Inputs!$C:$C,MATCH("End Year",Inputs!$B:$B,0))*12,IF(P$3&lt;=INDEX(Inputs!$C:$C,MATCH("*Bank Loan Origination Month*",Inputs!$B:$B,0)),0,O56),0)</f>
        <v>0</v>
      </c>
      <c r="Q51" s="152">
        <f t="array" ref="Q51">IF(Q$3&lt;=INDEX(Inputs!$C:$C,MATCH("End Year",Inputs!$B:$B,0))*12,IF(Q$3&lt;=INDEX(Inputs!$C:$C,MATCH("*Bank Loan Origination Month*",Inputs!$B:$B,0)),0,P56),0)</f>
        <v>0</v>
      </c>
      <c r="R51" s="152">
        <f t="array" ref="R51">IF(R$3&lt;=INDEX(Inputs!$C:$C,MATCH("End Year",Inputs!$B:$B,0))*12,IF(R$3&lt;=INDEX(Inputs!$C:$C,MATCH("*Bank Loan Origination Month*",Inputs!$B:$B,0)),0,Q56),0)</f>
        <v>0</v>
      </c>
      <c r="S51" s="152">
        <f t="array" ref="S51">IF(S$3&lt;=INDEX(Inputs!$C:$C,MATCH("End Year",Inputs!$B:$B,0))*12,IF(S$3&lt;=INDEX(Inputs!$C:$C,MATCH("*Bank Loan Origination Month*",Inputs!$B:$B,0)),0,R56),0)</f>
        <v>0</v>
      </c>
      <c r="T51" s="152">
        <f t="array" ref="T51">IF(T$3&lt;=INDEX(Inputs!$C:$C,MATCH("End Year",Inputs!$B:$B,0))*12,IF(T$3&lt;=INDEX(Inputs!$C:$C,MATCH("*Bank Loan Origination Month*",Inputs!$B:$B,0)),0,S56),0)</f>
        <v>0</v>
      </c>
      <c r="U51" s="152">
        <f t="array" ref="U51">IF(U$3&lt;=INDEX(Inputs!$C:$C,MATCH("End Year",Inputs!$B:$B,0))*12,IF(U$3&lt;=INDEX(Inputs!$C:$C,MATCH("*Bank Loan Origination Month*",Inputs!$B:$B,0)),0,T56),0)</f>
        <v>0</v>
      </c>
      <c r="V51" s="152">
        <f t="array" ref="V51">IF(V$3&lt;=INDEX(Inputs!$C:$C,MATCH("End Year",Inputs!$B:$B,0))*12,IF(V$3&lt;=INDEX(Inputs!$C:$C,MATCH("*Bank Loan Origination Month*",Inputs!$B:$B,0)),0,U56),0)</f>
        <v>0</v>
      </c>
      <c r="W51" s="152">
        <f t="array" ref="W51">IF(W$3&lt;=INDEX(Inputs!$C:$C,MATCH("End Year",Inputs!$B:$B,0))*12,IF(W$3&lt;=INDEX(Inputs!$C:$C,MATCH("*Bank Loan Origination Month*",Inputs!$B:$B,0)),0,V56),0)</f>
        <v>0</v>
      </c>
      <c r="X51" s="152">
        <f t="array" ref="X51">IF(X$3&lt;=INDEX(Inputs!$C:$C,MATCH("End Year",Inputs!$B:$B,0))*12,IF(X$3&lt;=INDEX(Inputs!$C:$C,MATCH("*Bank Loan Origination Month*",Inputs!$B:$B,0)),0,W56),0)</f>
        <v>0</v>
      </c>
      <c r="Y51" s="152">
        <f t="array" ref="Y51">IF(Y$3&lt;=INDEX(Inputs!$C:$C,MATCH("End Year",Inputs!$B:$B,0))*12,IF(Y$3&lt;=INDEX(Inputs!$C:$C,MATCH("*Bank Loan Origination Month*",Inputs!$B:$B,0)),0,X56),0)</f>
        <v>0</v>
      </c>
      <c r="Z51" s="152">
        <f t="array" ref="Z51">IF(Z$3&lt;=INDEX(Inputs!$C:$C,MATCH("End Year",Inputs!$B:$B,0))*12,IF(Z$3&lt;=INDEX(Inputs!$C:$C,MATCH("*Bank Loan Origination Month*",Inputs!$B:$B,0)),0,Y56),0)</f>
        <v>0</v>
      </c>
      <c r="AA51" s="152">
        <f t="array" ref="AA51">IF(AA$3&lt;=INDEX(Inputs!$C:$C,MATCH("End Year",Inputs!$B:$B,0))*12,IF(AA$3&lt;=INDEX(Inputs!$C:$C,MATCH("*Bank Loan Origination Month*",Inputs!$B:$B,0)),0,Z56),0)</f>
        <v>0</v>
      </c>
      <c r="AB51" s="152">
        <f t="array" ref="AB51">IF(AB$3&lt;=INDEX(Inputs!$C:$C,MATCH("End Year",Inputs!$B:$B,0))*12,IF(AB$3&lt;=INDEX(Inputs!$C:$C,MATCH("*Bank Loan Origination Month*",Inputs!$B:$B,0)),0,AA56),0)</f>
        <v>0</v>
      </c>
      <c r="AC51" s="152">
        <f t="array" ref="AC51">IF(AC$3&lt;=INDEX(Inputs!$C:$C,MATCH("End Year",Inputs!$B:$B,0))*12,IF(AC$3&lt;=INDEX(Inputs!$C:$C,MATCH("*Bank Loan Origination Month*",Inputs!$B:$B,0)),0,AB56),0)</f>
        <v>0</v>
      </c>
      <c r="AD51" s="152">
        <f t="array" ref="AD51">IF(AD$3&lt;=INDEX(Inputs!$C:$C,MATCH("End Year",Inputs!$B:$B,0))*12,IF(AD$3&lt;=INDEX(Inputs!$C:$C,MATCH("*Bank Loan Origination Month*",Inputs!$B:$B,0)),0,AC56),0)</f>
        <v>0</v>
      </c>
      <c r="AE51" s="152">
        <f t="array" ref="AE51">IF(AE$3&lt;=INDEX(Inputs!$C:$C,MATCH("End Year",Inputs!$B:$B,0))*12,IF(AE$3&lt;=INDEX(Inputs!$C:$C,MATCH("*Bank Loan Origination Month*",Inputs!$B:$B,0)),0,AD56),0)</f>
        <v>0</v>
      </c>
      <c r="AF51" s="152">
        <f t="array" ref="AF51">IF(AF$3&lt;=INDEX(Inputs!$C:$C,MATCH("End Year",Inputs!$B:$B,0))*12,IF(AF$3&lt;=INDEX(Inputs!$C:$C,MATCH("*Bank Loan Origination Month*",Inputs!$B:$B,0)),0,AE56),0)</f>
        <v>0</v>
      </c>
      <c r="AG51" s="152">
        <f t="array" ref="AG51">IF(AG$3&lt;=INDEX(Inputs!$C:$C,MATCH("End Year",Inputs!$B:$B,0))*12,IF(AG$3&lt;=INDEX(Inputs!$C:$C,MATCH("*Bank Loan Origination Month*",Inputs!$B:$B,0)),0,AF56),0)</f>
        <v>0</v>
      </c>
      <c r="AH51" s="152">
        <f t="array" ref="AH51">IF(AH$3&lt;=INDEX(Inputs!$C:$C,MATCH("End Year",Inputs!$B:$B,0))*12,IF(AH$3&lt;=INDEX(Inputs!$C:$C,MATCH("*Bank Loan Origination Month*",Inputs!$B:$B,0)),0,AG56),0)</f>
        <v>0</v>
      </c>
      <c r="AI51" s="152">
        <f t="array" ref="AI51">IF(AI$3&lt;=INDEX(Inputs!$C:$C,MATCH("End Year",Inputs!$B:$B,0))*12,IF(AI$3&lt;=INDEX(Inputs!$C:$C,MATCH("*Bank Loan Origination Month*",Inputs!$B:$B,0)),0,AH56),0)</f>
        <v>0</v>
      </c>
      <c r="AJ51" s="152">
        <f t="array" ref="AJ51">IF(AJ$3&lt;=INDEX(Inputs!$C:$C,MATCH("End Year",Inputs!$B:$B,0))*12,IF(AJ$3&lt;=INDEX(Inputs!$C:$C,MATCH("*Bank Loan Origination Month*",Inputs!$B:$B,0)),0,AI56),0)</f>
        <v>0</v>
      </c>
      <c r="AK51" s="152">
        <f t="array" ref="AK51">IF(AK$3&lt;=INDEX(Inputs!$C:$C,MATCH("End Year",Inputs!$B:$B,0))*12,IF(AK$3&lt;=INDEX(Inputs!$C:$C,MATCH("*Bank Loan Origination Month*",Inputs!$B:$B,0)),0,AJ56),0)</f>
        <v>0</v>
      </c>
      <c r="AL51" s="152">
        <f t="array" ref="AL51">IF(AL$3&lt;=INDEX(Inputs!$C:$C,MATCH("End Year",Inputs!$B:$B,0))*12,IF(AL$3&lt;=INDEX(Inputs!$C:$C,MATCH("*Bank Loan Origination Month*",Inputs!$B:$B,0)),0,AK56),0)</f>
        <v>0</v>
      </c>
      <c r="AM51" s="152">
        <f t="array" ref="AM51">IF(AM$3&lt;=INDEX(Inputs!$C:$C,MATCH("End Year",Inputs!$B:$B,0))*12,IF(AM$3&lt;=INDEX(Inputs!$C:$C,MATCH("*Bank Loan Origination Month*",Inputs!$B:$B,0)),0,AL56),0)</f>
        <v>0</v>
      </c>
      <c r="AN51" s="152">
        <f t="array" ref="AN51">IF(AN$3&lt;=INDEX(Inputs!$C:$C,MATCH("End Year",Inputs!$B:$B,0))*12,IF(AN$3&lt;=INDEX(Inputs!$C:$C,MATCH("*Bank Loan Origination Month*",Inputs!$B:$B,0)),0,AM56),0)</f>
        <v>0</v>
      </c>
      <c r="AO51" s="152">
        <f t="array" ref="AO51">IF(AO$3&lt;=INDEX(Inputs!$C:$C,MATCH("End Year",Inputs!$B:$B,0))*12,IF(AO$3&lt;=INDEX(Inputs!$C:$C,MATCH("*Bank Loan Origination Month*",Inputs!$B:$B,0)),0,AN56),0)</f>
        <v>0</v>
      </c>
      <c r="AP51" s="152">
        <f t="array" ref="AP51">IF(AP$3&lt;=INDEX(Inputs!$C:$C,MATCH("End Year",Inputs!$B:$B,0))*12,IF(AP$3&lt;=INDEX(Inputs!$C:$C,MATCH("*Bank Loan Origination Month*",Inputs!$B:$B,0)),0,AO56),0)</f>
        <v>0</v>
      </c>
      <c r="AQ51" s="152">
        <f t="array" ref="AQ51">IF(AQ$3&lt;=INDEX(Inputs!$C:$C,MATCH("End Year",Inputs!$B:$B,0))*12,IF(AQ$3&lt;=INDEX(Inputs!$C:$C,MATCH("*Bank Loan Origination Month*",Inputs!$B:$B,0)),0,AP56),0)</f>
        <v>0</v>
      </c>
      <c r="AR51" s="152">
        <f t="array" ref="AR51">IF(AR$3&lt;=INDEX(Inputs!$C:$C,MATCH("End Year",Inputs!$B:$B,0))*12,IF(AR$3&lt;=INDEX(Inputs!$C:$C,MATCH("*Bank Loan Origination Month*",Inputs!$B:$B,0)),0,AQ56),0)</f>
        <v>0</v>
      </c>
      <c r="AS51" s="152">
        <f t="array" ref="AS51">IF(AS$3&lt;=INDEX(Inputs!$C:$C,MATCH("End Year",Inputs!$B:$B,0))*12,IF(AS$3&lt;=INDEX(Inputs!$C:$C,MATCH("*Bank Loan Origination Month*",Inputs!$B:$B,0)),0,AR56),0)</f>
        <v>0</v>
      </c>
      <c r="AT51" s="152">
        <f t="array" ref="AT51">IF(AT$3&lt;=INDEX(Inputs!$C:$C,MATCH("End Year",Inputs!$B:$B,0))*12,IF(AT$3&lt;=INDEX(Inputs!$C:$C,MATCH("*Bank Loan Origination Month*",Inputs!$B:$B,0)),0,AS56),0)</f>
        <v>0</v>
      </c>
      <c r="AU51" s="152">
        <f t="array" ref="AU51">IF(AU$3&lt;=INDEX(Inputs!$C:$C,MATCH("End Year",Inputs!$B:$B,0))*12,IF(AU$3&lt;=INDEX(Inputs!$C:$C,MATCH("*Bank Loan Origination Month*",Inputs!$B:$B,0)),0,AT56),0)</f>
        <v>0</v>
      </c>
      <c r="AV51" s="152">
        <f t="array" ref="AV51">IF(AV$3&lt;=INDEX(Inputs!$C:$C,MATCH("End Year",Inputs!$B:$B,0))*12,IF(AV$3&lt;=INDEX(Inputs!$C:$C,MATCH("*Bank Loan Origination Month*",Inputs!$B:$B,0)),0,AU56),0)</f>
        <v>0</v>
      </c>
      <c r="AW51" s="152">
        <f t="array" ref="AW51">IF(AW$3&lt;=INDEX(Inputs!$C:$C,MATCH("End Year",Inputs!$B:$B,0))*12,IF(AW$3&lt;=INDEX(Inputs!$C:$C,MATCH("*Bank Loan Origination Month*",Inputs!$B:$B,0)),0,AV56),0)</f>
        <v>0</v>
      </c>
      <c r="AX51" s="152">
        <f t="array" ref="AX51">IF(AX$3&lt;=INDEX(Inputs!$C:$C,MATCH("End Year",Inputs!$B:$B,0))*12,IF(AX$3&lt;=INDEX(Inputs!$C:$C,MATCH("*Bank Loan Origination Month*",Inputs!$B:$B,0)),0,AW56),0)</f>
        <v>0</v>
      </c>
      <c r="AY51" s="152">
        <f t="array" ref="AY51">IF(AY$3&lt;=INDEX(Inputs!$C:$C,MATCH("End Year",Inputs!$B:$B,0))*12,IF(AY$3&lt;=INDEX(Inputs!$C:$C,MATCH("*Bank Loan Origination Month*",Inputs!$B:$B,0)),0,AX56),0)</f>
        <v>0</v>
      </c>
      <c r="AZ51" s="152">
        <f t="array" ref="AZ51">IF(AZ$3&lt;=INDEX(Inputs!$C:$C,MATCH("End Year",Inputs!$B:$B,0))*12,IF(AZ$3&lt;=INDEX(Inputs!$C:$C,MATCH("*Bank Loan Origination Month*",Inputs!$B:$B,0)),0,AY56),0)</f>
        <v>0</v>
      </c>
      <c r="BA51" s="152">
        <f t="array" ref="BA51">IF(BA$3&lt;=INDEX(Inputs!$C:$C,MATCH("End Year",Inputs!$B:$B,0))*12,IF(BA$3&lt;=INDEX(Inputs!$C:$C,MATCH("*Bank Loan Origination Month*",Inputs!$B:$B,0)),0,AZ56),0)</f>
        <v>0</v>
      </c>
      <c r="BB51" s="152">
        <f t="array" ref="BB51">IF(BB$3&lt;=INDEX(Inputs!$C:$C,MATCH("End Year",Inputs!$B:$B,0))*12,IF(BB$3&lt;=INDEX(Inputs!$C:$C,MATCH("*Bank Loan Origination Month*",Inputs!$B:$B,0)),0,BA56),0)</f>
        <v>0</v>
      </c>
      <c r="BC51" s="152">
        <f t="array" ref="BC51">IF(BC$3&lt;=INDEX(Inputs!$C:$C,MATCH("End Year",Inputs!$B:$B,0))*12,IF(BC$3&lt;=INDEX(Inputs!$C:$C,MATCH("*Bank Loan Origination Month*",Inputs!$B:$B,0)),0,BB56),0)</f>
        <v>0</v>
      </c>
      <c r="BD51" s="152">
        <f t="array" ref="BD51">IF(BD$3&lt;=INDEX(Inputs!$C:$C,MATCH("End Year",Inputs!$B:$B,0))*12,IF(BD$3&lt;=INDEX(Inputs!$C:$C,MATCH("*Bank Loan Origination Month*",Inputs!$B:$B,0)),0,BC56),0)</f>
        <v>0</v>
      </c>
      <c r="BE51" s="152">
        <f t="array" ref="BE51">IF(BE$3&lt;=INDEX(Inputs!$C:$C,MATCH("End Year",Inputs!$B:$B,0))*12,IF(BE$3&lt;=INDEX(Inputs!$C:$C,MATCH("*Bank Loan Origination Month*",Inputs!$B:$B,0)),0,BD56),0)</f>
        <v>0</v>
      </c>
      <c r="BF51" s="152">
        <f t="array" ref="BF51">IF(BF$3&lt;=INDEX(Inputs!$C:$C,MATCH("End Year",Inputs!$B:$B,0))*12,IF(BF$3&lt;=INDEX(Inputs!$C:$C,MATCH("*Bank Loan Origination Month*",Inputs!$B:$B,0)),0,BE56),0)</f>
        <v>0</v>
      </c>
      <c r="BG51" s="152">
        <f t="array" ref="BG51">IF(BG$3&lt;=INDEX(Inputs!$C:$C,MATCH("End Year",Inputs!$B:$B,0))*12,IF(BG$3&lt;=INDEX(Inputs!$C:$C,MATCH("*Bank Loan Origination Month*",Inputs!$B:$B,0)),0,BF56),0)</f>
        <v>0</v>
      </c>
      <c r="BH51" s="152">
        <f t="array" ref="BH51">IF(BH$3&lt;=INDEX(Inputs!$C:$C,MATCH("End Year",Inputs!$B:$B,0))*12,IF(BH$3&lt;=INDEX(Inputs!$C:$C,MATCH("*Bank Loan Origination Month*",Inputs!$B:$B,0)),0,BG56),0)</f>
        <v>0</v>
      </c>
      <c r="BI51" s="152">
        <f t="array" ref="BI51">IF(BI$3&lt;=INDEX(Inputs!$C:$C,MATCH("End Year",Inputs!$B:$B,0))*12,IF(BI$3&lt;=INDEX(Inputs!$C:$C,MATCH("*Bank Loan Origination Month*",Inputs!$B:$B,0)),0,BH56),0)</f>
        <v>0</v>
      </c>
      <c r="BJ51" s="152">
        <f t="array" ref="BJ51">IF(BJ$3&lt;=INDEX(Inputs!$C:$C,MATCH("End Year",Inputs!$B:$B,0))*12,IF(BJ$3&lt;=INDEX(Inputs!$C:$C,MATCH("*Bank Loan Origination Month*",Inputs!$B:$B,0)),0,BI56),0)</f>
        <v>0</v>
      </c>
      <c r="BK51" s="152">
        <f t="array" ref="BK51">IF(BK$3&lt;=INDEX(Inputs!$C:$C,MATCH("End Year",Inputs!$B:$B,0))*12,IF(BK$3&lt;=INDEX(Inputs!$C:$C,MATCH("*Bank Loan Origination Month*",Inputs!$B:$B,0)),0,BJ56),0)</f>
        <v>0</v>
      </c>
      <c r="BL51" s="152">
        <f t="array" ref="BL51">IF(BL$3&lt;=INDEX(Inputs!$C:$C,MATCH("End Year",Inputs!$B:$B,0))*12,IF(BL$3&lt;=INDEX(Inputs!$C:$C,MATCH("*Bank Loan Origination Month*",Inputs!$B:$B,0)),0,BK56),0)</f>
        <v>0</v>
      </c>
      <c r="BM51" s="152">
        <f t="array" ref="BM51">IF(BM$3&lt;=INDEX(Inputs!$C:$C,MATCH("End Year",Inputs!$B:$B,0))*12,IF(BM$3&lt;=INDEX(Inputs!$C:$C,MATCH("*Bank Loan Origination Month*",Inputs!$B:$B,0)),0,BL56),0)</f>
        <v>0</v>
      </c>
      <c r="BN51" s="152">
        <f t="array" ref="BN51">IF(BN$3&lt;=INDEX(Inputs!$C:$C,MATCH("End Year",Inputs!$B:$B,0))*12,IF(BN$3&lt;=INDEX(Inputs!$C:$C,MATCH("*Bank Loan Origination Month*",Inputs!$B:$B,0)),0,BM56),0)</f>
        <v>0</v>
      </c>
      <c r="BO51" s="152">
        <f t="array" ref="BO51">IF(BO$3&lt;=INDEX(Inputs!$C:$C,MATCH("End Year",Inputs!$B:$B,0))*12,IF(BO$3&lt;=INDEX(Inputs!$C:$C,MATCH("*Bank Loan Origination Month*",Inputs!$B:$B,0)),0,BN56),0)</f>
        <v>0</v>
      </c>
      <c r="BP51" s="152">
        <f t="array" ref="BP51">IF(BP$3&lt;=INDEX(Inputs!$C:$C,MATCH("End Year",Inputs!$B:$B,0))*12,IF(BP$3&lt;=INDEX(Inputs!$C:$C,MATCH("*Bank Loan Origination Month*",Inputs!$B:$B,0)),0,BO56),0)</f>
        <v>0</v>
      </c>
      <c r="BQ51" s="152">
        <f t="array" ref="BQ51">IF(BQ$3&lt;=INDEX(Inputs!$C:$C,MATCH("End Year",Inputs!$B:$B,0))*12,IF(BQ$3&lt;=INDEX(Inputs!$C:$C,MATCH("*Bank Loan Origination Month*",Inputs!$B:$B,0)),0,BP56),0)</f>
        <v>0</v>
      </c>
      <c r="BR51" s="152">
        <f t="array" ref="BR51">IF(BR$3&lt;=INDEX(Inputs!$C:$C,MATCH("End Year",Inputs!$B:$B,0))*12,IF(BR$3&lt;=INDEX(Inputs!$C:$C,MATCH("*Bank Loan Origination Month*",Inputs!$B:$B,0)),0,BQ56),0)</f>
        <v>0</v>
      </c>
      <c r="BS51" s="152">
        <f t="array" ref="BS51">IF(BS$3&lt;=INDEX(Inputs!$C:$C,MATCH("End Year",Inputs!$B:$B,0))*12,IF(BS$3&lt;=INDEX(Inputs!$C:$C,MATCH("*Bank Loan Origination Month*",Inputs!$B:$B,0)),0,BR56),0)</f>
        <v>0</v>
      </c>
      <c r="BT51" s="152">
        <f t="array" ref="BT51">IF(BT$3&lt;=INDEX(Inputs!$C:$C,MATCH("End Year",Inputs!$B:$B,0))*12,IF(BT$3&lt;=INDEX(Inputs!$C:$C,MATCH("*Bank Loan Origination Month*",Inputs!$B:$B,0)),0,BS56),0)</f>
        <v>0</v>
      </c>
      <c r="BU51" s="152">
        <f t="array" ref="BU51">IF(BU$3&lt;=INDEX(Inputs!$C:$C,MATCH("End Year",Inputs!$B:$B,0))*12,IF(BU$3&lt;=INDEX(Inputs!$C:$C,MATCH("*Bank Loan Origination Month*",Inputs!$B:$B,0)),0,BT56),0)</f>
        <v>0</v>
      </c>
      <c r="BV51" s="152">
        <f t="array" ref="BV51">IF(BV$3&lt;=INDEX(Inputs!$C:$C,MATCH("End Year",Inputs!$B:$B,0))*12,IF(BV$3&lt;=INDEX(Inputs!$C:$C,MATCH("*Bank Loan Origination Month*",Inputs!$B:$B,0)),0,BU56),0)</f>
        <v>0</v>
      </c>
      <c r="BW51" s="152">
        <f t="array" ref="BW51">IF(BW$3&lt;=INDEX(Inputs!$C:$C,MATCH("End Year",Inputs!$B:$B,0))*12,IF(BW$3&lt;=INDEX(Inputs!$C:$C,MATCH("*Bank Loan Origination Month*",Inputs!$B:$B,0)),0,BV56),0)</f>
        <v>0</v>
      </c>
      <c r="BX51" s="152">
        <f t="array" ref="BX51">IF(BX$3&lt;=INDEX(Inputs!$C:$C,MATCH("End Year",Inputs!$B:$B,0))*12,IF(BX$3&lt;=INDEX(Inputs!$C:$C,MATCH("*Bank Loan Origination Month*",Inputs!$B:$B,0)),0,BW56),0)</f>
        <v>0</v>
      </c>
      <c r="BY51" s="152">
        <f t="array" ref="BY51">IF(BY$3&lt;=INDEX(Inputs!$C:$C,MATCH("End Year",Inputs!$B:$B,0))*12,IF(BY$3&lt;=INDEX(Inputs!$C:$C,MATCH("*Bank Loan Origination Month*",Inputs!$B:$B,0)),0,BX56),0)</f>
        <v>0</v>
      </c>
      <c r="BZ51" s="152">
        <f t="array" ref="BZ51">IF(BZ$3&lt;=INDEX(Inputs!$C:$C,MATCH("End Year",Inputs!$B:$B,0))*12,IF(BZ$3&lt;=INDEX(Inputs!$C:$C,MATCH("*Bank Loan Origination Month*",Inputs!$B:$B,0)),0,BY56),0)</f>
        <v>0</v>
      </c>
      <c r="CA51" s="152">
        <f t="array" ref="CA51">IF(CA$3&lt;=INDEX(Inputs!$C:$C,MATCH("End Year",Inputs!$B:$B,0))*12,IF(CA$3&lt;=INDEX(Inputs!$C:$C,MATCH("*Bank Loan Origination Month*",Inputs!$B:$B,0)),0,BZ56),0)</f>
        <v>0</v>
      </c>
      <c r="CB51" s="152">
        <f t="array" ref="CB51">IF(CB$3&lt;=INDEX(Inputs!$C:$C,MATCH("End Year",Inputs!$B:$B,0))*12,IF(CB$3&lt;=INDEX(Inputs!$C:$C,MATCH("*Bank Loan Origination Month*",Inputs!$B:$B,0)),0,CA56),0)</f>
        <v>0</v>
      </c>
      <c r="CC51" s="152">
        <f t="array" ref="CC51">IF(CC$3&lt;=INDEX(Inputs!$C:$C,MATCH("End Year",Inputs!$B:$B,0))*12,IF(CC$3&lt;=INDEX(Inputs!$C:$C,MATCH("*Bank Loan Origination Month*",Inputs!$B:$B,0)),0,CB56),0)</f>
        <v>0</v>
      </c>
      <c r="CD51" s="152">
        <f t="array" ref="CD51">IF(CD$3&lt;=INDEX(Inputs!$C:$C,MATCH("End Year",Inputs!$B:$B,0))*12,IF(CD$3&lt;=INDEX(Inputs!$C:$C,MATCH("*Bank Loan Origination Month*",Inputs!$B:$B,0)),0,CC56),0)</f>
        <v>0</v>
      </c>
      <c r="CE51" s="152">
        <f t="array" ref="CE51">IF(CE$3&lt;=INDEX(Inputs!$C:$C,MATCH("End Year",Inputs!$B:$B,0))*12,IF(CE$3&lt;=INDEX(Inputs!$C:$C,MATCH("*Bank Loan Origination Month*",Inputs!$B:$B,0)),0,CD56),0)</f>
        <v>0</v>
      </c>
      <c r="CF51" s="152">
        <f t="array" ref="CF51">IF(CF$3&lt;=INDEX(Inputs!$C:$C,MATCH("End Year",Inputs!$B:$B,0))*12,IF(CF$3&lt;=INDEX(Inputs!$C:$C,MATCH("*Bank Loan Origination Month*",Inputs!$B:$B,0)),0,CE56),0)</f>
        <v>0</v>
      </c>
      <c r="CG51" s="152">
        <f t="array" ref="CG51">IF(CG$3&lt;=INDEX(Inputs!$C:$C,MATCH("End Year",Inputs!$B:$B,0))*12,IF(CG$3&lt;=INDEX(Inputs!$C:$C,MATCH("*Bank Loan Origination Month*",Inputs!$B:$B,0)),0,CF56),0)</f>
        <v>0</v>
      </c>
      <c r="CH51" s="152">
        <f t="array" ref="CH51">IF(CH$3&lt;=INDEX(Inputs!$C:$C,MATCH("End Year",Inputs!$B:$B,0))*12,IF(CH$3&lt;=INDEX(Inputs!$C:$C,MATCH("*Bank Loan Origination Month*",Inputs!$B:$B,0)),0,CG56),0)</f>
        <v>0</v>
      </c>
      <c r="CI51" s="152">
        <f t="array" ref="CI51">IF(CI$3&lt;=INDEX(Inputs!$C:$C,MATCH("End Year",Inputs!$B:$B,0))*12,IF(CI$3&lt;=INDEX(Inputs!$C:$C,MATCH("*Bank Loan Origination Month*",Inputs!$B:$B,0)),0,CH56),0)</f>
        <v>0</v>
      </c>
      <c r="CJ51" s="152">
        <f t="array" ref="CJ51">IF(CJ$3&lt;=INDEX(Inputs!$C:$C,MATCH("End Year",Inputs!$B:$B,0))*12,IF(CJ$3&lt;=INDEX(Inputs!$C:$C,MATCH("*Bank Loan Origination Month*",Inputs!$B:$B,0)),0,CI56),0)</f>
        <v>0</v>
      </c>
      <c r="CK51" s="152">
        <f t="array" ref="CK51">IF(CK$3&lt;=INDEX(Inputs!$C:$C,MATCH("End Year",Inputs!$B:$B,0))*12,IF(CK$3&lt;=INDEX(Inputs!$C:$C,MATCH("*Bank Loan Origination Month*",Inputs!$B:$B,0)),0,CJ56),0)</f>
        <v>0</v>
      </c>
      <c r="CL51" s="152">
        <f t="array" ref="CL51">IF(CL$3&lt;=INDEX(Inputs!$C:$C,MATCH("End Year",Inputs!$B:$B,0))*12,IF(CL$3&lt;=INDEX(Inputs!$C:$C,MATCH("*Bank Loan Origination Month*",Inputs!$B:$B,0)),0,CK56),0)</f>
        <v>0</v>
      </c>
      <c r="CM51" s="152">
        <f t="array" ref="CM51">IF(CM$3&lt;=INDEX(Inputs!$C:$C,MATCH("End Year",Inputs!$B:$B,0))*12,IF(CM$3&lt;=INDEX(Inputs!$C:$C,MATCH("*Bank Loan Origination Month*",Inputs!$B:$B,0)),0,CL56),0)</f>
        <v>0</v>
      </c>
      <c r="CN51" s="152">
        <f t="array" ref="CN51">IF(CN$3&lt;=INDEX(Inputs!$C:$C,MATCH("End Year",Inputs!$B:$B,0))*12,IF(CN$3&lt;=INDEX(Inputs!$C:$C,MATCH("*Bank Loan Origination Month*",Inputs!$B:$B,0)),0,CM56),0)</f>
        <v>0</v>
      </c>
      <c r="CO51" s="152">
        <f t="array" ref="CO51">IF(CO$3&lt;=INDEX(Inputs!$C:$C,MATCH("End Year",Inputs!$B:$B,0))*12,IF(CO$3&lt;=INDEX(Inputs!$C:$C,MATCH("*Bank Loan Origination Month*",Inputs!$B:$B,0)),0,CN56),0)</f>
        <v>0</v>
      </c>
      <c r="CP51" s="152">
        <f t="array" ref="CP51">IF(CP$3&lt;=INDEX(Inputs!$C:$C,MATCH("End Year",Inputs!$B:$B,0))*12,IF(CP$3&lt;=INDEX(Inputs!$C:$C,MATCH("*Bank Loan Origination Month*",Inputs!$B:$B,0)),0,CO56),0)</f>
        <v>0</v>
      </c>
      <c r="CQ51" s="152">
        <f t="array" ref="CQ51">IF(CQ$3&lt;=INDEX(Inputs!$C:$C,MATCH("End Year",Inputs!$B:$B,0))*12,IF(CQ$3&lt;=INDEX(Inputs!$C:$C,MATCH("*Bank Loan Origination Month*",Inputs!$B:$B,0)),0,CP56),0)</f>
        <v>0</v>
      </c>
      <c r="CR51" s="152">
        <f t="array" ref="CR51">IF(CR$3&lt;=INDEX(Inputs!$C:$C,MATCH("End Year",Inputs!$B:$B,0))*12,IF(CR$3&lt;=INDEX(Inputs!$C:$C,MATCH("*Bank Loan Origination Month*",Inputs!$B:$B,0)),0,CQ56),0)</f>
        <v>0</v>
      </c>
      <c r="CS51" s="152">
        <f t="array" ref="CS51">IF(CS$3&lt;=INDEX(Inputs!$C:$C,MATCH("End Year",Inputs!$B:$B,0))*12,IF(CS$3&lt;=INDEX(Inputs!$C:$C,MATCH("*Bank Loan Origination Month*",Inputs!$B:$B,0)),0,CR56),0)</f>
        <v>0</v>
      </c>
      <c r="CT51" s="152">
        <f t="array" ref="CT51">IF(CT$3&lt;=INDEX(Inputs!$C:$C,MATCH("End Year",Inputs!$B:$B,0))*12,IF(CT$3&lt;=INDEX(Inputs!$C:$C,MATCH("*Bank Loan Origination Month*",Inputs!$B:$B,0)),0,CS56),0)</f>
        <v>0</v>
      </c>
      <c r="CU51" s="152">
        <f t="array" ref="CU51">IF(CU$3&lt;=INDEX(Inputs!$C:$C,MATCH("End Year",Inputs!$B:$B,0))*12,IF(CU$3&lt;=INDEX(Inputs!$C:$C,MATCH("*Bank Loan Origination Month*",Inputs!$B:$B,0)),0,CT56),0)</f>
        <v>0</v>
      </c>
      <c r="CV51" s="152">
        <f t="array" ref="CV51">IF(CV$3&lt;=INDEX(Inputs!$C:$C,MATCH("End Year",Inputs!$B:$B,0))*12,IF(CV$3&lt;=INDEX(Inputs!$C:$C,MATCH("*Bank Loan Origination Month*",Inputs!$B:$B,0)),0,CU56),0)</f>
        <v>0</v>
      </c>
      <c r="CW51" s="152">
        <f t="array" ref="CW51">IF(CW$3&lt;=INDEX(Inputs!$C:$C,MATCH("End Year",Inputs!$B:$B,0))*12,IF(CW$3&lt;=INDEX(Inputs!$C:$C,MATCH("*Bank Loan Origination Month*",Inputs!$B:$B,0)),0,CV56),0)</f>
        <v>0</v>
      </c>
      <c r="CX51" s="152">
        <f t="array" ref="CX51">IF(CX$3&lt;=INDEX(Inputs!$C:$C,MATCH("End Year",Inputs!$B:$B,0))*12,IF(CX$3&lt;=INDEX(Inputs!$C:$C,MATCH("*Bank Loan Origination Month*",Inputs!$B:$B,0)),0,CW56),0)</f>
        <v>0</v>
      </c>
      <c r="CY51" s="152">
        <f t="array" ref="CY51">IF(CY$3&lt;=INDEX(Inputs!$C:$C,MATCH("End Year",Inputs!$B:$B,0))*12,IF(CY$3&lt;=INDEX(Inputs!$C:$C,MATCH("*Bank Loan Origination Month*",Inputs!$B:$B,0)),0,CX56),0)</f>
        <v>0</v>
      </c>
      <c r="CZ51" s="152">
        <f t="array" ref="CZ51">IF(CZ$3&lt;=INDEX(Inputs!$C:$C,MATCH("End Year",Inputs!$B:$B,0))*12,IF(CZ$3&lt;=INDEX(Inputs!$C:$C,MATCH("*Bank Loan Origination Month*",Inputs!$B:$B,0)),0,CY56),0)</f>
        <v>0</v>
      </c>
      <c r="DA51" s="152">
        <f t="array" ref="DA51">IF(DA$3&lt;=INDEX(Inputs!$C:$C,MATCH("End Year",Inputs!$B:$B,0))*12,IF(DA$3&lt;=INDEX(Inputs!$C:$C,MATCH("*Bank Loan Origination Month*",Inputs!$B:$B,0)),0,CZ56),0)</f>
        <v>0</v>
      </c>
      <c r="DB51" s="152">
        <f t="array" ref="DB51">IF(DB$3&lt;=INDEX(Inputs!$C:$C,MATCH("End Year",Inputs!$B:$B,0))*12,IF(DB$3&lt;=INDEX(Inputs!$C:$C,MATCH("*Bank Loan Origination Month*",Inputs!$B:$B,0)),0,DA56),0)</f>
        <v>0</v>
      </c>
      <c r="DC51" s="152">
        <f t="array" ref="DC51">IF(DC$3&lt;=INDEX(Inputs!$C:$C,MATCH("End Year",Inputs!$B:$B,0))*12,IF(DC$3&lt;=INDEX(Inputs!$C:$C,MATCH("*Bank Loan Origination Month*",Inputs!$B:$B,0)),0,DB56),0)</f>
        <v>0</v>
      </c>
      <c r="DD51" s="152">
        <f t="array" ref="DD51">IF(DD$3&lt;=INDEX(Inputs!$C:$C,MATCH("End Year",Inputs!$B:$B,0))*12,IF(DD$3&lt;=INDEX(Inputs!$C:$C,MATCH("*Bank Loan Origination Month*",Inputs!$B:$B,0)),0,DC56),0)</f>
        <v>0</v>
      </c>
      <c r="DE51" s="152">
        <f t="array" ref="DE51">IF(DE$3&lt;=INDEX(Inputs!$C:$C,MATCH("End Year",Inputs!$B:$B,0))*12,IF(DE$3&lt;=INDEX(Inputs!$C:$C,MATCH("*Bank Loan Origination Month*",Inputs!$B:$B,0)),0,DD56),0)</f>
        <v>0</v>
      </c>
      <c r="DF51" s="152">
        <f t="array" ref="DF51">IF(DF$3&lt;=INDEX(Inputs!$C:$C,MATCH("End Year",Inputs!$B:$B,0))*12,IF(DF$3&lt;=INDEX(Inputs!$C:$C,MATCH("*Bank Loan Origination Month*",Inputs!$B:$B,0)),0,DE56),0)</f>
        <v>0</v>
      </c>
      <c r="DG51" s="152">
        <f t="array" ref="DG51">IF(DG$3&lt;=INDEX(Inputs!$C:$C,MATCH("End Year",Inputs!$B:$B,0))*12,IF(DG$3&lt;=INDEX(Inputs!$C:$C,MATCH("*Bank Loan Origination Month*",Inputs!$B:$B,0)),0,DF56),0)</f>
        <v>0</v>
      </c>
      <c r="DH51" s="152">
        <f t="array" ref="DH51">IF(DH$3&lt;=INDEX(Inputs!$C:$C,MATCH("End Year",Inputs!$B:$B,0))*12,IF(DH$3&lt;=INDEX(Inputs!$C:$C,MATCH("*Bank Loan Origination Month*",Inputs!$B:$B,0)),0,DG56),0)</f>
        <v>0</v>
      </c>
      <c r="DI51" s="152">
        <f t="array" ref="DI51">IF(DI$3&lt;=INDEX(Inputs!$C:$C,MATCH("End Year",Inputs!$B:$B,0))*12,IF(DI$3&lt;=INDEX(Inputs!$C:$C,MATCH("*Bank Loan Origination Month*",Inputs!$B:$B,0)),0,DH56),0)</f>
        <v>0</v>
      </c>
      <c r="DJ51" s="152">
        <f t="array" ref="DJ51">IF(DJ$3&lt;=INDEX(Inputs!$C:$C,MATCH("End Year",Inputs!$B:$B,0))*12,IF(DJ$3&lt;=INDEX(Inputs!$C:$C,MATCH("*Bank Loan Origination Month*",Inputs!$B:$B,0)),0,DI56),0)</f>
        <v>0</v>
      </c>
      <c r="DK51" s="152">
        <f t="array" ref="DK51">IF(DK$3&lt;=INDEX(Inputs!$C:$C,MATCH("End Year",Inputs!$B:$B,0))*12,IF(DK$3&lt;=INDEX(Inputs!$C:$C,MATCH("*Bank Loan Origination Month*",Inputs!$B:$B,0)),0,DJ56),0)</f>
        <v>0</v>
      </c>
      <c r="DL51" s="152">
        <f t="array" ref="DL51">IF(DL$3&lt;=INDEX(Inputs!$C:$C,MATCH("End Year",Inputs!$B:$B,0))*12,IF(DL$3&lt;=INDEX(Inputs!$C:$C,MATCH("*Bank Loan Origination Month*",Inputs!$B:$B,0)),0,DK56),0)</f>
        <v>0</v>
      </c>
      <c r="DM51" s="152">
        <f t="array" ref="DM51">IF(DM$3&lt;=INDEX(Inputs!$C:$C,MATCH("End Year",Inputs!$B:$B,0))*12,IF(DM$3&lt;=INDEX(Inputs!$C:$C,MATCH("*Bank Loan Origination Month*",Inputs!$B:$B,0)),0,DL56),0)</f>
        <v>0</v>
      </c>
      <c r="DN51" s="152">
        <f t="array" ref="DN51">IF(DN$3&lt;=INDEX(Inputs!$C:$C,MATCH("End Year",Inputs!$B:$B,0))*12,IF(DN$3&lt;=INDEX(Inputs!$C:$C,MATCH("*Bank Loan Origination Month*",Inputs!$B:$B,0)),0,DM56),0)</f>
        <v>0</v>
      </c>
      <c r="DO51" s="152">
        <f t="array" ref="DO51">IF(DO$3&lt;=INDEX(Inputs!$C:$C,MATCH("End Year",Inputs!$B:$B,0))*12,IF(DO$3&lt;=INDEX(Inputs!$C:$C,MATCH("*Bank Loan Origination Month*",Inputs!$B:$B,0)),0,DN56),0)</f>
        <v>0</v>
      </c>
      <c r="DP51" s="152">
        <f t="array" ref="DP51">IF(DP$3&lt;=INDEX(Inputs!$C:$C,MATCH("End Year",Inputs!$B:$B,0))*12,IF(DP$3&lt;=INDEX(Inputs!$C:$C,MATCH("*Bank Loan Origination Month*",Inputs!$B:$B,0)),0,DO56),0)</f>
        <v>0</v>
      </c>
      <c r="DQ51" s="152">
        <f t="array" ref="DQ51">IF(DQ$3&lt;=INDEX(Inputs!$C:$C,MATCH("End Year",Inputs!$B:$B,0))*12,IF(DQ$3&lt;=INDEX(Inputs!$C:$C,MATCH("*Bank Loan Origination Month*",Inputs!$B:$B,0)),0,DP56),0)</f>
        <v>0</v>
      </c>
      <c r="DR51" s="152">
        <f t="array" ref="DR51">IF(DR$3&lt;=INDEX(Inputs!$C:$C,MATCH("End Year",Inputs!$B:$B,0))*12,IF(DR$3&lt;=INDEX(Inputs!$C:$C,MATCH("*Bank Loan Origination Month*",Inputs!$B:$B,0)),0,DQ56),0)</f>
        <v>0</v>
      </c>
      <c r="DS51" s="44">
        <f t="array" ref="DS51">IF(DS$3&lt;=INDEX(Inputs!$C:$C,MATCH("End Year",Inputs!$B:$B,0))*12,IF(DS$3&lt;=INDEX(Inputs!$C:$C,MATCH("*Bank Loan Origination Month*",Inputs!$B:$B,0)),0,DR56),0)</f>
        <v>0</v>
      </c>
    </row>
    <row r="52" ht="15.75" customHeight="1">
      <c r="A52" s="44"/>
      <c r="B52" s="46" t="s">
        <v>340</v>
      </c>
      <c r="C52" s="152">
        <f t="array" ref="C52">IF(C$3&lt;=INDEX(Inputs!$C:$C,MATCH("End Year",Inputs!$B:$B,0))*12,IF(C$3=INDEX(Inputs!$C:$C,MATCH("*Bank Loan Origination Month*",Inputs!$B:$B,0)),INDEX(Inputs!$C:$C,MATCH("*Bank Loan Amount*",Inputs!$B:$B,0)),0),0)</f>
        <v>0</v>
      </c>
      <c r="D52" s="152">
        <f t="array" ref="D52">IF(D$3&lt;=INDEX(Inputs!$C:$C,MATCH("End Year",Inputs!$B:$B,0))*12,IF(D$3=INDEX(Inputs!$C:$C,MATCH("*Bank Loan Origination Month*",Inputs!$B:$B,0)),INDEX(Inputs!$C:$C,MATCH("*Bank Loan Amount*",Inputs!$B:$B,0)),0),0)</f>
        <v>0</v>
      </c>
      <c r="E52" s="152">
        <f t="array" ref="E52">IF(E$3&lt;=INDEX(Inputs!$C:$C,MATCH("End Year",Inputs!$B:$B,0))*12,IF(E$3=INDEX(Inputs!$C:$C,MATCH("*Bank Loan Origination Month*",Inputs!$B:$B,0)),INDEX(Inputs!$C:$C,MATCH("*Bank Loan Amount*",Inputs!$B:$B,0)),0),0)</f>
        <v>0</v>
      </c>
      <c r="F52" s="152">
        <f t="array" ref="F52">IF(F$3&lt;=INDEX(Inputs!$C:$C,MATCH("End Year",Inputs!$B:$B,0))*12,IF(F$3=INDEX(Inputs!$C:$C,MATCH("*Bank Loan Origination Month*",Inputs!$B:$B,0)),INDEX(Inputs!$C:$C,MATCH("*Bank Loan Amount*",Inputs!$B:$B,0)),0),0)</f>
        <v>0</v>
      </c>
      <c r="G52" s="152">
        <f t="array" ref="G52">IF(G$3&lt;=INDEX(Inputs!$C:$C,MATCH("End Year",Inputs!$B:$B,0))*12,IF(G$3=INDEX(Inputs!$C:$C,MATCH("*Bank Loan Origination Month*",Inputs!$B:$B,0)),INDEX(Inputs!$C:$C,MATCH("*Bank Loan Amount*",Inputs!$B:$B,0)),0),0)</f>
        <v>0</v>
      </c>
      <c r="H52" s="152">
        <f t="array" ref="H52">IF(H$3&lt;=INDEX(Inputs!$C:$C,MATCH("End Year",Inputs!$B:$B,0))*12,IF(H$3=INDEX(Inputs!$C:$C,MATCH("*Bank Loan Origination Month*",Inputs!$B:$B,0)),INDEX(Inputs!$C:$C,MATCH("*Bank Loan Amount*",Inputs!$B:$B,0)),0),0)</f>
        <v>0</v>
      </c>
      <c r="I52" s="152">
        <f t="array" ref="I52">IF(I$3&lt;=INDEX(Inputs!$C:$C,MATCH("End Year",Inputs!$B:$B,0))*12,IF(I$3=INDEX(Inputs!$C:$C,MATCH("*Bank Loan Origination Month*",Inputs!$B:$B,0)),INDEX(Inputs!$C:$C,MATCH("*Bank Loan Amount*",Inputs!$B:$B,0)),0),0)</f>
        <v>0</v>
      </c>
      <c r="J52" s="152">
        <f t="array" ref="J52">IF(J$3&lt;=INDEX(Inputs!$C:$C,MATCH("End Year",Inputs!$B:$B,0))*12,IF(J$3=INDEX(Inputs!$C:$C,MATCH("*Bank Loan Origination Month*",Inputs!$B:$B,0)),INDEX(Inputs!$C:$C,MATCH("*Bank Loan Amount*",Inputs!$B:$B,0)),0),0)</f>
        <v>0</v>
      </c>
      <c r="K52" s="152">
        <f t="array" ref="K52">IF(K$3&lt;=INDEX(Inputs!$C:$C,MATCH("End Year",Inputs!$B:$B,0))*12,IF(K$3=INDEX(Inputs!$C:$C,MATCH("*Bank Loan Origination Month*",Inputs!$B:$B,0)),INDEX(Inputs!$C:$C,MATCH("*Bank Loan Amount*",Inputs!$B:$B,0)),0),0)</f>
        <v>0</v>
      </c>
      <c r="L52" s="152">
        <f t="array" ref="L52">IF(L$3&lt;=INDEX(Inputs!$C:$C,MATCH("End Year",Inputs!$B:$B,0))*12,IF(L$3=INDEX(Inputs!$C:$C,MATCH("*Bank Loan Origination Month*",Inputs!$B:$B,0)),INDEX(Inputs!$C:$C,MATCH("*Bank Loan Amount*",Inputs!$B:$B,0)),0),0)</f>
        <v>0</v>
      </c>
      <c r="M52" s="152">
        <f t="array" ref="M52">IF(M$3&lt;=INDEX(Inputs!$C:$C,MATCH("End Year",Inputs!$B:$B,0))*12,IF(M$3=INDEX(Inputs!$C:$C,MATCH("*Bank Loan Origination Month*",Inputs!$B:$B,0)),INDEX(Inputs!$C:$C,MATCH("*Bank Loan Amount*",Inputs!$B:$B,0)),0),0)</f>
        <v>0</v>
      </c>
      <c r="N52" s="152">
        <f t="array" ref="N52">IF(N$3&lt;=INDEX(Inputs!$C:$C,MATCH("End Year",Inputs!$B:$B,0))*12,IF(N$3=INDEX(Inputs!$C:$C,MATCH("*Bank Loan Origination Month*",Inputs!$B:$B,0)),INDEX(Inputs!$C:$C,MATCH("*Bank Loan Amount*",Inputs!$B:$B,0)),0),0)</f>
        <v>0</v>
      </c>
      <c r="O52" s="152">
        <f t="array" ref="O52">IF(O$3&lt;=INDEX(Inputs!$C:$C,MATCH("End Year",Inputs!$B:$B,0))*12,IF(O$3=INDEX(Inputs!$C:$C,MATCH("*Bank Loan Origination Month*",Inputs!$B:$B,0)),INDEX(Inputs!$C:$C,MATCH("*Bank Loan Amount*",Inputs!$B:$B,0)),0),0)</f>
        <v>0</v>
      </c>
      <c r="P52" s="152">
        <f t="array" ref="P52">IF(P$3&lt;=INDEX(Inputs!$C:$C,MATCH("End Year",Inputs!$B:$B,0))*12,IF(P$3=INDEX(Inputs!$C:$C,MATCH("*Bank Loan Origination Month*",Inputs!$B:$B,0)),INDEX(Inputs!$C:$C,MATCH("*Bank Loan Amount*",Inputs!$B:$B,0)),0),0)</f>
        <v>0</v>
      </c>
      <c r="Q52" s="152">
        <f t="array" ref="Q52">IF(Q$3&lt;=INDEX(Inputs!$C:$C,MATCH("End Year",Inputs!$B:$B,0))*12,IF(Q$3=INDEX(Inputs!$C:$C,MATCH("*Bank Loan Origination Month*",Inputs!$B:$B,0)),INDEX(Inputs!$C:$C,MATCH("*Bank Loan Amount*",Inputs!$B:$B,0)),0),0)</f>
        <v>0</v>
      </c>
      <c r="R52" s="152">
        <f t="array" ref="R52">IF(R$3&lt;=INDEX(Inputs!$C:$C,MATCH("End Year",Inputs!$B:$B,0))*12,IF(R$3=INDEX(Inputs!$C:$C,MATCH("*Bank Loan Origination Month*",Inputs!$B:$B,0)),INDEX(Inputs!$C:$C,MATCH("*Bank Loan Amount*",Inputs!$B:$B,0)),0),0)</f>
        <v>0</v>
      </c>
      <c r="S52" s="152">
        <f t="array" ref="S52">IF(S$3&lt;=INDEX(Inputs!$C:$C,MATCH("End Year",Inputs!$B:$B,0))*12,IF(S$3=INDEX(Inputs!$C:$C,MATCH("*Bank Loan Origination Month*",Inputs!$B:$B,0)),INDEX(Inputs!$C:$C,MATCH("*Bank Loan Amount*",Inputs!$B:$B,0)),0),0)</f>
        <v>0</v>
      </c>
      <c r="T52" s="152">
        <f t="array" ref="T52">IF(T$3&lt;=INDEX(Inputs!$C:$C,MATCH("End Year",Inputs!$B:$B,0))*12,IF(T$3=INDEX(Inputs!$C:$C,MATCH("*Bank Loan Origination Month*",Inputs!$B:$B,0)),INDEX(Inputs!$C:$C,MATCH("*Bank Loan Amount*",Inputs!$B:$B,0)),0),0)</f>
        <v>0</v>
      </c>
      <c r="U52" s="152">
        <f t="array" ref="U52">IF(U$3&lt;=INDEX(Inputs!$C:$C,MATCH("End Year",Inputs!$B:$B,0))*12,IF(U$3=INDEX(Inputs!$C:$C,MATCH("*Bank Loan Origination Month*",Inputs!$B:$B,0)),INDEX(Inputs!$C:$C,MATCH("*Bank Loan Amount*",Inputs!$B:$B,0)),0),0)</f>
        <v>0</v>
      </c>
      <c r="V52" s="152">
        <f t="array" ref="V52">IF(V$3&lt;=INDEX(Inputs!$C:$C,MATCH("End Year",Inputs!$B:$B,0))*12,IF(V$3=INDEX(Inputs!$C:$C,MATCH("*Bank Loan Origination Month*",Inputs!$B:$B,0)),INDEX(Inputs!$C:$C,MATCH("*Bank Loan Amount*",Inputs!$B:$B,0)),0),0)</f>
        <v>0</v>
      </c>
      <c r="W52" s="152">
        <f t="array" ref="W52">IF(W$3&lt;=INDEX(Inputs!$C:$C,MATCH("End Year",Inputs!$B:$B,0))*12,IF(W$3=INDEX(Inputs!$C:$C,MATCH("*Bank Loan Origination Month*",Inputs!$B:$B,0)),INDEX(Inputs!$C:$C,MATCH("*Bank Loan Amount*",Inputs!$B:$B,0)),0),0)</f>
        <v>0</v>
      </c>
      <c r="X52" s="152">
        <f t="array" ref="X52">IF(X$3&lt;=INDEX(Inputs!$C:$C,MATCH("End Year",Inputs!$B:$B,0))*12,IF(X$3=INDEX(Inputs!$C:$C,MATCH("*Bank Loan Origination Month*",Inputs!$B:$B,0)),INDEX(Inputs!$C:$C,MATCH("*Bank Loan Amount*",Inputs!$B:$B,0)),0),0)</f>
        <v>0</v>
      </c>
      <c r="Y52" s="152">
        <f t="array" ref="Y52">IF(Y$3&lt;=INDEX(Inputs!$C:$C,MATCH("End Year",Inputs!$B:$B,0))*12,IF(Y$3=INDEX(Inputs!$C:$C,MATCH("*Bank Loan Origination Month*",Inputs!$B:$B,0)),INDEX(Inputs!$C:$C,MATCH("*Bank Loan Amount*",Inputs!$B:$B,0)),0),0)</f>
        <v>0</v>
      </c>
      <c r="Z52" s="152">
        <f t="array" ref="Z52">IF(Z$3&lt;=INDEX(Inputs!$C:$C,MATCH("End Year",Inputs!$B:$B,0))*12,IF(Z$3=INDEX(Inputs!$C:$C,MATCH("*Bank Loan Origination Month*",Inputs!$B:$B,0)),INDEX(Inputs!$C:$C,MATCH("*Bank Loan Amount*",Inputs!$B:$B,0)),0),0)</f>
        <v>0</v>
      </c>
      <c r="AA52" s="152">
        <f t="array" ref="AA52">IF(AA$3&lt;=INDEX(Inputs!$C:$C,MATCH("End Year",Inputs!$B:$B,0))*12,IF(AA$3=INDEX(Inputs!$C:$C,MATCH("*Bank Loan Origination Month*",Inputs!$B:$B,0)),INDEX(Inputs!$C:$C,MATCH("*Bank Loan Amount*",Inputs!$B:$B,0)),0),0)</f>
        <v>0</v>
      </c>
      <c r="AB52" s="152">
        <f t="array" ref="AB52">IF(AB$3&lt;=INDEX(Inputs!$C:$C,MATCH("End Year",Inputs!$B:$B,0))*12,IF(AB$3=INDEX(Inputs!$C:$C,MATCH("*Bank Loan Origination Month*",Inputs!$B:$B,0)),INDEX(Inputs!$C:$C,MATCH("*Bank Loan Amount*",Inputs!$B:$B,0)),0),0)</f>
        <v>0</v>
      </c>
      <c r="AC52" s="152">
        <f t="array" ref="AC52">IF(AC$3&lt;=INDEX(Inputs!$C:$C,MATCH("End Year",Inputs!$B:$B,0))*12,IF(AC$3=INDEX(Inputs!$C:$C,MATCH("*Bank Loan Origination Month*",Inputs!$B:$B,0)),INDEX(Inputs!$C:$C,MATCH("*Bank Loan Amount*",Inputs!$B:$B,0)),0),0)</f>
        <v>0</v>
      </c>
      <c r="AD52" s="152">
        <f t="array" ref="AD52">IF(AD$3&lt;=INDEX(Inputs!$C:$C,MATCH("End Year",Inputs!$B:$B,0))*12,IF(AD$3=INDEX(Inputs!$C:$C,MATCH("*Bank Loan Origination Month*",Inputs!$B:$B,0)),INDEX(Inputs!$C:$C,MATCH("*Bank Loan Amount*",Inputs!$B:$B,0)),0),0)</f>
        <v>0</v>
      </c>
      <c r="AE52" s="152">
        <f t="array" ref="AE52">IF(AE$3&lt;=INDEX(Inputs!$C:$C,MATCH("End Year",Inputs!$B:$B,0))*12,IF(AE$3=INDEX(Inputs!$C:$C,MATCH("*Bank Loan Origination Month*",Inputs!$B:$B,0)),INDEX(Inputs!$C:$C,MATCH("*Bank Loan Amount*",Inputs!$B:$B,0)),0),0)</f>
        <v>0</v>
      </c>
      <c r="AF52" s="152">
        <f t="array" ref="AF52">IF(AF$3&lt;=INDEX(Inputs!$C:$C,MATCH("End Year",Inputs!$B:$B,0))*12,IF(AF$3=INDEX(Inputs!$C:$C,MATCH("*Bank Loan Origination Month*",Inputs!$B:$B,0)),INDEX(Inputs!$C:$C,MATCH("*Bank Loan Amount*",Inputs!$B:$B,0)),0),0)</f>
        <v>0</v>
      </c>
      <c r="AG52" s="152">
        <f t="array" ref="AG52">IF(AG$3&lt;=INDEX(Inputs!$C:$C,MATCH("End Year",Inputs!$B:$B,0))*12,IF(AG$3=INDEX(Inputs!$C:$C,MATCH("*Bank Loan Origination Month*",Inputs!$B:$B,0)),INDEX(Inputs!$C:$C,MATCH("*Bank Loan Amount*",Inputs!$B:$B,0)),0),0)</f>
        <v>0</v>
      </c>
      <c r="AH52" s="152">
        <f t="array" ref="AH52">IF(AH$3&lt;=INDEX(Inputs!$C:$C,MATCH("End Year",Inputs!$B:$B,0))*12,IF(AH$3=INDEX(Inputs!$C:$C,MATCH("*Bank Loan Origination Month*",Inputs!$B:$B,0)),INDEX(Inputs!$C:$C,MATCH("*Bank Loan Amount*",Inputs!$B:$B,0)),0),0)</f>
        <v>0</v>
      </c>
      <c r="AI52" s="152">
        <f t="array" ref="AI52">IF(AI$3&lt;=INDEX(Inputs!$C:$C,MATCH("End Year",Inputs!$B:$B,0))*12,IF(AI$3=INDEX(Inputs!$C:$C,MATCH("*Bank Loan Origination Month*",Inputs!$B:$B,0)),INDEX(Inputs!$C:$C,MATCH("*Bank Loan Amount*",Inputs!$B:$B,0)),0),0)</f>
        <v>0</v>
      </c>
      <c r="AJ52" s="152">
        <f t="array" ref="AJ52">IF(AJ$3&lt;=INDEX(Inputs!$C:$C,MATCH("End Year",Inputs!$B:$B,0))*12,IF(AJ$3=INDEX(Inputs!$C:$C,MATCH("*Bank Loan Origination Month*",Inputs!$B:$B,0)),INDEX(Inputs!$C:$C,MATCH("*Bank Loan Amount*",Inputs!$B:$B,0)),0),0)</f>
        <v>0</v>
      </c>
      <c r="AK52" s="152">
        <f t="array" ref="AK52">IF(AK$3&lt;=INDEX(Inputs!$C:$C,MATCH("End Year",Inputs!$B:$B,0))*12,IF(AK$3=INDEX(Inputs!$C:$C,MATCH("*Bank Loan Origination Month*",Inputs!$B:$B,0)),INDEX(Inputs!$C:$C,MATCH("*Bank Loan Amount*",Inputs!$B:$B,0)),0),0)</f>
        <v>0</v>
      </c>
      <c r="AL52" s="152">
        <f t="array" ref="AL52">IF(AL$3&lt;=INDEX(Inputs!$C:$C,MATCH("End Year",Inputs!$B:$B,0))*12,IF(AL$3=INDEX(Inputs!$C:$C,MATCH("*Bank Loan Origination Month*",Inputs!$B:$B,0)),INDEX(Inputs!$C:$C,MATCH("*Bank Loan Amount*",Inputs!$B:$B,0)),0),0)</f>
        <v>0</v>
      </c>
      <c r="AM52" s="152">
        <f t="array" ref="AM52">IF(AM$3&lt;=INDEX(Inputs!$C:$C,MATCH("End Year",Inputs!$B:$B,0))*12,IF(AM$3=INDEX(Inputs!$C:$C,MATCH("*Bank Loan Origination Month*",Inputs!$B:$B,0)),INDEX(Inputs!$C:$C,MATCH("*Bank Loan Amount*",Inputs!$B:$B,0)),0),0)</f>
        <v>0</v>
      </c>
      <c r="AN52" s="152">
        <f t="array" ref="AN52">IF(AN$3&lt;=INDEX(Inputs!$C:$C,MATCH("End Year",Inputs!$B:$B,0))*12,IF(AN$3=INDEX(Inputs!$C:$C,MATCH("*Bank Loan Origination Month*",Inputs!$B:$B,0)),INDEX(Inputs!$C:$C,MATCH("*Bank Loan Amount*",Inputs!$B:$B,0)),0),0)</f>
        <v>0</v>
      </c>
      <c r="AO52" s="152">
        <f t="array" ref="AO52">IF(AO$3&lt;=INDEX(Inputs!$C:$C,MATCH("End Year",Inputs!$B:$B,0))*12,IF(AO$3=INDEX(Inputs!$C:$C,MATCH("*Bank Loan Origination Month*",Inputs!$B:$B,0)),INDEX(Inputs!$C:$C,MATCH("*Bank Loan Amount*",Inputs!$B:$B,0)),0),0)</f>
        <v>0</v>
      </c>
      <c r="AP52" s="152">
        <f t="array" ref="AP52">IF(AP$3&lt;=INDEX(Inputs!$C:$C,MATCH("End Year",Inputs!$B:$B,0))*12,IF(AP$3=INDEX(Inputs!$C:$C,MATCH("*Bank Loan Origination Month*",Inputs!$B:$B,0)),INDEX(Inputs!$C:$C,MATCH("*Bank Loan Amount*",Inputs!$B:$B,0)),0),0)</f>
        <v>0</v>
      </c>
      <c r="AQ52" s="152">
        <f t="array" ref="AQ52">IF(AQ$3&lt;=INDEX(Inputs!$C:$C,MATCH("End Year",Inputs!$B:$B,0))*12,IF(AQ$3=INDEX(Inputs!$C:$C,MATCH("*Bank Loan Origination Month*",Inputs!$B:$B,0)),INDEX(Inputs!$C:$C,MATCH("*Bank Loan Amount*",Inputs!$B:$B,0)),0),0)</f>
        <v>0</v>
      </c>
      <c r="AR52" s="152">
        <f t="array" ref="AR52">IF(AR$3&lt;=INDEX(Inputs!$C:$C,MATCH("End Year",Inputs!$B:$B,0))*12,IF(AR$3=INDEX(Inputs!$C:$C,MATCH("*Bank Loan Origination Month*",Inputs!$B:$B,0)),INDEX(Inputs!$C:$C,MATCH("*Bank Loan Amount*",Inputs!$B:$B,0)),0),0)</f>
        <v>0</v>
      </c>
      <c r="AS52" s="152">
        <f t="array" ref="AS52">IF(AS$3&lt;=INDEX(Inputs!$C:$C,MATCH("End Year",Inputs!$B:$B,0))*12,IF(AS$3=INDEX(Inputs!$C:$C,MATCH("*Bank Loan Origination Month*",Inputs!$B:$B,0)),INDEX(Inputs!$C:$C,MATCH("*Bank Loan Amount*",Inputs!$B:$B,0)),0),0)</f>
        <v>0</v>
      </c>
      <c r="AT52" s="152">
        <f t="array" ref="AT52">IF(AT$3&lt;=INDEX(Inputs!$C:$C,MATCH("End Year",Inputs!$B:$B,0))*12,IF(AT$3=INDEX(Inputs!$C:$C,MATCH("*Bank Loan Origination Month*",Inputs!$B:$B,0)),INDEX(Inputs!$C:$C,MATCH("*Bank Loan Amount*",Inputs!$B:$B,0)),0),0)</f>
        <v>0</v>
      </c>
      <c r="AU52" s="152">
        <f t="array" ref="AU52">IF(AU$3&lt;=INDEX(Inputs!$C:$C,MATCH("End Year",Inputs!$B:$B,0))*12,IF(AU$3=INDEX(Inputs!$C:$C,MATCH("*Bank Loan Origination Month*",Inputs!$B:$B,0)),INDEX(Inputs!$C:$C,MATCH("*Bank Loan Amount*",Inputs!$B:$B,0)),0),0)</f>
        <v>0</v>
      </c>
      <c r="AV52" s="152">
        <f t="array" ref="AV52">IF(AV$3&lt;=INDEX(Inputs!$C:$C,MATCH("End Year",Inputs!$B:$B,0))*12,IF(AV$3=INDEX(Inputs!$C:$C,MATCH("*Bank Loan Origination Month*",Inputs!$B:$B,0)),INDEX(Inputs!$C:$C,MATCH("*Bank Loan Amount*",Inputs!$B:$B,0)),0),0)</f>
        <v>0</v>
      </c>
      <c r="AW52" s="152">
        <f t="array" ref="AW52">IF(AW$3&lt;=INDEX(Inputs!$C:$C,MATCH("End Year",Inputs!$B:$B,0))*12,IF(AW$3=INDEX(Inputs!$C:$C,MATCH("*Bank Loan Origination Month*",Inputs!$B:$B,0)),INDEX(Inputs!$C:$C,MATCH("*Bank Loan Amount*",Inputs!$B:$B,0)),0),0)</f>
        <v>0</v>
      </c>
      <c r="AX52" s="152">
        <f t="array" ref="AX52">IF(AX$3&lt;=INDEX(Inputs!$C:$C,MATCH("End Year",Inputs!$B:$B,0))*12,IF(AX$3=INDEX(Inputs!$C:$C,MATCH("*Bank Loan Origination Month*",Inputs!$B:$B,0)),INDEX(Inputs!$C:$C,MATCH("*Bank Loan Amount*",Inputs!$B:$B,0)),0),0)</f>
        <v>0</v>
      </c>
      <c r="AY52" s="152">
        <f t="array" ref="AY52">IF(AY$3&lt;=INDEX(Inputs!$C:$C,MATCH("End Year",Inputs!$B:$B,0))*12,IF(AY$3=INDEX(Inputs!$C:$C,MATCH("*Bank Loan Origination Month*",Inputs!$B:$B,0)),INDEX(Inputs!$C:$C,MATCH("*Bank Loan Amount*",Inputs!$B:$B,0)),0),0)</f>
        <v>0</v>
      </c>
      <c r="AZ52" s="152">
        <f t="array" ref="AZ52">IF(AZ$3&lt;=INDEX(Inputs!$C:$C,MATCH("End Year",Inputs!$B:$B,0))*12,IF(AZ$3=INDEX(Inputs!$C:$C,MATCH("*Bank Loan Origination Month*",Inputs!$B:$B,0)),INDEX(Inputs!$C:$C,MATCH("*Bank Loan Amount*",Inputs!$B:$B,0)),0),0)</f>
        <v>0</v>
      </c>
      <c r="BA52" s="152">
        <f t="array" ref="BA52">IF(BA$3&lt;=INDEX(Inputs!$C:$C,MATCH("End Year",Inputs!$B:$B,0))*12,IF(BA$3=INDEX(Inputs!$C:$C,MATCH("*Bank Loan Origination Month*",Inputs!$B:$B,0)),INDEX(Inputs!$C:$C,MATCH("*Bank Loan Amount*",Inputs!$B:$B,0)),0),0)</f>
        <v>0</v>
      </c>
      <c r="BB52" s="152">
        <f t="array" ref="BB52">IF(BB$3&lt;=INDEX(Inputs!$C:$C,MATCH("End Year",Inputs!$B:$B,0))*12,IF(BB$3=INDEX(Inputs!$C:$C,MATCH("*Bank Loan Origination Month*",Inputs!$B:$B,0)),INDEX(Inputs!$C:$C,MATCH("*Bank Loan Amount*",Inputs!$B:$B,0)),0),0)</f>
        <v>0</v>
      </c>
      <c r="BC52" s="152">
        <f t="array" ref="BC52">IF(BC$3&lt;=INDEX(Inputs!$C:$C,MATCH("End Year",Inputs!$B:$B,0))*12,IF(BC$3=INDEX(Inputs!$C:$C,MATCH("*Bank Loan Origination Month*",Inputs!$B:$B,0)),INDEX(Inputs!$C:$C,MATCH("*Bank Loan Amount*",Inputs!$B:$B,0)),0),0)</f>
        <v>0</v>
      </c>
      <c r="BD52" s="152">
        <f t="array" ref="BD52">IF(BD$3&lt;=INDEX(Inputs!$C:$C,MATCH("End Year",Inputs!$B:$B,0))*12,IF(BD$3=INDEX(Inputs!$C:$C,MATCH("*Bank Loan Origination Month*",Inputs!$B:$B,0)),INDEX(Inputs!$C:$C,MATCH("*Bank Loan Amount*",Inputs!$B:$B,0)),0),0)</f>
        <v>0</v>
      </c>
      <c r="BE52" s="152">
        <f t="array" ref="BE52">IF(BE$3&lt;=INDEX(Inputs!$C:$C,MATCH("End Year",Inputs!$B:$B,0))*12,IF(BE$3=INDEX(Inputs!$C:$C,MATCH("*Bank Loan Origination Month*",Inputs!$B:$B,0)),INDEX(Inputs!$C:$C,MATCH("*Bank Loan Amount*",Inputs!$B:$B,0)),0),0)</f>
        <v>0</v>
      </c>
      <c r="BF52" s="152">
        <f t="array" ref="BF52">IF(BF$3&lt;=INDEX(Inputs!$C:$C,MATCH("End Year",Inputs!$B:$B,0))*12,IF(BF$3=INDEX(Inputs!$C:$C,MATCH("*Bank Loan Origination Month*",Inputs!$B:$B,0)),INDEX(Inputs!$C:$C,MATCH("*Bank Loan Amount*",Inputs!$B:$B,0)),0),0)</f>
        <v>0</v>
      </c>
      <c r="BG52" s="152">
        <f t="array" ref="BG52">IF(BG$3&lt;=INDEX(Inputs!$C:$C,MATCH("End Year",Inputs!$B:$B,0))*12,IF(BG$3=INDEX(Inputs!$C:$C,MATCH("*Bank Loan Origination Month*",Inputs!$B:$B,0)),INDEX(Inputs!$C:$C,MATCH("*Bank Loan Amount*",Inputs!$B:$B,0)),0),0)</f>
        <v>0</v>
      </c>
      <c r="BH52" s="152">
        <f t="array" ref="BH52">IF(BH$3&lt;=INDEX(Inputs!$C:$C,MATCH("End Year",Inputs!$B:$B,0))*12,IF(BH$3=INDEX(Inputs!$C:$C,MATCH("*Bank Loan Origination Month*",Inputs!$B:$B,0)),INDEX(Inputs!$C:$C,MATCH("*Bank Loan Amount*",Inputs!$B:$B,0)),0),0)</f>
        <v>0</v>
      </c>
      <c r="BI52" s="152">
        <f t="array" ref="BI52">IF(BI$3&lt;=INDEX(Inputs!$C:$C,MATCH("End Year",Inputs!$B:$B,0))*12,IF(BI$3=INDEX(Inputs!$C:$C,MATCH("*Bank Loan Origination Month*",Inputs!$B:$B,0)),INDEX(Inputs!$C:$C,MATCH("*Bank Loan Amount*",Inputs!$B:$B,0)),0),0)</f>
        <v>0</v>
      </c>
      <c r="BJ52" s="152">
        <f t="array" ref="BJ52">IF(BJ$3&lt;=INDEX(Inputs!$C:$C,MATCH("End Year",Inputs!$B:$B,0))*12,IF(BJ$3=INDEX(Inputs!$C:$C,MATCH("*Bank Loan Origination Month*",Inputs!$B:$B,0)),INDEX(Inputs!$C:$C,MATCH("*Bank Loan Amount*",Inputs!$B:$B,0)),0),0)</f>
        <v>0</v>
      </c>
      <c r="BK52" s="152">
        <f t="array" ref="BK52">IF(BK$3&lt;=INDEX(Inputs!$C:$C,MATCH("End Year",Inputs!$B:$B,0))*12,IF(BK$3=INDEX(Inputs!$C:$C,MATCH("*Bank Loan Origination Month*",Inputs!$B:$B,0)),INDEX(Inputs!$C:$C,MATCH("*Bank Loan Amount*",Inputs!$B:$B,0)),0),0)</f>
        <v>0</v>
      </c>
      <c r="BL52" s="152">
        <f t="array" ref="BL52">IF(BL$3&lt;=INDEX(Inputs!$C:$C,MATCH("End Year",Inputs!$B:$B,0))*12,IF(BL$3=INDEX(Inputs!$C:$C,MATCH("*Bank Loan Origination Month*",Inputs!$B:$B,0)),INDEX(Inputs!$C:$C,MATCH("*Bank Loan Amount*",Inputs!$B:$B,0)),0),0)</f>
        <v>0</v>
      </c>
      <c r="BM52" s="152">
        <f t="array" ref="BM52">IF(BM$3&lt;=INDEX(Inputs!$C:$C,MATCH("End Year",Inputs!$B:$B,0))*12,IF(BM$3=INDEX(Inputs!$C:$C,MATCH("*Bank Loan Origination Month*",Inputs!$B:$B,0)),INDEX(Inputs!$C:$C,MATCH("*Bank Loan Amount*",Inputs!$B:$B,0)),0),0)</f>
        <v>0</v>
      </c>
      <c r="BN52" s="152">
        <f t="array" ref="BN52">IF(BN$3&lt;=INDEX(Inputs!$C:$C,MATCH("End Year",Inputs!$B:$B,0))*12,IF(BN$3=INDEX(Inputs!$C:$C,MATCH("*Bank Loan Origination Month*",Inputs!$B:$B,0)),INDEX(Inputs!$C:$C,MATCH("*Bank Loan Amount*",Inputs!$B:$B,0)),0),0)</f>
        <v>0</v>
      </c>
      <c r="BO52" s="152">
        <f t="array" ref="BO52">IF(BO$3&lt;=INDEX(Inputs!$C:$C,MATCH("End Year",Inputs!$B:$B,0))*12,IF(BO$3=INDEX(Inputs!$C:$C,MATCH("*Bank Loan Origination Month*",Inputs!$B:$B,0)),INDEX(Inputs!$C:$C,MATCH("*Bank Loan Amount*",Inputs!$B:$B,0)),0),0)</f>
        <v>0</v>
      </c>
      <c r="BP52" s="152">
        <f t="array" ref="BP52">IF(BP$3&lt;=INDEX(Inputs!$C:$C,MATCH("End Year",Inputs!$B:$B,0))*12,IF(BP$3=INDEX(Inputs!$C:$C,MATCH("*Bank Loan Origination Month*",Inputs!$B:$B,0)),INDEX(Inputs!$C:$C,MATCH("*Bank Loan Amount*",Inputs!$B:$B,0)),0),0)</f>
        <v>0</v>
      </c>
      <c r="BQ52" s="152">
        <f t="array" ref="BQ52">IF(BQ$3&lt;=INDEX(Inputs!$C:$C,MATCH("End Year",Inputs!$B:$B,0))*12,IF(BQ$3=INDEX(Inputs!$C:$C,MATCH("*Bank Loan Origination Month*",Inputs!$B:$B,0)),INDEX(Inputs!$C:$C,MATCH("*Bank Loan Amount*",Inputs!$B:$B,0)),0),0)</f>
        <v>0</v>
      </c>
      <c r="BR52" s="152">
        <f t="array" ref="BR52">IF(BR$3&lt;=INDEX(Inputs!$C:$C,MATCH("End Year",Inputs!$B:$B,0))*12,IF(BR$3=INDEX(Inputs!$C:$C,MATCH("*Bank Loan Origination Month*",Inputs!$B:$B,0)),INDEX(Inputs!$C:$C,MATCH("*Bank Loan Amount*",Inputs!$B:$B,0)),0),0)</f>
        <v>0</v>
      </c>
      <c r="BS52" s="152">
        <f t="array" ref="BS52">IF(BS$3&lt;=INDEX(Inputs!$C:$C,MATCH("End Year",Inputs!$B:$B,0))*12,IF(BS$3=INDEX(Inputs!$C:$C,MATCH("*Bank Loan Origination Month*",Inputs!$B:$B,0)),INDEX(Inputs!$C:$C,MATCH("*Bank Loan Amount*",Inputs!$B:$B,0)),0),0)</f>
        <v>0</v>
      </c>
      <c r="BT52" s="152">
        <f t="array" ref="BT52">IF(BT$3&lt;=INDEX(Inputs!$C:$C,MATCH("End Year",Inputs!$B:$B,0))*12,IF(BT$3=INDEX(Inputs!$C:$C,MATCH("*Bank Loan Origination Month*",Inputs!$B:$B,0)),INDEX(Inputs!$C:$C,MATCH("*Bank Loan Amount*",Inputs!$B:$B,0)),0),0)</f>
        <v>0</v>
      </c>
      <c r="BU52" s="152">
        <f t="array" ref="BU52">IF(BU$3&lt;=INDEX(Inputs!$C:$C,MATCH("End Year",Inputs!$B:$B,0))*12,IF(BU$3=INDEX(Inputs!$C:$C,MATCH("*Bank Loan Origination Month*",Inputs!$B:$B,0)),INDEX(Inputs!$C:$C,MATCH("*Bank Loan Amount*",Inputs!$B:$B,0)),0),0)</f>
        <v>0</v>
      </c>
      <c r="BV52" s="152">
        <f t="array" ref="BV52">IF(BV$3&lt;=INDEX(Inputs!$C:$C,MATCH("End Year",Inputs!$B:$B,0))*12,IF(BV$3=INDEX(Inputs!$C:$C,MATCH("*Bank Loan Origination Month*",Inputs!$B:$B,0)),INDEX(Inputs!$C:$C,MATCH("*Bank Loan Amount*",Inputs!$B:$B,0)),0),0)</f>
        <v>0</v>
      </c>
      <c r="BW52" s="152">
        <f t="array" ref="BW52">IF(BW$3&lt;=INDEX(Inputs!$C:$C,MATCH("End Year",Inputs!$B:$B,0))*12,IF(BW$3=INDEX(Inputs!$C:$C,MATCH("*Bank Loan Origination Month*",Inputs!$B:$B,0)),INDEX(Inputs!$C:$C,MATCH("*Bank Loan Amount*",Inputs!$B:$B,0)),0),0)</f>
        <v>0</v>
      </c>
      <c r="BX52" s="152">
        <f t="array" ref="BX52">IF(BX$3&lt;=INDEX(Inputs!$C:$C,MATCH("End Year",Inputs!$B:$B,0))*12,IF(BX$3=INDEX(Inputs!$C:$C,MATCH("*Bank Loan Origination Month*",Inputs!$B:$B,0)),INDEX(Inputs!$C:$C,MATCH("*Bank Loan Amount*",Inputs!$B:$B,0)),0),0)</f>
        <v>0</v>
      </c>
      <c r="BY52" s="152">
        <f t="array" ref="BY52">IF(BY$3&lt;=INDEX(Inputs!$C:$C,MATCH("End Year",Inputs!$B:$B,0))*12,IF(BY$3=INDEX(Inputs!$C:$C,MATCH("*Bank Loan Origination Month*",Inputs!$B:$B,0)),INDEX(Inputs!$C:$C,MATCH("*Bank Loan Amount*",Inputs!$B:$B,0)),0),0)</f>
        <v>0</v>
      </c>
      <c r="BZ52" s="152">
        <f t="array" ref="BZ52">IF(BZ$3&lt;=INDEX(Inputs!$C:$C,MATCH("End Year",Inputs!$B:$B,0))*12,IF(BZ$3=INDEX(Inputs!$C:$C,MATCH("*Bank Loan Origination Month*",Inputs!$B:$B,0)),INDEX(Inputs!$C:$C,MATCH("*Bank Loan Amount*",Inputs!$B:$B,0)),0),0)</f>
        <v>0</v>
      </c>
      <c r="CA52" s="152">
        <f t="array" ref="CA52">IF(CA$3&lt;=INDEX(Inputs!$C:$C,MATCH("End Year",Inputs!$B:$B,0))*12,IF(CA$3=INDEX(Inputs!$C:$C,MATCH("*Bank Loan Origination Month*",Inputs!$B:$B,0)),INDEX(Inputs!$C:$C,MATCH("*Bank Loan Amount*",Inputs!$B:$B,0)),0),0)</f>
        <v>0</v>
      </c>
      <c r="CB52" s="152">
        <f t="array" ref="CB52">IF(CB$3&lt;=INDEX(Inputs!$C:$C,MATCH("End Year",Inputs!$B:$B,0))*12,IF(CB$3=INDEX(Inputs!$C:$C,MATCH("*Bank Loan Origination Month*",Inputs!$B:$B,0)),INDEX(Inputs!$C:$C,MATCH("*Bank Loan Amount*",Inputs!$B:$B,0)),0),0)</f>
        <v>0</v>
      </c>
      <c r="CC52" s="152">
        <f t="array" ref="CC52">IF(CC$3&lt;=INDEX(Inputs!$C:$C,MATCH("End Year",Inputs!$B:$B,0))*12,IF(CC$3=INDEX(Inputs!$C:$C,MATCH("*Bank Loan Origination Month*",Inputs!$B:$B,0)),INDEX(Inputs!$C:$C,MATCH("*Bank Loan Amount*",Inputs!$B:$B,0)),0),0)</f>
        <v>0</v>
      </c>
      <c r="CD52" s="152">
        <f t="array" ref="CD52">IF(CD$3&lt;=INDEX(Inputs!$C:$C,MATCH("End Year",Inputs!$B:$B,0))*12,IF(CD$3=INDEX(Inputs!$C:$C,MATCH("*Bank Loan Origination Month*",Inputs!$B:$B,0)),INDEX(Inputs!$C:$C,MATCH("*Bank Loan Amount*",Inputs!$B:$B,0)),0),0)</f>
        <v>0</v>
      </c>
      <c r="CE52" s="152">
        <f t="array" ref="CE52">IF(CE$3&lt;=INDEX(Inputs!$C:$C,MATCH("End Year",Inputs!$B:$B,0))*12,IF(CE$3=INDEX(Inputs!$C:$C,MATCH("*Bank Loan Origination Month*",Inputs!$B:$B,0)),INDEX(Inputs!$C:$C,MATCH("*Bank Loan Amount*",Inputs!$B:$B,0)),0),0)</f>
        <v>0</v>
      </c>
      <c r="CF52" s="152">
        <f t="array" ref="CF52">IF(CF$3&lt;=INDEX(Inputs!$C:$C,MATCH("End Year",Inputs!$B:$B,0))*12,IF(CF$3=INDEX(Inputs!$C:$C,MATCH("*Bank Loan Origination Month*",Inputs!$B:$B,0)),INDEX(Inputs!$C:$C,MATCH("*Bank Loan Amount*",Inputs!$B:$B,0)),0),0)</f>
        <v>0</v>
      </c>
      <c r="CG52" s="152">
        <f t="array" ref="CG52">IF(CG$3&lt;=INDEX(Inputs!$C:$C,MATCH("End Year",Inputs!$B:$B,0))*12,IF(CG$3=INDEX(Inputs!$C:$C,MATCH("*Bank Loan Origination Month*",Inputs!$B:$B,0)),INDEX(Inputs!$C:$C,MATCH("*Bank Loan Amount*",Inputs!$B:$B,0)),0),0)</f>
        <v>0</v>
      </c>
      <c r="CH52" s="152">
        <f t="array" ref="CH52">IF(CH$3&lt;=INDEX(Inputs!$C:$C,MATCH("End Year",Inputs!$B:$B,0))*12,IF(CH$3=INDEX(Inputs!$C:$C,MATCH("*Bank Loan Origination Month*",Inputs!$B:$B,0)),INDEX(Inputs!$C:$C,MATCH("*Bank Loan Amount*",Inputs!$B:$B,0)),0),0)</f>
        <v>0</v>
      </c>
      <c r="CI52" s="152">
        <f t="array" ref="CI52">IF(CI$3&lt;=INDEX(Inputs!$C:$C,MATCH("End Year",Inputs!$B:$B,0))*12,IF(CI$3=INDEX(Inputs!$C:$C,MATCH("*Bank Loan Origination Month*",Inputs!$B:$B,0)),INDEX(Inputs!$C:$C,MATCH("*Bank Loan Amount*",Inputs!$B:$B,0)),0),0)</f>
        <v>0</v>
      </c>
      <c r="CJ52" s="152">
        <f t="array" ref="CJ52">IF(CJ$3&lt;=INDEX(Inputs!$C:$C,MATCH("End Year",Inputs!$B:$B,0))*12,IF(CJ$3=INDEX(Inputs!$C:$C,MATCH("*Bank Loan Origination Month*",Inputs!$B:$B,0)),INDEX(Inputs!$C:$C,MATCH("*Bank Loan Amount*",Inputs!$B:$B,0)),0),0)</f>
        <v>0</v>
      </c>
      <c r="CK52" s="152">
        <f t="array" ref="CK52">IF(CK$3&lt;=INDEX(Inputs!$C:$C,MATCH("End Year",Inputs!$B:$B,0))*12,IF(CK$3=INDEX(Inputs!$C:$C,MATCH("*Bank Loan Origination Month*",Inputs!$B:$B,0)),INDEX(Inputs!$C:$C,MATCH("*Bank Loan Amount*",Inputs!$B:$B,0)),0),0)</f>
        <v>0</v>
      </c>
      <c r="CL52" s="152">
        <f t="array" ref="CL52">IF(CL$3&lt;=INDEX(Inputs!$C:$C,MATCH("End Year",Inputs!$B:$B,0))*12,IF(CL$3=INDEX(Inputs!$C:$C,MATCH("*Bank Loan Origination Month*",Inputs!$B:$B,0)),INDEX(Inputs!$C:$C,MATCH("*Bank Loan Amount*",Inputs!$B:$B,0)),0),0)</f>
        <v>0</v>
      </c>
      <c r="CM52" s="152">
        <f t="array" ref="CM52">IF(CM$3&lt;=INDEX(Inputs!$C:$C,MATCH("End Year",Inputs!$B:$B,0))*12,IF(CM$3=INDEX(Inputs!$C:$C,MATCH("*Bank Loan Origination Month*",Inputs!$B:$B,0)),INDEX(Inputs!$C:$C,MATCH("*Bank Loan Amount*",Inputs!$B:$B,0)),0),0)</f>
        <v>0</v>
      </c>
      <c r="CN52" s="152">
        <f t="array" ref="CN52">IF(CN$3&lt;=INDEX(Inputs!$C:$C,MATCH("End Year",Inputs!$B:$B,0))*12,IF(CN$3=INDEX(Inputs!$C:$C,MATCH("*Bank Loan Origination Month*",Inputs!$B:$B,0)),INDEX(Inputs!$C:$C,MATCH("*Bank Loan Amount*",Inputs!$B:$B,0)),0),0)</f>
        <v>0</v>
      </c>
      <c r="CO52" s="152">
        <f t="array" ref="CO52">IF(CO$3&lt;=INDEX(Inputs!$C:$C,MATCH("End Year",Inputs!$B:$B,0))*12,IF(CO$3=INDEX(Inputs!$C:$C,MATCH("*Bank Loan Origination Month*",Inputs!$B:$B,0)),INDEX(Inputs!$C:$C,MATCH("*Bank Loan Amount*",Inputs!$B:$B,0)),0),0)</f>
        <v>0</v>
      </c>
      <c r="CP52" s="152">
        <f t="array" ref="CP52">IF(CP$3&lt;=INDEX(Inputs!$C:$C,MATCH("End Year",Inputs!$B:$B,0))*12,IF(CP$3=INDEX(Inputs!$C:$C,MATCH("*Bank Loan Origination Month*",Inputs!$B:$B,0)),INDEX(Inputs!$C:$C,MATCH("*Bank Loan Amount*",Inputs!$B:$B,0)),0),0)</f>
        <v>0</v>
      </c>
      <c r="CQ52" s="152">
        <f t="array" ref="CQ52">IF(CQ$3&lt;=INDEX(Inputs!$C:$C,MATCH("End Year",Inputs!$B:$B,0))*12,IF(CQ$3=INDEX(Inputs!$C:$C,MATCH("*Bank Loan Origination Month*",Inputs!$B:$B,0)),INDEX(Inputs!$C:$C,MATCH("*Bank Loan Amount*",Inputs!$B:$B,0)),0),0)</f>
        <v>0</v>
      </c>
      <c r="CR52" s="152">
        <f t="array" ref="CR52">IF(CR$3&lt;=INDEX(Inputs!$C:$C,MATCH("End Year",Inputs!$B:$B,0))*12,IF(CR$3=INDEX(Inputs!$C:$C,MATCH("*Bank Loan Origination Month*",Inputs!$B:$B,0)),INDEX(Inputs!$C:$C,MATCH("*Bank Loan Amount*",Inputs!$B:$B,0)),0),0)</f>
        <v>0</v>
      </c>
      <c r="CS52" s="152">
        <f t="array" ref="CS52">IF(CS$3&lt;=INDEX(Inputs!$C:$C,MATCH("End Year",Inputs!$B:$B,0))*12,IF(CS$3=INDEX(Inputs!$C:$C,MATCH("*Bank Loan Origination Month*",Inputs!$B:$B,0)),INDEX(Inputs!$C:$C,MATCH("*Bank Loan Amount*",Inputs!$B:$B,0)),0),0)</f>
        <v>0</v>
      </c>
      <c r="CT52" s="152">
        <f t="array" ref="CT52">IF(CT$3&lt;=INDEX(Inputs!$C:$C,MATCH("End Year",Inputs!$B:$B,0))*12,IF(CT$3=INDEX(Inputs!$C:$C,MATCH("*Bank Loan Origination Month*",Inputs!$B:$B,0)),INDEX(Inputs!$C:$C,MATCH("*Bank Loan Amount*",Inputs!$B:$B,0)),0),0)</f>
        <v>0</v>
      </c>
      <c r="CU52" s="152">
        <f t="array" ref="CU52">IF(CU$3&lt;=INDEX(Inputs!$C:$C,MATCH("End Year",Inputs!$B:$B,0))*12,IF(CU$3=INDEX(Inputs!$C:$C,MATCH("*Bank Loan Origination Month*",Inputs!$B:$B,0)),INDEX(Inputs!$C:$C,MATCH("*Bank Loan Amount*",Inputs!$B:$B,0)),0),0)</f>
        <v>0</v>
      </c>
      <c r="CV52" s="152">
        <f t="array" ref="CV52">IF(CV$3&lt;=INDEX(Inputs!$C:$C,MATCH("End Year",Inputs!$B:$B,0))*12,IF(CV$3=INDEX(Inputs!$C:$C,MATCH("*Bank Loan Origination Month*",Inputs!$B:$B,0)),INDEX(Inputs!$C:$C,MATCH("*Bank Loan Amount*",Inputs!$B:$B,0)),0),0)</f>
        <v>0</v>
      </c>
      <c r="CW52" s="152">
        <f t="array" ref="CW52">IF(CW$3&lt;=INDEX(Inputs!$C:$C,MATCH("End Year",Inputs!$B:$B,0))*12,IF(CW$3=INDEX(Inputs!$C:$C,MATCH("*Bank Loan Origination Month*",Inputs!$B:$B,0)),INDEX(Inputs!$C:$C,MATCH("*Bank Loan Amount*",Inputs!$B:$B,0)),0),0)</f>
        <v>0</v>
      </c>
      <c r="CX52" s="152">
        <f t="array" ref="CX52">IF(CX$3&lt;=INDEX(Inputs!$C:$C,MATCH("End Year",Inputs!$B:$B,0))*12,IF(CX$3=INDEX(Inputs!$C:$C,MATCH("*Bank Loan Origination Month*",Inputs!$B:$B,0)),INDEX(Inputs!$C:$C,MATCH("*Bank Loan Amount*",Inputs!$B:$B,0)),0),0)</f>
        <v>0</v>
      </c>
      <c r="CY52" s="152">
        <f t="array" ref="CY52">IF(CY$3&lt;=INDEX(Inputs!$C:$C,MATCH("End Year",Inputs!$B:$B,0))*12,IF(CY$3=INDEX(Inputs!$C:$C,MATCH("*Bank Loan Origination Month*",Inputs!$B:$B,0)),INDEX(Inputs!$C:$C,MATCH("*Bank Loan Amount*",Inputs!$B:$B,0)),0),0)</f>
        <v>0</v>
      </c>
      <c r="CZ52" s="152">
        <f t="array" ref="CZ52">IF(CZ$3&lt;=INDEX(Inputs!$C:$C,MATCH("End Year",Inputs!$B:$B,0))*12,IF(CZ$3=INDEX(Inputs!$C:$C,MATCH("*Bank Loan Origination Month*",Inputs!$B:$B,0)),INDEX(Inputs!$C:$C,MATCH("*Bank Loan Amount*",Inputs!$B:$B,0)),0),0)</f>
        <v>0</v>
      </c>
      <c r="DA52" s="152">
        <f t="array" ref="DA52">IF(DA$3&lt;=INDEX(Inputs!$C:$C,MATCH("End Year",Inputs!$B:$B,0))*12,IF(DA$3=INDEX(Inputs!$C:$C,MATCH("*Bank Loan Origination Month*",Inputs!$B:$B,0)),INDEX(Inputs!$C:$C,MATCH("*Bank Loan Amount*",Inputs!$B:$B,0)),0),0)</f>
        <v>0</v>
      </c>
      <c r="DB52" s="152">
        <f t="array" ref="DB52">IF(DB$3&lt;=INDEX(Inputs!$C:$C,MATCH("End Year",Inputs!$B:$B,0))*12,IF(DB$3=INDEX(Inputs!$C:$C,MATCH("*Bank Loan Origination Month*",Inputs!$B:$B,0)),INDEX(Inputs!$C:$C,MATCH("*Bank Loan Amount*",Inputs!$B:$B,0)),0),0)</f>
        <v>0</v>
      </c>
      <c r="DC52" s="152">
        <f t="array" ref="DC52">IF(DC$3&lt;=INDEX(Inputs!$C:$C,MATCH("End Year",Inputs!$B:$B,0))*12,IF(DC$3=INDEX(Inputs!$C:$C,MATCH("*Bank Loan Origination Month*",Inputs!$B:$B,0)),INDEX(Inputs!$C:$C,MATCH("*Bank Loan Amount*",Inputs!$B:$B,0)),0),0)</f>
        <v>0</v>
      </c>
      <c r="DD52" s="152">
        <f t="array" ref="DD52">IF(DD$3&lt;=INDEX(Inputs!$C:$C,MATCH("End Year",Inputs!$B:$B,0))*12,IF(DD$3=INDEX(Inputs!$C:$C,MATCH("*Bank Loan Origination Month*",Inputs!$B:$B,0)),INDEX(Inputs!$C:$C,MATCH("*Bank Loan Amount*",Inputs!$B:$B,0)),0),0)</f>
        <v>0</v>
      </c>
      <c r="DE52" s="152">
        <f t="array" ref="DE52">IF(DE$3&lt;=INDEX(Inputs!$C:$C,MATCH("End Year",Inputs!$B:$B,0))*12,IF(DE$3=INDEX(Inputs!$C:$C,MATCH("*Bank Loan Origination Month*",Inputs!$B:$B,0)),INDEX(Inputs!$C:$C,MATCH("*Bank Loan Amount*",Inputs!$B:$B,0)),0),0)</f>
        <v>0</v>
      </c>
      <c r="DF52" s="152">
        <f t="array" ref="DF52">IF(DF$3&lt;=INDEX(Inputs!$C:$C,MATCH("End Year",Inputs!$B:$B,0))*12,IF(DF$3=INDEX(Inputs!$C:$C,MATCH("*Bank Loan Origination Month*",Inputs!$B:$B,0)),INDEX(Inputs!$C:$C,MATCH("*Bank Loan Amount*",Inputs!$B:$B,0)),0),0)</f>
        <v>0</v>
      </c>
      <c r="DG52" s="152">
        <f t="array" ref="DG52">IF(DG$3&lt;=INDEX(Inputs!$C:$C,MATCH("End Year",Inputs!$B:$B,0))*12,IF(DG$3=INDEX(Inputs!$C:$C,MATCH("*Bank Loan Origination Month*",Inputs!$B:$B,0)),INDEX(Inputs!$C:$C,MATCH("*Bank Loan Amount*",Inputs!$B:$B,0)),0),0)</f>
        <v>0</v>
      </c>
      <c r="DH52" s="152">
        <f t="array" ref="DH52">IF(DH$3&lt;=INDEX(Inputs!$C:$C,MATCH("End Year",Inputs!$B:$B,0))*12,IF(DH$3=INDEX(Inputs!$C:$C,MATCH("*Bank Loan Origination Month*",Inputs!$B:$B,0)),INDEX(Inputs!$C:$C,MATCH("*Bank Loan Amount*",Inputs!$B:$B,0)),0),0)</f>
        <v>0</v>
      </c>
      <c r="DI52" s="152">
        <f t="array" ref="DI52">IF(DI$3&lt;=INDEX(Inputs!$C:$C,MATCH("End Year",Inputs!$B:$B,0))*12,IF(DI$3=INDEX(Inputs!$C:$C,MATCH("*Bank Loan Origination Month*",Inputs!$B:$B,0)),INDEX(Inputs!$C:$C,MATCH("*Bank Loan Amount*",Inputs!$B:$B,0)),0),0)</f>
        <v>0</v>
      </c>
      <c r="DJ52" s="152">
        <f t="array" ref="DJ52">IF(DJ$3&lt;=INDEX(Inputs!$C:$C,MATCH("End Year",Inputs!$B:$B,0))*12,IF(DJ$3=INDEX(Inputs!$C:$C,MATCH("*Bank Loan Origination Month*",Inputs!$B:$B,0)),INDEX(Inputs!$C:$C,MATCH("*Bank Loan Amount*",Inputs!$B:$B,0)),0),0)</f>
        <v>0</v>
      </c>
      <c r="DK52" s="152">
        <f t="array" ref="DK52">IF(DK$3&lt;=INDEX(Inputs!$C:$C,MATCH("End Year",Inputs!$B:$B,0))*12,IF(DK$3=INDEX(Inputs!$C:$C,MATCH("*Bank Loan Origination Month*",Inputs!$B:$B,0)),INDEX(Inputs!$C:$C,MATCH("*Bank Loan Amount*",Inputs!$B:$B,0)),0),0)</f>
        <v>0</v>
      </c>
      <c r="DL52" s="152">
        <f t="array" ref="DL52">IF(DL$3&lt;=INDEX(Inputs!$C:$C,MATCH("End Year",Inputs!$B:$B,0))*12,IF(DL$3=INDEX(Inputs!$C:$C,MATCH("*Bank Loan Origination Month*",Inputs!$B:$B,0)),INDEX(Inputs!$C:$C,MATCH("*Bank Loan Amount*",Inputs!$B:$B,0)),0),0)</f>
        <v>0</v>
      </c>
      <c r="DM52" s="152">
        <f t="array" ref="DM52">IF(DM$3&lt;=INDEX(Inputs!$C:$C,MATCH("End Year",Inputs!$B:$B,0))*12,IF(DM$3=INDEX(Inputs!$C:$C,MATCH("*Bank Loan Origination Month*",Inputs!$B:$B,0)),INDEX(Inputs!$C:$C,MATCH("*Bank Loan Amount*",Inputs!$B:$B,0)),0),0)</f>
        <v>0</v>
      </c>
      <c r="DN52" s="152">
        <f t="array" ref="DN52">IF(DN$3&lt;=INDEX(Inputs!$C:$C,MATCH("End Year",Inputs!$B:$B,0))*12,IF(DN$3=INDEX(Inputs!$C:$C,MATCH("*Bank Loan Origination Month*",Inputs!$B:$B,0)),INDEX(Inputs!$C:$C,MATCH("*Bank Loan Amount*",Inputs!$B:$B,0)),0),0)</f>
        <v>0</v>
      </c>
      <c r="DO52" s="152">
        <f t="array" ref="DO52">IF(DO$3&lt;=INDEX(Inputs!$C:$C,MATCH("End Year",Inputs!$B:$B,0))*12,IF(DO$3=INDEX(Inputs!$C:$C,MATCH("*Bank Loan Origination Month*",Inputs!$B:$B,0)),INDEX(Inputs!$C:$C,MATCH("*Bank Loan Amount*",Inputs!$B:$B,0)),0),0)</f>
        <v>0</v>
      </c>
      <c r="DP52" s="152">
        <f t="array" ref="DP52">IF(DP$3&lt;=INDEX(Inputs!$C:$C,MATCH("End Year",Inputs!$B:$B,0))*12,IF(DP$3=INDEX(Inputs!$C:$C,MATCH("*Bank Loan Origination Month*",Inputs!$B:$B,0)),INDEX(Inputs!$C:$C,MATCH("*Bank Loan Amount*",Inputs!$B:$B,0)),0),0)</f>
        <v>0</v>
      </c>
      <c r="DQ52" s="152">
        <f t="array" ref="DQ52">IF(DQ$3&lt;=INDEX(Inputs!$C:$C,MATCH("End Year",Inputs!$B:$B,0))*12,IF(DQ$3=INDEX(Inputs!$C:$C,MATCH("*Bank Loan Origination Month*",Inputs!$B:$B,0)),INDEX(Inputs!$C:$C,MATCH("*Bank Loan Amount*",Inputs!$B:$B,0)),0),0)</f>
        <v>0</v>
      </c>
      <c r="DR52" s="152">
        <f t="array" ref="DR52">IF(DR$3&lt;=INDEX(Inputs!$C:$C,MATCH("End Year",Inputs!$B:$B,0))*12,IF(DR$3=INDEX(Inputs!$C:$C,MATCH("*Bank Loan Origination Month*",Inputs!$B:$B,0)),INDEX(Inputs!$C:$C,MATCH("*Bank Loan Amount*",Inputs!$B:$B,0)),0),0)</f>
        <v>0</v>
      </c>
      <c r="DS52" s="44">
        <f t="array" ref="DS52">IF(DS$3&lt;=INDEX(Inputs!$C:$C,MATCH("End Year",Inputs!$B:$B,0))*12,IF(DS$3=INDEX(Inputs!$C:$C,MATCH("*Bank Loan Origination Month*",Inputs!$B:$B,0)),INDEX(Inputs!$C:$C,MATCH("*Bank Loan Amount*",Inputs!$B:$B,0)),0),0)</f>
        <v>0</v>
      </c>
    </row>
    <row r="53" ht="16.5" customHeight="1">
      <c r="A53" s="44"/>
      <c r="B53" s="46" t="s">
        <v>341</v>
      </c>
      <c r="C53" s="152">
        <f t="array" ref="C53">IF(C$3&lt;=INDEX(Inputs!$C:$C,MATCH("End Year",Inputs!$B:$B,0))*12,IF(OR(C51=0,C$3&lt;INDEX(Inputs!$C:$C,MATCH("*Bank Loan PMT Start Month*",Inputs!$B:$B,0))),0,-C51*INDEX(Inputs!$C:$C,MATCH("*Bank Loan Interest Rate*",Inputs!$B:$B,0))/12),0)</f>
        <v>0</v>
      </c>
      <c r="D53" s="152">
        <f t="array" ref="D53">IF(D$3&lt;=INDEX(Inputs!$C:$C,MATCH("End Year",Inputs!$B:$B,0))*12,IF(OR(D51=0,D$3&lt;INDEX(Inputs!$C:$C,MATCH("*Bank Loan PMT Start Month*",Inputs!$B:$B,0))),0,-D51*INDEX(Inputs!$C:$C,MATCH("*Bank Loan Interest Rate*",Inputs!$B:$B,0))/12),0)</f>
        <v>0</v>
      </c>
      <c r="E53" s="152">
        <f t="array" ref="E53">IF(E$3&lt;=INDEX(Inputs!$C:$C,MATCH("End Year",Inputs!$B:$B,0))*12,IF(OR(E51=0,E$3&lt;INDEX(Inputs!$C:$C,MATCH("*Bank Loan PMT Start Month*",Inputs!$B:$B,0))),0,-E51*INDEX(Inputs!$C:$C,MATCH("*Bank Loan Interest Rate*",Inputs!$B:$B,0))/12),0)</f>
        <v>0</v>
      </c>
      <c r="F53" s="152">
        <f t="array" ref="F53">IF(F$3&lt;=INDEX(Inputs!$C:$C,MATCH("End Year",Inputs!$B:$B,0))*12,IF(OR(F51=0,F$3&lt;INDEX(Inputs!$C:$C,MATCH("*Bank Loan PMT Start Month*",Inputs!$B:$B,0))),0,-F51*INDEX(Inputs!$C:$C,MATCH("*Bank Loan Interest Rate*",Inputs!$B:$B,0))/12),0)</f>
        <v>0</v>
      </c>
      <c r="G53" s="152">
        <f t="array" ref="G53">IF(G$3&lt;=INDEX(Inputs!$C:$C,MATCH("End Year",Inputs!$B:$B,0))*12,IF(OR(G51=0,G$3&lt;INDEX(Inputs!$C:$C,MATCH("*Bank Loan PMT Start Month*",Inputs!$B:$B,0))),0,-G51*INDEX(Inputs!$C:$C,MATCH("*Bank Loan Interest Rate*",Inputs!$B:$B,0))/12),0)</f>
        <v>0</v>
      </c>
      <c r="H53" s="152">
        <f t="array" ref="H53">IF(H$3&lt;=INDEX(Inputs!$C:$C,MATCH("End Year",Inputs!$B:$B,0))*12,IF(OR(H51=0,H$3&lt;INDEX(Inputs!$C:$C,MATCH("*Bank Loan PMT Start Month*",Inputs!$B:$B,0))),0,-H51*INDEX(Inputs!$C:$C,MATCH("*Bank Loan Interest Rate*",Inputs!$B:$B,0))/12),0)</f>
        <v>0</v>
      </c>
      <c r="I53" s="152">
        <f t="array" ref="I53">IF(I$3&lt;=INDEX(Inputs!$C:$C,MATCH("End Year",Inputs!$B:$B,0))*12,IF(OR(I51=0,I$3&lt;INDEX(Inputs!$C:$C,MATCH("*Bank Loan PMT Start Month*",Inputs!$B:$B,0))),0,-I51*INDEX(Inputs!$C:$C,MATCH("*Bank Loan Interest Rate*",Inputs!$B:$B,0))/12),0)</f>
        <v>0</v>
      </c>
      <c r="J53" s="152">
        <f t="array" ref="J53">IF(J$3&lt;=INDEX(Inputs!$C:$C,MATCH("End Year",Inputs!$B:$B,0))*12,IF(OR(J51=0,J$3&lt;INDEX(Inputs!$C:$C,MATCH("*Bank Loan PMT Start Month*",Inputs!$B:$B,0))),0,-J51*INDEX(Inputs!$C:$C,MATCH("*Bank Loan Interest Rate*",Inputs!$B:$B,0))/12),0)</f>
        <v>0</v>
      </c>
      <c r="K53" s="152">
        <f t="array" ref="K53">IF(K$3&lt;=INDEX(Inputs!$C:$C,MATCH("End Year",Inputs!$B:$B,0))*12,IF(OR(K51=0,K$3&lt;INDEX(Inputs!$C:$C,MATCH("*Bank Loan PMT Start Month*",Inputs!$B:$B,0))),0,-K51*INDEX(Inputs!$C:$C,MATCH("*Bank Loan Interest Rate*",Inputs!$B:$B,0))/12),0)</f>
        <v>0</v>
      </c>
      <c r="L53" s="152">
        <f t="array" ref="L53">IF(L$3&lt;=INDEX(Inputs!$C:$C,MATCH("End Year",Inputs!$B:$B,0))*12,IF(OR(L51=0,L$3&lt;INDEX(Inputs!$C:$C,MATCH("*Bank Loan PMT Start Month*",Inputs!$B:$B,0))),0,-L51*INDEX(Inputs!$C:$C,MATCH("*Bank Loan Interest Rate*",Inputs!$B:$B,0))/12),0)</f>
        <v>0</v>
      </c>
      <c r="M53" s="152">
        <f t="array" ref="M53">IF(M$3&lt;=INDEX(Inputs!$C:$C,MATCH("End Year",Inputs!$B:$B,0))*12,IF(OR(M51=0,M$3&lt;INDEX(Inputs!$C:$C,MATCH("*Bank Loan PMT Start Month*",Inputs!$B:$B,0))),0,-M51*INDEX(Inputs!$C:$C,MATCH("*Bank Loan Interest Rate*",Inputs!$B:$B,0))/12),0)</f>
        <v>0</v>
      </c>
      <c r="N53" s="152">
        <f t="array" ref="N53">IF(N$3&lt;=INDEX(Inputs!$C:$C,MATCH("End Year",Inputs!$B:$B,0))*12,IF(OR(N51=0,N$3&lt;INDEX(Inputs!$C:$C,MATCH("*Bank Loan PMT Start Month*",Inputs!$B:$B,0))),0,-N51*INDEX(Inputs!$C:$C,MATCH("*Bank Loan Interest Rate*",Inputs!$B:$B,0))/12),0)</f>
        <v>0</v>
      </c>
      <c r="O53" s="152">
        <f t="array" ref="O53">IF(O$3&lt;=INDEX(Inputs!$C:$C,MATCH("End Year",Inputs!$B:$B,0))*12,IF(OR(O51=0,O$3&lt;INDEX(Inputs!$C:$C,MATCH("*Bank Loan PMT Start Month*",Inputs!$B:$B,0))),0,-O51*INDEX(Inputs!$C:$C,MATCH("*Bank Loan Interest Rate*",Inputs!$B:$B,0))/12),0)</f>
        <v>0</v>
      </c>
      <c r="P53" s="152">
        <f t="array" ref="P53">IF(P$3&lt;=INDEX(Inputs!$C:$C,MATCH("End Year",Inputs!$B:$B,0))*12,IF(OR(P51=0,P$3&lt;INDEX(Inputs!$C:$C,MATCH("*Bank Loan PMT Start Month*",Inputs!$B:$B,0))),0,-P51*INDEX(Inputs!$C:$C,MATCH("*Bank Loan Interest Rate*",Inputs!$B:$B,0))/12),0)</f>
        <v>0</v>
      </c>
      <c r="Q53" s="152">
        <f t="array" ref="Q53">IF(Q$3&lt;=INDEX(Inputs!$C:$C,MATCH("End Year",Inputs!$B:$B,0))*12,IF(OR(Q51=0,Q$3&lt;INDEX(Inputs!$C:$C,MATCH("*Bank Loan PMT Start Month*",Inputs!$B:$B,0))),0,-Q51*INDEX(Inputs!$C:$C,MATCH("*Bank Loan Interest Rate*",Inputs!$B:$B,0))/12),0)</f>
        <v>0</v>
      </c>
      <c r="R53" s="152">
        <f t="array" ref="R53">IF(R$3&lt;=INDEX(Inputs!$C:$C,MATCH("End Year",Inputs!$B:$B,0))*12,IF(OR(R51=0,R$3&lt;INDEX(Inputs!$C:$C,MATCH("*Bank Loan PMT Start Month*",Inputs!$B:$B,0))),0,-R51*INDEX(Inputs!$C:$C,MATCH("*Bank Loan Interest Rate*",Inputs!$B:$B,0))/12),0)</f>
        <v>0</v>
      </c>
      <c r="S53" s="152">
        <f t="array" ref="S53">IF(S$3&lt;=INDEX(Inputs!$C:$C,MATCH("End Year",Inputs!$B:$B,0))*12,IF(OR(S51=0,S$3&lt;INDEX(Inputs!$C:$C,MATCH("*Bank Loan PMT Start Month*",Inputs!$B:$B,0))),0,-S51*INDEX(Inputs!$C:$C,MATCH("*Bank Loan Interest Rate*",Inputs!$B:$B,0))/12),0)</f>
        <v>0</v>
      </c>
      <c r="T53" s="152">
        <f t="array" ref="T53">IF(T$3&lt;=INDEX(Inputs!$C:$C,MATCH("End Year",Inputs!$B:$B,0))*12,IF(OR(T51=0,T$3&lt;INDEX(Inputs!$C:$C,MATCH("*Bank Loan PMT Start Month*",Inputs!$B:$B,0))),0,-T51*INDEX(Inputs!$C:$C,MATCH("*Bank Loan Interest Rate*",Inputs!$B:$B,0))/12),0)</f>
        <v>0</v>
      </c>
      <c r="U53" s="152">
        <f t="array" ref="U53">IF(U$3&lt;=INDEX(Inputs!$C:$C,MATCH("End Year",Inputs!$B:$B,0))*12,IF(OR(U51=0,U$3&lt;INDEX(Inputs!$C:$C,MATCH("*Bank Loan PMT Start Month*",Inputs!$B:$B,0))),0,-U51*INDEX(Inputs!$C:$C,MATCH("*Bank Loan Interest Rate*",Inputs!$B:$B,0))/12),0)</f>
        <v>0</v>
      </c>
      <c r="V53" s="152">
        <f t="array" ref="V53">IF(V$3&lt;=INDEX(Inputs!$C:$C,MATCH("End Year",Inputs!$B:$B,0))*12,IF(OR(V51=0,V$3&lt;INDEX(Inputs!$C:$C,MATCH("*Bank Loan PMT Start Month*",Inputs!$B:$B,0))),0,-V51*INDEX(Inputs!$C:$C,MATCH("*Bank Loan Interest Rate*",Inputs!$B:$B,0))/12),0)</f>
        <v>0</v>
      </c>
      <c r="W53" s="152">
        <f t="array" ref="W53">IF(W$3&lt;=INDEX(Inputs!$C:$C,MATCH("End Year",Inputs!$B:$B,0))*12,IF(OR(W51=0,W$3&lt;INDEX(Inputs!$C:$C,MATCH("*Bank Loan PMT Start Month*",Inputs!$B:$B,0))),0,-W51*INDEX(Inputs!$C:$C,MATCH("*Bank Loan Interest Rate*",Inputs!$B:$B,0))/12),0)</f>
        <v>0</v>
      </c>
      <c r="X53" s="152">
        <f t="array" ref="X53">IF(X$3&lt;=INDEX(Inputs!$C:$C,MATCH("End Year",Inputs!$B:$B,0))*12,IF(OR(X51=0,X$3&lt;INDEX(Inputs!$C:$C,MATCH("*Bank Loan PMT Start Month*",Inputs!$B:$B,0))),0,-X51*INDEX(Inputs!$C:$C,MATCH("*Bank Loan Interest Rate*",Inputs!$B:$B,0))/12),0)</f>
        <v>0</v>
      </c>
      <c r="Y53" s="152">
        <f t="array" ref="Y53">IF(Y$3&lt;=INDEX(Inputs!$C:$C,MATCH("End Year",Inputs!$B:$B,0))*12,IF(OR(Y51=0,Y$3&lt;INDEX(Inputs!$C:$C,MATCH("*Bank Loan PMT Start Month*",Inputs!$B:$B,0))),0,-Y51*INDEX(Inputs!$C:$C,MATCH("*Bank Loan Interest Rate*",Inputs!$B:$B,0))/12),0)</f>
        <v>0</v>
      </c>
      <c r="Z53" s="152">
        <f t="array" ref="Z53">IF(Z$3&lt;=INDEX(Inputs!$C:$C,MATCH("End Year",Inputs!$B:$B,0))*12,IF(OR(Z51=0,Z$3&lt;INDEX(Inputs!$C:$C,MATCH("*Bank Loan PMT Start Month*",Inputs!$B:$B,0))),0,-Z51*INDEX(Inputs!$C:$C,MATCH("*Bank Loan Interest Rate*",Inputs!$B:$B,0))/12),0)</f>
        <v>0</v>
      </c>
      <c r="AA53" s="152">
        <f t="array" ref="AA53">IF(AA$3&lt;=INDEX(Inputs!$C:$C,MATCH("End Year",Inputs!$B:$B,0))*12,IF(OR(AA51=0,AA$3&lt;INDEX(Inputs!$C:$C,MATCH("*Bank Loan PMT Start Month*",Inputs!$B:$B,0))),0,-AA51*INDEX(Inputs!$C:$C,MATCH("*Bank Loan Interest Rate*",Inputs!$B:$B,0))/12),0)</f>
        <v>0</v>
      </c>
      <c r="AB53" s="152">
        <f t="array" ref="AB53">IF(AB$3&lt;=INDEX(Inputs!$C:$C,MATCH("End Year",Inputs!$B:$B,0))*12,IF(OR(AB51=0,AB$3&lt;INDEX(Inputs!$C:$C,MATCH("*Bank Loan PMT Start Month*",Inputs!$B:$B,0))),0,-AB51*INDEX(Inputs!$C:$C,MATCH("*Bank Loan Interest Rate*",Inputs!$B:$B,0))/12),0)</f>
        <v>0</v>
      </c>
      <c r="AC53" s="152">
        <f t="array" ref="AC53">IF(AC$3&lt;=INDEX(Inputs!$C:$C,MATCH("End Year",Inputs!$B:$B,0))*12,IF(OR(AC51=0,AC$3&lt;INDEX(Inputs!$C:$C,MATCH("*Bank Loan PMT Start Month*",Inputs!$B:$B,0))),0,-AC51*INDEX(Inputs!$C:$C,MATCH("*Bank Loan Interest Rate*",Inputs!$B:$B,0))/12),0)</f>
        <v>0</v>
      </c>
      <c r="AD53" s="152">
        <f t="array" ref="AD53">IF(AD$3&lt;=INDEX(Inputs!$C:$C,MATCH("End Year",Inputs!$B:$B,0))*12,IF(OR(AD51=0,AD$3&lt;INDEX(Inputs!$C:$C,MATCH("*Bank Loan PMT Start Month*",Inputs!$B:$B,0))),0,-AD51*INDEX(Inputs!$C:$C,MATCH("*Bank Loan Interest Rate*",Inputs!$B:$B,0))/12),0)</f>
        <v>0</v>
      </c>
      <c r="AE53" s="152">
        <f t="array" ref="AE53">IF(AE$3&lt;=INDEX(Inputs!$C:$C,MATCH("End Year",Inputs!$B:$B,0))*12,IF(OR(AE51=0,AE$3&lt;INDEX(Inputs!$C:$C,MATCH("*Bank Loan PMT Start Month*",Inputs!$B:$B,0))),0,-AE51*INDEX(Inputs!$C:$C,MATCH("*Bank Loan Interest Rate*",Inputs!$B:$B,0))/12),0)</f>
        <v>0</v>
      </c>
      <c r="AF53" s="152">
        <f t="array" ref="AF53">IF(AF$3&lt;=INDEX(Inputs!$C:$C,MATCH("End Year",Inputs!$B:$B,0))*12,IF(OR(AF51=0,AF$3&lt;INDEX(Inputs!$C:$C,MATCH("*Bank Loan PMT Start Month*",Inputs!$B:$B,0))),0,-AF51*INDEX(Inputs!$C:$C,MATCH("*Bank Loan Interest Rate*",Inputs!$B:$B,0))/12),0)</f>
        <v>0</v>
      </c>
      <c r="AG53" s="152">
        <f t="array" ref="AG53">IF(AG$3&lt;=INDEX(Inputs!$C:$C,MATCH("End Year",Inputs!$B:$B,0))*12,IF(OR(AG51=0,AG$3&lt;INDEX(Inputs!$C:$C,MATCH("*Bank Loan PMT Start Month*",Inputs!$B:$B,0))),0,-AG51*INDEX(Inputs!$C:$C,MATCH("*Bank Loan Interest Rate*",Inputs!$B:$B,0))/12),0)</f>
        <v>0</v>
      </c>
      <c r="AH53" s="152">
        <f t="array" ref="AH53">IF(AH$3&lt;=INDEX(Inputs!$C:$C,MATCH("End Year",Inputs!$B:$B,0))*12,IF(OR(AH51=0,AH$3&lt;INDEX(Inputs!$C:$C,MATCH("*Bank Loan PMT Start Month*",Inputs!$B:$B,0))),0,-AH51*INDEX(Inputs!$C:$C,MATCH("*Bank Loan Interest Rate*",Inputs!$B:$B,0))/12),0)</f>
        <v>0</v>
      </c>
      <c r="AI53" s="152">
        <f t="array" ref="AI53">IF(AI$3&lt;=INDEX(Inputs!$C:$C,MATCH("End Year",Inputs!$B:$B,0))*12,IF(OR(AI51=0,AI$3&lt;INDEX(Inputs!$C:$C,MATCH("*Bank Loan PMT Start Month*",Inputs!$B:$B,0))),0,-AI51*INDEX(Inputs!$C:$C,MATCH("*Bank Loan Interest Rate*",Inputs!$B:$B,0))/12),0)</f>
        <v>0</v>
      </c>
      <c r="AJ53" s="152">
        <f t="array" ref="AJ53">IF(AJ$3&lt;=INDEX(Inputs!$C:$C,MATCH("End Year",Inputs!$B:$B,0))*12,IF(OR(AJ51=0,AJ$3&lt;INDEX(Inputs!$C:$C,MATCH("*Bank Loan PMT Start Month*",Inputs!$B:$B,0))),0,-AJ51*INDEX(Inputs!$C:$C,MATCH("*Bank Loan Interest Rate*",Inputs!$B:$B,0))/12),0)</f>
        <v>0</v>
      </c>
      <c r="AK53" s="152">
        <f t="array" ref="AK53">IF(AK$3&lt;=INDEX(Inputs!$C:$C,MATCH("End Year",Inputs!$B:$B,0))*12,IF(OR(AK51=0,AK$3&lt;INDEX(Inputs!$C:$C,MATCH("*Bank Loan PMT Start Month*",Inputs!$B:$B,0))),0,-AK51*INDEX(Inputs!$C:$C,MATCH("*Bank Loan Interest Rate*",Inputs!$B:$B,0))/12),0)</f>
        <v>0</v>
      </c>
      <c r="AL53" s="152">
        <f t="array" ref="AL53">IF(AL$3&lt;=INDEX(Inputs!$C:$C,MATCH("End Year",Inputs!$B:$B,0))*12,IF(OR(AL51=0,AL$3&lt;INDEX(Inputs!$C:$C,MATCH("*Bank Loan PMT Start Month*",Inputs!$B:$B,0))),0,-AL51*INDEX(Inputs!$C:$C,MATCH("*Bank Loan Interest Rate*",Inputs!$B:$B,0))/12),0)</f>
        <v>0</v>
      </c>
      <c r="AM53" s="152">
        <f t="array" ref="AM53">IF(AM$3&lt;=INDEX(Inputs!$C:$C,MATCH("End Year",Inputs!$B:$B,0))*12,IF(OR(AM51=0,AM$3&lt;INDEX(Inputs!$C:$C,MATCH("*Bank Loan PMT Start Month*",Inputs!$B:$B,0))),0,-AM51*INDEX(Inputs!$C:$C,MATCH("*Bank Loan Interest Rate*",Inputs!$B:$B,0))/12),0)</f>
        <v>0</v>
      </c>
      <c r="AN53" s="152">
        <f t="array" ref="AN53">IF(AN$3&lt;=INDEX(Inputs!$C:$C,MATCH("End Year",Inputs!$B:$B,0))*12,IF(OR(AN51=0,AN$3&lt;INDEX(Inputs!$C:$C,MATCH("*Bank Loan PMT Start Month*",Inputs!$B:$B,0))),0,-AN51*INDEX(Inputs!$C:$C,MATCH("*Bank Loan Interest Rate*",Inputs!$B:$B,0))/12),0)</f>
        <v>0</v>
      </c>
      <c r="AO53" s="152">
        <f t="array" ref="AO53">IF(AO$3&lt;=INDEX(Inputs!$C:$C,MATCH("End Year",Inputs!$B:$B,0))*12,IF(OR(AO51=0,AO$3&lt;INDEX(Inputs!$C:$C,MATCH("*Bank Loan PMT Start Month*",Inputs!$B:$B,0))),0,-AO51*INDEX(Inputs!$C:$C,MATCH("*Bank Loan Interest Rate*",Inputs!$B:$B,0))/12),0)</f>
        <v>0</v>
      </c>
      <c r="AP53" s="152">
        <f t="array" ref="AP53">IF(AP$3&lt;=INDEX(Inputs!$C:$C,MATCH("End Year",Inputs!$B:$B,0))*12,IF(OR(AP51=0,AP$3&lt;INDEX(Inputs!$C:$C,MATCH("*Bank Loan PMT Start Month*",Inputs!$B:$B,0))),0,-AP51*INDEX(Inputs!$C:$C,MATCH("*Bank Loan Interest Rate*",Inputs!$B:$B,0))/12),0)</f>
        <v>0</v>
      </c>
      <c r="AQ53" s="152">
        <f t="array" ref="AQ53">IF(AQ$3&lt;=INDEX(Inputs!$C:$C,MATCH("End Year",Inputs!$B:$B,0))*12,IF(OR(AQ51=0,AQ$3&lt;INDEX(Inputs!$C:$C,MATCH("*Bank Loan PMT Start Month*",Inputs!$B:$B,0))),0,-AQ51*INDEX(Inputs!$C:$C,MATCH("*Bank Loan Interest Rate*",Inputs!$B:$B,0))/12),0)</f>
        <v>0</v>
      </c>
      <c r="AR53" s="152">
        <f t="array" ref="AR53">IF(AR$3&lt;=INDEX(Inputs!$C:$C,MATCH("End Year",Inputs!$B:$B,0))*12,IF(OR(AR51=0,AR$3&lt;INDEX(Inputs!$C:$C,MATCH("*Bank Loan PMT Start Month*",Inputs!$B:$B,0))),0,-AR51*INDEX(Inputs!$C:$C,MATCH("*Bank Loan Interest Rate*",Inputs!$B:$B,0))/12),0)</f>
        <v>0</v>
      </c>
      <c r="AS53" s="152">
        <f t="array" ref="AS53">IF(AS$3&lt;=INDEX(Inputs!$C:$C,MATCH("End Year",Inputs!$B:$B,0))*12,IF(OR(AS51=0,AS$3&lt;INDEX(Inputs!$C:$C,MATCH("*Bank Loan PMT Start Month*",Inputs!$B:$B,0))),0,-AS51*INDEX(Inputs!$C:$C,MATCH("*Bank Loan Interest Rate*",Inputs!$B:$B,0))/12),0)</f>
        <v>0</v>
      </c>
      <c r="AT53" s="152">
        <f t="array" ref="AT53">IF(AT$3&lt;=INDEX(Inputs!$C:$C,MATCH("End Year",Inputs!$B:$B,0))*12,IF(OR(AT51=0,AT$3&lt;INDEX(Inputs!$C:$C,MATCH("*Bank Loan PMT Start Month*",Inputs!$B:$B,0))),0,-AT51*INDEX(Inputs!$C:$C,MATCH("*Bank Loan Interest Rate*",Inputs!$B:$B,0))/12),0)</f>
        <v>0</v>
      </c>
      <c r="AU53" s="152">
        <f t="array" ref="AU53">IF(AU$3&lt;=INDEX(Inputs!$C:$C,MATCH("End Year",Inputs!$B:$B,0))*12,IF(OR(AU51=0,AU$3&lt;INDEX(Inputs!$C:$C,MATCH("*Bank Loan PMT Start Month*",Inputs!$B:$B,0))),0,-AU51*INDEX(Inputs!$C:$C,MATCH("*Bank Loan Interest Rate*",Inputs!$B:$B,0))/12),0)</f>
        <v>0</v>
      </c>
      <c r="AV53" s="152">
        <f t="array" ref="AV53">IF(AV$3&lt;=INDEX(Inputs!$C:$C,MATCH("End Year",Inputs!$B:$B,0))*12,IF(OR(AV51=0,AV$3&lt;INDEX(Inputs!$C:$C,MATCH("*Bank Loan PMT Start Month*",Inputs!$B:$B,0))),0,-AV51*INDEX(Inputs!$C:$C,MATCH("*Bank Loan Interest Rate*",Inputs!$B:$B,0))/12),0)</f>
        <v>0</v>
      </c>
      <c r="AW53" s="152">
        <f t="array" ref="AW53">IF(AW$3&lt;=INDEX(Inputs!$C:$C,MATCH("End Year",Inputs!$B:$B,0))*12,IF(OR(AW51=0,AW$3&lt;INDEX(Inputs!$C:$C,MATCH("*Bank Loan PMT Start Month*",Inputs!$B:$B,0))),0,-AW51*INDEX(Inputs!$C:$C,MATCH("*Bank Loan Interest Rate*",Inputs!$B:$B,0))/12),0)</f>
        <v>0</v>
      </c>
      <c r="AX53" s="152">
        <f t="array" ref="AX53">IF(AX$3&lt;=INDEX(Inputs!$C:$C,MATCH("End Year",Inputs!$B:$B,0))*12,IF(OR(AX51=0,AX$3&lt;INDEX(Inputs!$C:$C,MATCH("*Bank Loan PMT Start Month*",Inputs!$B:$B,0))),0,-AX51*INDEX(Inputs!$C:$C,MATCH("*Bank Loan Interest Rate*",Inputs!$B:$B,0))/12),0)</f>
        <v>0</v>
      </c>
      <c r="AY53" s="152">
        <f t="array" ref="AY53">IF(AY$3&lt;=INDEX(Inputs!$C:$C,MATCH("End Year",Inputs!$B:$B,0))*12,IF(OR(AY51=0,AY$3&lt;INDEX(Inputs!$C:$C,MATCH("*Bank Loan PMT Start Month*",Inputs!$B:$B,0))),0,-AY51*INDEX(Inputs!$C:$C,MATCH("*Bank Loan Interest Rate*",Inputs!$B:$B,0))/12),0)</f>
        <v>0</v>
      </c>
      <c r="AZ53" s="152">
        <f t="array" ref="AZ53">IF(AZ$3&lt;=INDEX(Inputs!$C:$C,MATCH("End Year",Inputs!$B:$B,0))*12,IF(OR(AZ51=0,AZ$3&lt;INDEX(Inputs!$C:$C,MATCH("*Bank Loan PMT Start Month*",Inputs!$B:$B,0))),0,-AZ51*INDEX(Inputs!$C:$C,MATCH("*Bank Loan Interest Rate*",Inputs!$B:$B,0))/12),0)</f>
        <v>0</v>
      </c>
      <c r="BA53" s="152">
        <f t="array" ref="BA53">IF(BA$3&lt;=INDEX(Inputs!$C:$C,MATCH("End Year",Inputs!$B:$B,0))*12,IF(OR(BA51=0,BA$3&lt;INDEX(Inputs!$C:$C,MATCH("*Bank Loan PMT Start Month*",Inputs!$B:$B,0))),0,-BA51*INDEX(Inputs!$C:$C,MATCH("*Bank Loan Interest Rate*",Inputs!$B:$B,0))/12),0)</f>
        <v>0</v>
      </c>
      <c r="BB53" s="152">
        <f t="array" ref="BB53">IF(BB$3&lt;=INDEX(Inputs!$C:$C,MATCH("End Year",Inputs!$B:$B,0))*12,IF(OR(BB51=0,BB$3&lt;INDEX(Inputs!$C:$C,MATCH("*Bank Loan PMT Start Month*",Inputs!$B:$B,0))),0,-BB51*INDEX(Inputs!$C:$C,MATCH("*Bank Loan Interest Rate*",Inputs!$B:$B,0))/12),0)</f>
        <v>0</v>
      </c>
      <c r="BC53" s="152">
        <f t="array" ref="BC53">IF(BC$3&lt;=INDEX(Inputs!$C:$C,MATCH("End Year",Inputs!$B:$B,0))*12,IF(OR(BC51=0,BC$3&lt;INDEX(Inputs!$C:$C,MATCH("*Bank Loan PMT Start Month*",Inputs!$B:$B,0))),0,-BC51*INDEX(Inputs!$C:$C,MATCH("*Bank Loan Interest Rate*",Inputs!$B:$B,0))/12),0)</f>
        <v>0</v>
      </c>
      <c r="BD53" s="152">
        <f t="array" ref="BD53">IF(BD$3&lt;=INDEX(Inputs!$C:$C,MATCH("End Year",Inputs!$B:$B,0))*12,IF(OR(BD51=0,BD$3&lt;INDEX(Inputs!$C:$C,MATCH("*Bank Loan PMT Start Month*",Inputs!$B:$B,0))),0,-BD51*INDEX(Inputs!$C:$C,MATCH("*Bank Loan Interest Rate*",Inputs!$B:$B,0))/12),0)</f>
        <v>0</v>
      </c>
      <c r="BE53" s="152">
        <f t="array" ref="BE53">IF(BE$3&lt;=INDEX(Inputs!$C:$C,MATCH("End Year",Inputs!$B:$B,0))*12,IF(OR(BE51=0,BE$3&lt;INDEX(Inputs!$C:$C,MATCH("*Bank Loan PMT Start Month*",Inputs!$B:$B,0))),0,-BE51*INDEX(Inputs!$C:$C,MATCH("*Bank Loan Interest Rate*",Inputs!$B:$B,0))/12),0)</f>
        <v>0</v>
      </c>
      <c r="BF53" s="152">
        <f t="array" ref="BF53">IF(BF$3&lt;=INDEX(Inputs!$C:$C,MATCH("End Year",Inputs!$B:$B,0))*12,IF(OR(BF51=0,BF$3&lt;INDEX(Inputs!$C:$C,MATCH("*Bank Loan PMT Start Month*",Inputs!$B:$B,0))),0,-BF51*INDEX(Inputs!$C:$C,MATCH("*Bank Loan Interest Rate*",Inputs!$B:$B,0))/12),0)</f>
        <v>0</v>
      </c>
      <c r="BG53" s="152">
        <f t="array" ref="BG53">IF(BG$3&lt;=INDEX(Inputs!$C:$C,MATCH("End Year",Inputs!$B:$B,0))*12,IF(OR(BG51=0,BG$3&lt;INDEX(Inputs!$C:$C,MATCH("*Bank Loan PMT Start Month*",Inputs!$B:$B,0))),0,-BG51*INDEX(Inputs!$C:$C,MATCH("*Bank Loan Interest Rate*",Inputs!$B:$B,0))/12),0)</f>
        <v>0</v>
      </c>
      <c r="BH53" s="152">
        <f t="array" ref="BH53">IF(BH$3&lt;=INDEX(Inputs!$C:$C,MATCH("End Year",Inputs!$B:$B,0))*12,IF(OR(BH51=0,BH$3&lt;INDEX(Inputs!$C:$C,MATCH("*Bank Loan PMT Start Month*",Inputs!$B:$B,0))),0,-BH51*INDEX(Inputs!$C:$C,MATCH("*Bank Loan Interest Rate*",Inputs!$B:$B,0))/12),0)</f>
        <v>0</v>
      </c>
      <c r="BI53" s="152">
        <f t="array" ref="BI53">IF(BI$3&lt;=INDEX(Inputs!$C:$C,MATCH("End Year",Inputs!$B:$B,0))*12,IF(OR(BI51=0,BI$3&lt;INDEX(Inputs!$C:$C,MATCH("*Bank Loan PMT Start Month*",Inputs!$B:$B,0))),0,-BI51*INDEX(Inputs!$C:$C,MATCH("*Bank Loan Interest Rate*",Inputs!$B:$B,0))/12),0)</f>
        <v>0</v>
      </c>
      <c r="BJ53" s="152">
        <f t="array" ref="BJ53">IF(BJ$3&lt;=INDEX(Inputs!$C:$C,MATCH("End Year",Inputs!$B:$B,0))*12,IF(OR(BJ51=0,BJ$3&lt;INDEX(Inputs!$C:$C,MATCH("*Bank Loan PMT Start Month*",Inputs!$B:$B,0))),0,-BJ51*INDEX(Inputs!$C:$C,MATCH("*Bank Loan Interest Rate*",Inputs!$B:$B,0))/12),0)</f>
        <v>0</v>
      </c>
      <c r="BK53" s="152">
        <f t="array" ref="BK53">IF(BK$3&lt;=INDEX(Inputs!$C:$C,MATCH("End Year",Inputs!$B:$B,0))*12,IF(OR(BK51=0,BK$3&lt;INDEX(Inputs!$C:$C,MATCH("*Bank Loan PMT Start Month*",Inputs!$B:$B,0))),0,-BK51*INDEX(Inputs!$C:$C,MATCH("*Bank Loan Interest Rate*",Inputs!$B:$B,0))/12),0)</f>
        <v>0</v>
      </c>
      <c r="BL53" s="152">
        <f t="array" ref="BL53">IF(BL$3&lt;=INDEX(Inputs!$C:$C,MATCH("End Year",Inputs!$B:$B,0))*12,IF(OR(BL51=0,BL$3&lt;INDEX(Inputs!$C:$C,MATCH("*Bank Loan PMT Start Month*",Inputs!$B:$B,0))),0,-BL51*INDEX(Inputs!$C:$C,MATCH("*Bank Loan Interest Rate*",Inputs!$B:$B,0))/12),0)</f>
        <v>0</v>
      </c>
      <c r="BM53" s="152">
        <f t="array" ref="BM53">IF(BM$3&lt;=INDEX(Inputs!$C:$C,MATCH("End Year",Inputs!$B:$B,0))*12,IF(OR(BM51=0,BM$3&lt;INDEX(Inputs!$C:$C,MATCH("*Bank Loan PMT Start Month*",Inputs!$B:$B,0))),0,-BM51*INDEX(Inputs!$C:$C,MATCH("*Bank Loan Interest Rate*",Inputs!$B:$B,0))/12),0)</f>
        <v>0</v>
      </c>
      <c r="BN53" s="152">
        <f t="array" ref="BN53">IF(BN$3&lt;=INDEX(Inputs!$C:$C,MATCH("End Year",Inputs!$B:$B,0))*12,IF(OR(BN51=0,BN$3&lt;INDEX(Inputs!$C:$C,MATCH("*Bank Loan PMT Start Month*",Inputs!$B:$B,0))),0,-BN51*INDEX(Inputs!$C:$C,MATCH("*Bank Loan Interest Rate*",Inputs!$B:$B,0))/12),0)</f>
        <v>0</v>
      </c>
      <c r="BO53" s="152">
        <f t="array" ref="BO53">IF(BO$3&lt;=INDEX(Inputs!$C:$C,MATCH("End Year",Inputs!$B:$B,0))*12,IF(OR(BO51=0,BO$3&lt;INDEX(Inputs!$C:$C,MATCH("*Bank Loan PMT Start Month*",Inputs!$B:$B,0))),0,-BO51*INDEX(Inputs!$C:$C,MATCH("*Bank Loan Interest Rate*",Inputs!$B:$B,0))/12),0)</f>
        <v>0</v>
      </c>
      <c r="BP53" s="152">
        <f t="array" ref="BP53">IF(BP$3&lt;=INDEX(Inputs!$C:$C,MATCH("End Year",Inputs!$B:$B,0))*12,IF(OR(BP51=0,BP$3&lt;INDEX(Inputs!$C:$C,MATCH("*Bank Loan PMT Start Month*",Inputs!$B:$B,0))),0,-BP51*INDEX(Inputs!$C:$C,MATCH("*Bank Loan Interest Rate*",Inputs!$B:$B,0))/12),0)</f>
        <v>0</v>
      </c>
      <c r="BQ53" s="152">
        <f t="array" ref="BQ53">IF(BQ$3&lt;=INDEX(Inputs!$C:$C,MATCH("End Year",Inputs!$B:$B,0))*12,IF(OR(BQ51=0,BQ$3&lt;INDEX(Inputs!$C:$C,MATCH("*Bank Loan PMT Start Month*",Inputs!$B:$B,0))),0,-BQ51*INDEX(Inputs!$C:$C,MATCH("*Bank Loan Interest Rate*",Inputs!$B:$B,0))/12),0)</f>
        <v>0</v>
      </c>
      <c r="BR53" s="152">
        <f t="array" ref="BR53">IF(BR$3&lt;=INDEX(Inputs!$C:$C,MATCH("End Year",Inputs!$B:$B,0))*12,IF(OR(BR51=0,BR$3&lt;INDEX(Inputs!$C:$C,MATCH("*Bank Loan PMT Start Month*",Inputs!$B:$B,0))),0,-BR51*INDEX(Inputs!$C:$C,MATCH("*Bank Loan Interest Rate*",Inputs!$B:$B,0))/12),0)</f>
        <v>0</v>
      </c>
      <c r="BS53" s="152">
        <f t="array" ref="BS53">IF(BS$3&lt;=INDEX(Inputs!$C:$C,MATCH("End Year",Inputs!$B:$B,0))*12,IF(OR(BS51=0,BS$3&lt;INDEX(Inputs!$C:$C,MATCH("*Bank Loan PMT Start Month*",Inputs!$B:$B,0))),0,-BS51*INDEX(Inputs!$C:$C,MATCH("*Bank Loan Interest Rate*",Inputs!$B:$B,0))/12),0)</f>
        <v>0</v>
      </c>
      <c r="BT53" s="152">
        <f t="array" ref="BT53">IF(BT$3&lt;=INDEX(Inputs!$C:$C,MATCH("End Year",Inputs!$B:$B,0))*12,IF(OR(BT51=0,BT$3&lt;INDEX(Inputs!$C:$C,MATCH("*Bank Loan PMT Start Month*",Inputs!$B:$B,0))),0,-BT51*INDEX(Inputs!$C:$C,MATCH("*Bank Loan Interest Rate*",Inputs!$B:$B,0))/12),0)</f>
        <v>0</v>
      </c>
      <c r="BU53" s="152">
        <f t="array" ref="BU53">IF(BU$3&lt;=INDEX(Inputs!$C:$C,MATCH("End Year",Inputs!$B:$B,0))*12,IF(OR(BU51=0,BU$3&lt;INDEX(Inputs!$C:$C,MATCH("*Bank Loan PMT Start Month*",Inputs!$B:$B,0))),0,-BU51*INDEX(Inputs!$C:$C,MATCH("*Bank Loan Interest Rate*",Inputs!$B:$B,0))/12),0)</f>
        <v>0</v>
      </c>
      <c r="BV53" s="152">
        <f t="array" ref="BV53">IF(BV$3&lt;=INDEX(Inputs!$C:$C,MATCH("End Year",Inputs!$B:$B,0))*12,IF(OR(BV51=0,BV$3&lt;INDEX(Inputs!$C:$C,MATCH("*Bank Loan PMT Start Month*",Inputs!$B:$B,0))),0,-BV51*INDEX(Inputs!$C:$C,MATCH("*Bank Loan Interest Rate*",Inputs!$B:$B,0))/12),0)</f>
        <v>0</v>
      </c>
      <c r="BW53" s="152">
        <f t="array" ref="BW53">IF(BW$3&lt;=INDEX(Inputs!$C:$C,MATCH("End Year",Inputs!$B:$B,0))*12,IF(OR(BW51=0,BW$3&lt;INDEX(Inputs!$C:$C,MATCH("*Bank Loan PMT Start Month*",Inputs!$B:$B,0))),0,-BW51*INDEX(Inputs!$C:$C,MATCH("*Bank Loan Interest Rate*",Inputs!$B:$B,0))/12),0)</f>
        <v>0</v>
      </c>
      <c r="BX53" s="152">
        <f t="array" ref="BX53">IF(BX$3&lt;=INDEX(Inputs!$C:$C,MATCH("End Year",Inputs!$B:$B,0))*12,IF(OR(BX51=0,BX$3&lt;INDEX(Inputs!$C:$C,MATCH("*Bank Loan PMT Start Month*",Inputs!$B:$B,0))),0,-BX51*INDEX(Inputs!$C:$C,MATCH("*Bank Loan Interest Rate*",Inputs!$B:$B,0))/12),0)</f>
        <v>0</v>
      </c>
      <c r="BY53" s="152">
        <f t="array" ref="BY53">IF(BY$3&lt;=INDEX(Inputs!$C:$C,MATCH("End Year",Inputs!$B:$B,0))*12,IF(OR(BY51=0,BY$3&lt;INDEX(Inputs!$C:$C,MATCH("*Bank Loan PMT Start Month*",Inputs!$B:$B,0))),0,-BY51*INDEX(Inputs!$C:$C,MATCH("*Bank Loan Interest Rate*",Inputs!$B:$B,0))/12),0)</f>
        <v>0</v>
      </c>
      <c r="BZ53" s="152">
        <f t="array" ref="BZ53">IF(BZ$3&lt;=INDEX(Inputs!$C:$C,MATCH("End Year",Inputs!$B:$B,0))*12,IF(OR(BZ51=0,BZ$3&lt;INDEX(Inputs!$C:$C,MATCH("*Bank Loan PMT Start Month*",Inputs!$B:$B,0))),0,-BZ51*INDEX(Inputs!$C:$C,MATCH("*Bank Loan Interest Rate*",Inputs!$B:$B,0))/12),0)</f>
        <v>0</v>
      </c>
      <c r="CA53" s="152">
        <f t="array" ref="CA53">IF(CA$3&lt;=INDEX(Inputs!$C:$C,MATCH("End Year",Inputs!$B:$B,0))*12,IF(OR(CA51=0,CA$3&lt;INDEX(Inputs!$C:$C,MATCH("*Bank Loan PMT Start Month*",Inputs!$B:$B,0))),0,-CA51*INDEX(Inputs!$C:$C,MATCH("*Bank Loan Interest Rate*",Inputs!$B:$B,0))/12),0)</f>
        <v>0</v>
      </c>
      <c r="CB53" s="152">
        <f t="array" ref="CB53">IF(CB$3&lt;=INDEX(Inputs!$C:$C,MATCH("End Year",Inputs!$B:$B,0))*12,IF(OR(CB51=0,CB$3&lt;INDEX(Inputs!$C:$C,MATCH("*Bank Loan PMT Start Month*",Inputs!$B:$B,0))),0,-CB51*INDEX(Inputs!$C:$C,MATCH("*Bank Loan Interest Rate*",Inputs!$B:$B,0))/12),0)</f>
        <v>0</v>
      </c>
      <c r="CC53" s="152">
        <f t="array" ref="CC53">IF(CC$3&lt;=INDEX(Inputs!$C:$C,MATCH("End Year",Inputs!$B:$B,0))*12,IF(OR(CC51=0,CC$3&lt;INDEX(Inputs!$C:$C,MATCH("*Bank Loan PMT Start Month*",Inputs!$B:$B,0))),0,-CC51*INDEX(Inputs!$C:$C,MATCH("*Bank Loan Interest Rate*",Inputs!$B:$B,0))/12),0)</f>
        <v>0</v>
      </c>
      <c r="CD53" s="152">
        <f t="array" ref="CD53">IF(CD$3&lt;=INDEX(Inputs!$C:$C,MATCH("End Year",Inputs!$B:$B,0))*12,IF(OR(CD51=0,CD$3&lt;INDEX(Inputs!$C:$C,MATCH("*Bank Loan PMT Start Month*",Inputs!$B:$B,0))),0,-CD51*INDEX(Inputs!$C:$C,MATCH("*Bank Loan Interest Rate*",Inputs!$B:$B,0))/12),0)</f>
        <v>0</v>
      </c>
      <c r="CE53" s="152">
        <f t="array" ref="CE53">IF(CE$3&lt;=INDEX(Inputs!$C:$C,MATCH("End Year",Inputs!$B:$B,0))*12,IF(OR(CE51=0,CE$3&lt;INDEX(Inputs!$C:$C,MATCH("*Bank Loan PMT Start Month*",Inputs!$B:$B,0))),0,-CE51*INDEX(Inputs!$C:$C,MATCH("*Bank Loan Interest Rate*",Inputs!$B:$B,0))/12),0)</f>
        <v>0</v>
      </c>
      <c r="CF53" s="152">
        <f t="array" ref="CF53">IF(CF$3&lt;=INDEX(Inputs!$C:$C,MATCH("End Year",Inputs!$B:$B,0))*12,IF(OR(CF51=0,CF$3&lt;INDEX(Inputs!$C:$C,MATCH("*Bank Loan PMT Start Month*",Inputs!$B:$B,0))),0,-CF51*INDEX(Inputs!$C:$C,MATCH("*Bank Loan Interest Rate*",Inputs!$B:$B,0))/12),0)</f>
        <v>0</v>
      </c>
      <c r="CG53" s="152">
        <f t="array" ref="CG53">IF(CG$3&lt;=INDEX(Inputs!$C:$C,MATCH("End Year",Inputs!$B:$B,0))*12,IF(OR(CG51=0,CG$3&lt;INDEX(Inputs!$C:$C,MATCH("*Bank Loan PMT Start Month*",Inputs!$B:$B,0))),0,-CG51*INDEX(Inputs!$C:$C,MATCH("*Bank Loan Interest Rate*",Inputs!$B:$B,0))/12),0)</f>
        <v>0</v>
      </c>
      <c r="CH53" s="152">
        <f t="array" ref="CH53">IF(CH$3&lt;=INDEX(Inputs!$C:$C,MATCH("End Year",Inputs!$B:$B,0))*12,IF(OR(CH51=0,CH$3&lt;INDEX(Inputs!$C:$C,MATCH("*Bank Loan PMT Start Month*",Inputs!$B:$B,0))),0,-CH51*INDEX(Inputs!$C:$C,MATCH("*Bank Loan Interest Rate*",Inputs!$B:$B,0))/12),0)</f>
        <v>0</v>
      </c>
      <c r="CI53" s="152">
        <f t="array" ref="CI53">IF(CI$3&lt;=INDEX(Inputs!$C:$C,MATCH("End Year",Inputs!$B:$B,0))*12,IF(OR(CI51=0,CI$3&lt;INDEX(Inputs!$C:$C,MATCH("*Bank Loan PMT Start Month*",Inputs!$B:$B,0))),0,-CI51*INDEX(Inputs!$C:$C,MATCH("*Bank Loan Interest Rate*",Inputs!$B:$B,0))/12),0)</f>
        <v>0</v>
      </c>
      <c r="CJ53" s="152">
        <f t="array" ref="CJ53">IF(CJ$3&lt;=INDEX(Inputs!$C:$C,MATCH("End Year",Inputs!$B:$B,0))*12,IF(OR(CJ51=0,CJ$3&lt;INDEX(Inputs!$C:$C,MATCH("*Bank Loan PMT Start Month*",Inputs!$B:$B,0))),0,-CJ51*INDEX(Inputs!$C:$C,MATCH("*Bank Loan Interest Rate*",Inputs!$B:$B,0))/12),0)</f>
        <v>0</v>
      </c>
      <c r="CK53" s="152">
        <f t="array" ref="CK53">IF(CK$3&lt;=INDEX(Inputs!$C:$C,MATCH("End Year",Inputs!$B:$B,0))*12,IF(OR(CK51=0,CK$3&lt;INDEX(Inputs!$C:$C,MATCH("*Bank Loan PMT Start Month*",Inputs!$B:$B,0))),0,-CK51*INDEX(Inputs!$C:$C,MATCH("*Bank Loan Interest Rate*",Inputs!$B:$B,0))/12),0)</f>
        <v>0</v>
      </c>
      <c r="CL53" s="152">
        <f t="array" ref="CL53">IF(CL$3&lt;=INDEX(Inputs!$C:$C,MATCH("End Year",Inputs!$B:$B,0))*12,IF(OR(CL51=0,CL$3&lt;INDEX(Inputs!$C:$C,MATCH("*Bank Loan PMT Start Month*",Inputs!$B:$B,0))),0,-CL51*INDEX(Inputs!$C:$C,MATCH("*Bank Loan Interest Rate*",Inputs!$B:$B,0))/12),0)</f>
        <v>0</v>
      </c>
      <c r="CM53" s="152">
        <f t="array" ref="CM53">IF(CM$3&lt;=INDEX(Inputs!$C:$C,MATCH("End Year",Inputs!$B:$B,0))*12,IF(OR(CM51=0,CM$3&lt;INDEX(Inputs!$C:$C,MATCH("*Bank Loan PMT Start Month*",Inputs!$B:$B,0))),0,-CM51*INDEX(Inputs!$C:$C,MATCH("*Bank Loan Interest Rate*",Inputs!$B:$B,0))/12),0)</f>
        <v>0</v>
      </c>
      <c r="CN53" s="152">
        <f t="array" ref="CN53">IF(CN$3&lt;=INDEX(Inputs!$C:$C,MATCH("End Year",Inputs!$B:$B,0))*12,IF(OR(CN51=0,CN$3&lt;INDEX(Inputs!$C:$C,MATCH("*Bank Loan PMT Start Month*",Inputs!$B:$B,0))),0,-CN51*INDEX(Inputs!$C:$C,MATCH("*Bank Loan Interest Rate*",Inputs!$B:$B,0))/12),0)</f>
        <v>0</v>
      </c>
      <c r="CO53" s="152">
        <f t="array" ref="CO53">IF(CO$3&lt;=INDEX(Inputs!$C:$C,MATCH("End Year",Inputs!$B:$B,0))*12,IF(OR(CO51=0,CO$3&lt;INDEX(Inputs!$C:$C,MATCH("*Bank Loan PMT Start Month*",Inputs!$B:$B,0))),0,-CO51*INDEX(Inputs!$C:$C,MATCH("*Bank Loan Interest Rate*",Inputs!$B:$B,0))/12),0)</f>
        <v>0</v>
      </c>
      <c r="CP53" s="152">
        <f t="array" ref="CP53">IF(CP$3&lt;=INDEX(Inputs!$C:$C,MATCH("End Year",Inputs!$B:$B,0))*12,IF(OR(CP51=0,CP$3&lt;INDEX(Inputs!$C:$C,MATCH("*Bank Loan PMT Start Month*",Inputs!$B:$B,0))),0,-CP51*INDEX(Inputs!$C:$C,MATCH("*Bank Loan Interest Rate*",Inputs!$B:$B,0))/12),0)</f>
        <v>0</v>
      </c>
      <c r="CQ53" s="152">
        <f t="array" ref="CQ53">IF(CQ$3&lt;=INDEX(Inputs!$C:$C,MATCH("End Year",Inputs!$B:$B,0))*12,IF(OR(CQ51=0,CQ$3&lt;INDEX(Inputs!$C:$C,MATCH("*Bank Loan PMT Start Month*",Inputs!$B:$B,0))),0,-CQ51*INDEX(Inputs!$C:$C,MATCH("*Bank Loan Interest Rate*",Inputs!$B:$B,0))/12),0)</f>
        <v>0</v>
      </c>
      <c r="CR53" s="152">
        <f t="array" ref="CR53">IF(CR$3&lt;=INDEX(Inputs!$C:$C,MATCH("End Year",Inputs!$B:$B,0))*12,IF(OR(CR51=0,CR$3&lt;INDEX(Inputs!$C:$C,MATCH("*Bank Loan PMT Start Month*",Inputs!$B:$B,0))),0,-CR51*INDEX(Inputs!$C:$C,MATCH("*Bank Loan Interest Rate*",Inputs!$B:$B,0))/12),0)</f>
        <v>0</v>
      </c>
      <c r="CS53" s="152">
        <f t="array" ref="CS53">IF(CS$3&lt;=INDEX(Inputs!$C:$C,MATCH("End Year",Inputs!$B:$B,0))*12,IF(OR(CS51=0,CS$3&lt;INDEX(Inputs!$C:$C,MATCH("*Bank Loan PMT Start Month*",Inputs!$B:$B,0))),0,-CS51*INDEX(Inputs!$C:$C,MATCH("*Bank Loan Interest Rate*",Inputs!$B:$B,0))/12),0)</f>
        <v>0</v>
      </c>
      <c r="CT53" s="152">
        <f t="array" ref="CT53">IF(CT$3&lt;=INDEX(Inputs!$C:$C,MATCH("End Year",Inputs!$B:$B,0))*12,IF(OR(CT51=0,CT$3&lt;INDEX(Inputs!$C:$C,MATCH("*Bank Loan PMT Start Month*",Inputs!$B:$B,0))),0,-CT51*INDEX(Inputs!$C:$C,MATCH("*Bank Loan Interest Rate*",Inputs!$B:$B,0))/12),0)</f>
        <v>0</v>
      </c>
      <c r="CU53" s="152">
        <f t="array" ref="CU53">IF(CU$3&lt;=INDEX(Inputs!$C:$C,MATCH("End Year",Inputs!$B:$B,0))*12,IF(OR(CU51=0,CU$3&lt;INDEX(Inputs!$C:$C,MATCH("*Bank Loan PMT Start Month*",Inputs!$B:$B,0))),0,-CU51*INDEX(Inputs!$C:$C,MATCH("*Bank Loan Interest Rate*",Inputs!$B:$B,0))/12),0)</f>
        <v>0</v>
      </c>
      <c r="CV53" s="152">
        <f t="array" ref="CV53">IF(CV$3&lt;=INDEX(Inputs!$C:$C,MATCH("End Year",Inputs!$B:$B,0))*12,IF(OR(CV51=0,CV$3&lt;INDEX(Inputs!$C:$C,MATCH("*Bank Loan PMT Start Month*",Inputs!$B:$B,0))),0,-CV51*INDEX(Inputs!$C:$C,MATCH("*Bank Loan Interest Rate*",Inputs!$B:$B,0))/12),0)</f>
        <v>0</v>
      </c>
      <c r="CW53" s="152">
        <f t="array" ref="CW53">IF(CW$3&lt;=INDEX(Inputs!$C:$C,MATCH("End Year",Inputs!$B:$B,0))*12,IF(OR(CW51=0,CW$3&lt;INDEX(Inputs!$C:$C,MATCH("*Bank Loan PMT Start Month*",Inputs!$B:$B,0))),0,-CW51*INDEX(Inputs!$C:$C,MATCH("*Bank Loan Interest Rate*",Inputs!$B:$B,0))/12),0)</f>
        <v>0</v>
      </c>
      <c r="CX53" s="152">
        <f t="array" ref="CX53">IF(CX$3&lt;=INDEX(Inputs!$C:$C,MATCH("End Year",Inputs!$B:$B,0))*12,IF(OR(CX51=0,CX$3&lt;INDEX(Inputs!$C:$C,MATCH("*Bank Loan PMT Start Month*",Inputs!$B:$B,0))),0,-CX51*INDEX(Inputs!$C:$C,MATCH("*Bank Loan Interest Rate*",Inputs!$B:$B,0))/12),0)</f>
        <v>0</v>
      </c>
      <c r="CY53" s="152">
        <f t="array" ref="CY53">IF(CY$3&lt;=INDEX(Inputs!$C:$C,MATCH("End Year",Inputs!$B:$B,0))*12,IF(OR(CY51=0,CY$3&lt;INDEX(Inputs!$C:$C,MATCH("*Bank Loan PMT Start Month*",Inputs!$B:$B,0))),0,-CY51*INDEX(Inputs!$C:$C,MATCH("*Bank Loan Interest Rate*",Inputs!$B:$B,0))/12),0)</f>
        <v>0</v>
      </c>
      <c r="CZ53" s="152">
        <f t="array" ref="CZ53">IF(CZ$3&lt;=INDEX(Inputs!$C:$C,MATCH("End Year",Inputs!$B:$B,0))*12,IF(OR(CZ51=0,CZ$3&lt;INDEX(Inputs!$C:$C,MATCH("*Bank Loan PMT Start Month*",Inputs!$B:$B,0))),0,-CZ51*INDEX(Inputs!$C:$C,MATCH("*Bank Loan Interest Rate*",Inputs!$B:$B,0))/12),0)</f>
        <v>0</v>
      </c>
      <c r="DA53" s="152">
        <f t="array" ref="DA53">IF(DA$3&lt;=INDEX(Inputs!$C:$C,MATCH("End Year",Inputs!$B:$B,0))*12,IF(OR(DA51=0,DA$3&lt;INDEX(Inputs!$C:$C,MATCH("*Bank Loan PMT Start Month*",Inputs!$B:$B,0))),0,-DA51*INDEX(Inputs!$C:$C,MATCH("*Bank Loan Interest Rate*",Inputs!$B:$B,0))/12),0)</f>
        <v>0</v>
      </c>
      <c r="DB53" s="152">
        <f t="array" ref="DB53">IF(DB$3&lt;=INDEX(Inputs!$C:$C,MATCH("End Year",Inputs!$B:$B,0))*12,IF(OR(DB51=0,DB$3&lt;INDEX(Inputs!$C:$C,MATCH("*Bank Loan PMT Start Month*",Inputs!$B:$B,0))),0,-DB51*INDEX(Inputs!$C:$C,MATCH("*Bank Loan Interest Rate*",Inputs!$B:$B,0))/12),0)</f>
        <v>0</v>
      </c>
      <c r="DC53" s="152">
        <f t="array" ref="DC53">IF(DC$3&lt;=INDEX(Inputs!$C:$C,MATCH("End Year",Inputs!$B:$B,0))*12,IF(OR(DC51=0,DC$3&lt;INDEX(Inputs!$C:$C,MATCH("*Bank Loan PMT Start Month*",Inputs!$B:$B,0))),0,-DC51*INDEX(Inputs!$C:$C,MATCH("*Bank Loan Interest Rate*",Inputs!$B:$B,0))/12),0)</f>
        <v>0</v>
      </c>
      <c r="DD53" s="152">
        <f t="array" ref="DD53">IF(DD$3&lt;=INDEX(Inputs!$C:$C,MATCH("End Year",Inputs!$B:$B,0))*12,IF(OR(DD51=0,DD$3&lt;INDEX(Inputs!$C:$C,MATCH("*Bank Loan PMT Start Month*",Inputs!$B:$B,0))),0,-DD51*INDEX(Inputs!$C:$C,MATCH("*Bank Loan Interest Rate*",Inputs!$B:$B,0))/12),0)</f>
        <v>0</v>
      </c>
      <c r="DE53" s="152">
        <f t="array" ref="DE53">IF(DE$3&lt;=INDEX(Inputs!$C:$C,MATCH("End Year",Inputs!$B:$B,0))*12,IF(OR(DE51=0,DE$3&lt;INDEX(Inputs!$C:$C,MATCH("*Bank Loan PMT Start Month*",Inputs!$B:$B,0))),0,-DE51*INDEX(Inputs!$C:$C,MATCH("*Bank Loan Interest Rate*",Inputs!$B:$B,0))/12),0)</f>
        <v>0</v>
      </c>
      <c r="DF53" s="152">
        <f t="array" ref="DF53">IF(DF$3&lt;=INDEX(Inputs!$C:$C,MATCH("End Year",Inputs!$B:$B,0))*12,IF(OR(DF51=0,DF$3&lt;INDEX(Inputs!$C:$C,MATCH("*Bank Loan PMT Start Month*",Inputs!$B:$B,0))),0,-DF51*INDEX(Inputs!$C:$C,MATCH("*Bank Loan Interest Rate*",Inputs!$B:$B,0))/12),0)</f>
        <v>0</v>
      </c>
      <c r="DG53" s="152">
        <f t="array" ref="DG53">IF(DG$3&lt;=INDEX(Inputs!$C:$C,MATCH("End Year",Inputs!$B:$B,0))*12,IF(OR(DG51=0,DG$3&lt;INDEX(Inputs!$C:$C,MATCH("*Bank Loan PMT Start Month*",Inputs!$B:$B,0))),0,-DG51*INDEX(Inputs!$C:$C,MATCH("*Bank Loan Interest Rate*",Inputs!$B:$B,0))/12),0)</f>
        <v>0</v>
      </c>
      <c r="DH53" s="152">
        <f t="array" ref="DH53">IF(DH$3&lt;=INDEX(Inputs!$C:$C,MATCH("End Year",Inputs!$B:$B,0))*12,IF(OR(DH51=0,DH$3&lt;INDEX(Inputs!$C:$C,MATCH("*Bank Loan PMT Start Month*",Inputs!$B:$B,0))),0,-DH51*INDEX(Inputs!$C:$C,MATCH("*Bank Loan Interest Rate*",Inputs!$B:$B,0))/12),0)</f>
        <v>0</v>
      </c>
      <c r="DI53" s="152">
        <f t="array" ref="DI53">IF(DI$3&lt;=INDEX(Inputs!$C:$C,MATCH("End Year",Inputs!$B:$B,0))*12,IF(OR(DI51=0,DI$3&lt;INDEX(Inputs!$C:$C,MATCH("*Bank Loan PMT Start Month*",Inputs!$B:$B,0))),0,-DI51*INDEX(Inputs!$C:$C,MATCH("*Bank Loan Interest Rate*",Inputs!$B:$B,0))/12),0)</f>
        <v>0</v>
      </c>
      <c r="DJ53" s="152">
        <f t="array" ref="DJ53">IF(DJ$3&lt;=INDEX(Inputs!$C:$C,MATCH("End Year",Inputs!$B:$B,0))*12,IF(OR(DJ51=0,DJ$3&lt;INDEX(Inputs!$C:$C,MATCH("*Bank Loan PMT Start Month*",Inputs!$B:$B,0))),0,-DJ51*INDEX(Inputs!$C:$C,MATCH("*Bank Loan Interest Rate*",Inputs!$B:$B,0))/12),0)</f>
        <v>0</v>
      </c>
      <c r="DK53" s="152">
        <f t="array" ref="DK53">IF(DK$3&lt;=INDEX(Inputs!$C:$C,MATCH("End Year",Inputs!$B:$B,0))*12,IF(OR(DK51=0,DK$3&lt;INDEX(Inputs!$C:$C,MATCH("*Bank Loan PMT Start Month*",Inputs!$B:$B,0))),0,-DK51*INDEX(Inputs!$C:$C,MATCH("*Bank Loan Interest Rate*",Inputs!$B:$B,0))/12),0)</f>
        <v>0</v>
      </c>
      <c r="DL53" s="152">
        <f t="array" ref="DL53">IF(DL$3&lt;=INDEX(Inputs!$C:$C,MATCH("End Year",Inputs!$B:$B,0))*12,IF(OR(DL51=0,DL$3&lt;INDEX(Inputs!$C:$C,MATCH("*Bank Loan PMT Start Month*",Inputs!$B:$B,0))),0,-DL51*INDEX(Inputs!$C:$C,MATCH("*Bank Loan Interest Rate*",Inputs!$B:$B,0))/12),0)</f>
        <v>0</v>
      </c>
      <c r="DM53" s="152">
        <f t="array" ref="DM53">IF(DM$3&lt;=INDEX(Inputs!$C:$C,MATCH("End Year",Inputs!$B:$B,0))*12,IF(OR(DM51=0,DM$3&lt;INDEX(Inputs!$C:$C,MATCH("*Bank Loan PMT Start Month*",Inputs!$B:$B,0))),0,-DM51*INDEX(Inputs!$C:$C,MATCH("*Bank Loan Interest Rate*",Inputs!$B:$B,0))/12),0)</f>
        <v>0</v>
      </c>
      <c r="DN53" s="152">
        <f t="array" ref="DN53">IF(DN$3&lt;=INDEX(Inputs!$C:$C,MATCH("End Year",Inputs!$B:$B,0))*12,IF(OR(DN51=0,DN$3&lt;INDEX(Inputs!$C:$C,MATCH("*Bank Loan PMT Start Month*",Inputs!$B:$B,0))),0,-DN51*INDEX(Inputs!$C:$C,MATCH("*Bank Loan Interest Rate*",Inputs!$B:$B,0))/12),0)</f>
        <v>0</v>
      </c>
      <c r="DO53" s="152">
        <f t="array" ref="DO53">IF(DO$3&lt;=INDEX(Inputs!$C:$C,MATCH("End Year",Inputs!$B:$B,0))*12,IF(OR(DO51=0,DO$3&lt;INDEX(Inputs!$C:$C,MATCH("*Bank Loan PMT Start Month*",Inputs!$B:$B,0))),0,-DO51*INDEX(Inputs!$C:$C,MATCH("*Bank Loan Interest Rate*",Inputs!$B:$B,0))/12),0)</f>
        <v>0</v>
      </c>
      <c r="DP53" s="152">
        <f t="array" ref="DP53">IF(DP$3&lt;=INDEX(Inputs!$C:$C,MATCH("End Year",Inputs!$B:$B,0))*12,IF(OR(DP51=0,DP$3&lt;INDEX(Inputs!$C:$C,MATCH("*Bank Loan PMT Start Month*",Inputs!$B:$B,0))),0,-DP51*INDEX(Inputs!$C:$C,MATCH("*Bank Loan Interest Rate*",Inputs!$B:$B,0))/12),0)</f>
        <v>0</v>
      </c>
      <c r="DQ53" s="152">
        <f t="array" ref="DQ53">IF(DQ$3&lt;=INDEX(Inputs!$C:$C,MATCH("End Year",Inputs!$B:$B,0))*12,IF(OR(DQ51=0,DQ$3&lt;INDEX(Inputs!$C:$C,MATCH("*Bank Loan PMT Start Month*",Inputs!$B:$B,0))),0,-DQ51*INDEX(Inputs!$C:$C,MATCH("*Bank Loan Interest Rate*",Inputs!$B:$B,0))/12),0)</f>
        <v>0</v>
      </c>
      <c r="DR53" s="152">
        <f t="array" ref="DR53">IF(DR$3&lt;=INDEX(Inputs!$C:$C,MATCH("End Year",Inputs!$B:$B,0))*12,IF(OR(DR51=0,DR$3&lt;INDEX(Inputs!$C:$C,MATCH("*Bank Loan PMT Start Month*",Inputs!$B:$B,0))),0,-DR51*INDEX(Inputs!$C:$C,MATCH("*Bank Loan Interest Rate*",Inputs!$B:$B,0))/12),0)</f>
        <v>0</v>
      </c>
      <c r="DS53" s="44">
        <f t="array" ref="DS53">IF(DS$3&lt;=INDEX(Inputs!$C:$C,MATCH("End Year",Inputs!$B:$B,0))*12,IF(OR(DS51=0,DS$3&lt;INDEX(Inputs!$C:$C,MATCH("*Bank Loan PMT Start Month*",Inputs!$B:$B,0))),0,-DS51*INDEX(Inputs!$C:$C,MATCH("*Bank Loan Interest Rate*",Inputs!$B:$B,0))/12),0)</f>
        <v>0</v>
      </c>
    </row>
    <row r="54" ht="15.0" customHeight="1">
      <c r="A54" s="44"/>
      <c r="B54" s="46" t="s">
        <v>342</v>
      </c>
      <c r="C54" s="152">
        <f t="array" ref="C54">IF(C$3&lt;=INDEX(Inputs!$C:$C,MATCH("End Year",Inputs!$B:$B,0))*12,IF(OR(C51=0,C$3&lt;INDEX(Inputs!$C:$C,MATCH("*Bank Loan PMT Start Month*",Inputs!$B:$B,0))),0,IF(C$3-INDEX(Inputs!$C:$C,MATCH("*Bank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Amount*",Inputs!$B:$B,0)))-C51*INDEX(Inputs!$C:$C,MATCH("*Bank Loan Interest Rate*",Inputs!$B:$B,0))/12,C51))),0)</f>
        <v>0</v>
      </c>
      <c r="D54" s="152">
        <f t="array" ref="D54">IF(D$3&lt;=INDEX(Inputs!$C:$C,MATCH("End Year",Inputs!$B:$B,0))*12,IF(OR(D51=0,D$3&lt;INDEX(Inputs!$C:$C,MATCH("*Bank Loan PMT Start Month*",Inputs!$B:$B,0))),0,IF(D$3-INDEX(Inputs!$C:$C,MATCH("*Bank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Amount*",Inputs!$B:$B,0)))-D51*INDEX(Inputs!$C:$C,MATCH("*Bank Loan Interest Rate*",Inputs!$B:$B,0))/12,D51))),0)</f>
        <v>0</v>
      </c>
      <c r="E54" s="152">
        <f t="array" ref="E54">IF(E$3&lt;=INDEX(Inputs!$C:$C,MATCH("End Year",Inputs!$B:$B,0))*12,IF(OR(E51=0,E$3&lt;INDEX(Inputs!$C:$C,MATCH("*Bank Loan PMT Start Month*",Inputs!$B:$B,0))),0,IF(E$3-INDEX(Inputs!$C:$C,MATCH("*Bank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Amount*",Inputs!$B:$B,0)))-E51*INDEX(Inputs!$C:$C,MATCH("*Bank Loan Interest Rate*",Inputs!$B:$B,0))/12,E51))),0)</f>
        <v>0</v>
      </c>
      <c r="F54" s="152">
        <f t="array" ref="F54">IF(F$3&lt;=INDEX(Inputs!$C:$C,MATCH("End Year",Inputs!$B:$B,0))*12,IF(OR(F51=0,F$3&lt;INDEX(Inputs!$C:$C,MATCH("*Bank Loan PMT Start Month*",Inputs!$B:$B,0))),0,IF(F$3-INDEX(Inputs!$C:$C,MATCH("*Bank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Amount*",Inputs!$B:$B,0)))-F51*INDEX(Inputs!$C:$C,MATCH("*Bank Loan Interest Rate*",Inputs!$B:$B,0))/12,F51))),0)</f>
        <v>0</v>
      </c>
      <c r="G54" s="152">
        <f t="array" ref="G54">IF(G$3&lt;=INDEX(Inputs!$C:$C,MATCH("End Year",Inputs!$B:$B,0))*12,IF(OR(G51=0,G$3&lt;INDEX(Inputs!$C:$C,MATCH("*Bank Loan PMT Start Month*",Inputs!$B:$B,0))),0,IF(G$3-INDEX(Inputs!$C:$C,MATCH("*Bank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Amount*",Inputs!$B:$B,0)))-G51*INDEX(Inputs!$C:$C,MATCH("*Bank Loan Interest Rate*",Inputs!$B:$B,0))/12,G51))),0)</f>
        <v>0</v>
      </c>
      <c r="H54" s="152">
        <f t="array" ref="H54">IF(H$3&lt;=INDEX(Inputs!$C:$C,MATCH("End Year",Inputs!$B:$B,0))*12,IF(OR(H51=0,H$3&lt;INDEX(Inputs!$C:$C,MATCH("*Bank Loan PMT Start Month*",Inputs!$B:$B,0))),0,IF(H$3-INDEX(Inputs!$C:$C,MATCH("*Bank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Amount*",Inputs!$B:$B,0)))-H51*INDEX(Inputs!$C:$C,MATCH("*Bank Loan Interest Rate*",Inputs!$B:$B,0))/12,H51))),0)</f>
        <v>0</v>
      </c>
      <c r="I54" s="152">
        <f t="array" ref="I54">IF(I$3&lt;=INDEX(Inputs!$C:$C,MATCH("End Year",Inputs!$B:$B,0))*12,IF(OR(I51=0,I$3&lt;INDEX(Inputs!$C:$C,MATCH("*Bank Loan PMT Start Month*",Inputs!$B:$B,0))),0,IF(I$3-INDEX(Inputs!$C:$C,MATCH("*Bank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Amount*",Inputs!$B:$B,0)))-I51*INDEX(Inputs!$C:$C,MATCH("*Bank Loan Interest Rate*",Inputs!$B:$B,0))/12,I51))),0)</f>
        <v>0</v>
      </c>
      <c r="J54" s="152">
        <f t="array" ref="J54">IF(J$3&lt;=INDEX(Inputs!$C:$C,MATCH("End Year",Inputs!$B:$B,0))*12,IF(OR(J51=0,J$3&lt;INDEX(Inputs!$C:$C,MATCH("*Bank Loan PMT Start Month*",Inputs!$B:$B,0))),0,IF(J$3-INDEX(Inputs!$C:$C,MATCH("*Bank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Amount*",Inputs!$B:$B,0)))-J51*INDEX(Inputs!$C:$C,MATCH("*Bank Loan Interest Rate*",Inputs!$B:$B,0))/12,J51))),0)</f>
        <v>0</v>
      </c>
      <c r="K54" s="152">
        <f t="array" ref="K54">IF(K$3&lt;=INDEX(Inputs!$C:$C,MATCH("End Year",Inputs!$B:$B,0))*12,IF(OR(K51=0,K$3&lt;INDEX(Inputs!$C:$C,MATCH("*Bank Loan PMT Start Month*",Inputs!$B:$B,0))),0,IF(K$3-INDEX(Inputs!$C:$C,MATCH("*Bank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Amount*",Inputs!$B:$B,0)))-K51*INDEX(Inputs!$C:$C,MATCH("*Bank Loan Interest Rate*",Inputs!$B:$B,0))/12,K51))),0)</f>
        <v>0</v>
      </c>
      <c r="L54" s="152">
        <f t="array" ref="L54">IF(L$3&lt;=INDEX(Inputs!$C:$C,MATCH("End Year",Inputs!$B:$B,0))*12,IF(OR(L51=0,L$3&lt;INDEX(Inputs!$C:$C,MATCH("*Bank Loan PMT Start Month*",Inputs!$B:$B,0))),0,IF(L$3-INDEX(Inputs!$C:$C,MATCH("*Bank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Amount*",Inputs!$B:$B,0)))-L51*INDEX(Inputs!$C:$C,MATCH("*Bank Loan Interest Rate*",Inputs!$B:$B,0))/12,L51))),0)</f>
        <v>0</v>
      </c>
      <c r="M54" s="152">
        <f t="array" ref="M54">IF(M$3&lt;=INDEX(Inputs!$C:$C,MATCH("End Year",Inputs!$B:$B,0))*12,IF(OR(M51=0,M$3&lt;INDEX(Inputs!$C:$C,MATCH("*Bank Loan PMT Start Month*",Inputs!$B:$B,0))),0,IF(M$3-INDEX(Inputs!$C:$C,MATCH("*Bank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Amount*",Inputs!$B:$B,0)))-M51*INDEX(Inputs!$C:$C,MATCH("*Bank Loan Interest Rate*",Inputs!$B:$B,0))/12,M51))),0)</f>
        <v>0</v>
      </c>
      <c r="N54" s="152">
        <f t="array" ref="N54">IF(N$3&lt;=INDEX(Inputs!$C:$C,MATCH("End Year",Inputs!$B:$B,0))*12,IF(OR(N51=0,N$3&lt;INDEX(Inputs!$C:$C,MATCH("*Bank Loan PMT Start Month*",Inputs!$B:$B,0))),0,IF(N$3-INDEX(Inputs!$C:$C,MATCH("*Bank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Amount*",Inputs!$B:$B,0)))-N51*INDEX(Inputs!$C:$C,MATCH("*Bank Loan Interest Rate*",Inputs!$B:$B,0))/12,N51))),0)</f>
        <v>0</v>
      </c>
      <c r="O54" s="152">
        <f t="array" ref="O54">IF(O$3&lt;=INDEX(Inputs!$C:$C,MATCH("End Year",Inputs!$B:$B,0))*12,IF(OR(O51=0,O$3&lt;INDEX(Inputs!$C:$C,MATCH("*Bank Loan PMT Start Month*",Inputs!$B:$B,0))),0,IF(O$3-INDEX(Inputs!$C:$C,MATCH("*Bank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Amount*",Inputs!$B:$B,0)))-O51*INDEX(Inputs!$C:$C,MATCH("*Bank Loan Interest Rate*",Inputs!$B:$B,0))/12,O51))),0)</f>
        <v>0</v>
      </c>
      <c r="P54" s="152">
        <f t="array" ref="P54">IF(P$3&lt;=INDEX(Inputs!$C:$C,MATCH("End Year",Inputs!$B:$B,0))*12,IF(OR(P51=0,P$3&lt;INDEX(Inputs!$C:$C,MATCH("*Bank Loan PMT Start Month*",Inputs!$B:$B,0))),0,IF(P$3-INDEX(Inputs!$C:$C,MATCH("*Bank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Amount*",Inputs!$B:$B,0)))-P51*INDEX(Inputs!$C:$C,MATCH("*Bank Loan Interest Rate*",Inputs!$B:$B,0))/12,P51))),0)</f>
        <v>0</v>
      </c>
      <c r="Q54" s="152">
        <f t="array" ref="Q54">IF(Q$3&lt;=INDEX(Inputs!$C:$C,MATCH("End Year",Inputs!$B:$B,0))*12,IF(OR(Q51=0,Q$3&lt;INDEX(Inputs!$C:$C,MATCH("*Bank Loan PMT Start Month*",Inputs!$B:$B,0))),0,IF(Q$3-INDEX(Inputs!$C:$C,MATCH("*Bank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Amount*",Inputs!$B:$B,0)))-Q51*INDEX(Inputs!$C:$C,MATCH("*Bank Loan Interest Rate*",Inputs!$B:$B,0))/12,Q51))),0)</f>
        <v>0</v>
      </c>
      <c r="R54" s="152">
        <f t="array" ref="R54">IF(R$3&lt;=INDEX(Inputs!$C:$C,MATCH("End Year",Inputs!$B:$B,0))*12,IF(OR(R51=0,R$3&lt;INDEX(Inputs!$C:$C,MATCH("*Bank Loan PMT Start Month*",Inputs!$B:$B,0))),0,IF(R$3-INDEX(Inputs!$C:$C,MATCH("*Bank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Amount*",Inputs!$B:$B,0)))-R51*INDEX(Inputs!$C:$C,MATCH("*Bank Loan Interest Rate*",Inputs!$B:$B,0))/12,R51))),0)</f>
        <v>0</v>
      </c>
      <c r="S54" s="152">
        <f t="array" ref="S54">IF(S$3&lt;=INDEX(Inputs!$C:$C,MATCH("End Year",Inputs!$B:$B,0))*12,IF(OR(S51=0,S$3&lt;INDEX(Inputs!$C:$C,MATCH("*Bank Loan PMT Start Month*",Inputs!$B:$B,0))),0,IF(S$3-INDEX(Inputs!$C:$C,MATCH("*Bank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Amount*",Inputs!$B:$B,0)))-S51*INDEX(Inputs!$C:$C,MATCH("*Bank Loan Interest Rate*",Inputs!$B:$B,0))/12,S51))),0)</f>
        <v>0</v>
      </c>
      <c r="T54" s="152">
        <f t="array" ref="T54">IF(T$3&lt;=INDEX(Inputs!$C:$C,MATCH("End Year",Inputs!$B:$B,0))*12,IF(OR(T51=0,T$3&lt;INDEX(Inputs!$C:$C,MATCH("*Bank Loan PMT Start Month*",Inputs!$B:$B,0))),0,IF(T$3-INDEX(Inputs!$C:$C,MATCH("*Bank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Amount*",Inputs!$B:$B,0)))-T51*INDEX(Inputs!$C:$C,MATCH("*Bank Loan Interest Rate*",Inputs!$B:$B,0))/12,T51))),0)</f>
        <v>0</v>
      </c>
      <c r="U54" s="152">
        <f t="array" ref="U54">IF(U$3&lt;=INDEX(Inputs!$C:$C,MATCH("End Year",Inputs!$B:$B,0))*12,IF(OR(U51=0,U$3&lt;INDEX(Inputs!$C:$C,MATCH("*Bank Loan PMT Start Month*",Inputs!$B:$B,0))),0,IF(U$3-INDEX(Inputs!$C:$C,MATCH("*Bank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Amount*",Inputs!$B:$B,0)))-U51*INDEX(Inputs!$C:$C,MATCH("*Bank Loan Interest Rate*",Inputs!$B:$B,0))/12,U51))),0)</f>
        <v>0</v>
      </c>
      <c r="V54" s="152">
        <f t="array" ref="V54">IF(V$3&lt;=INDEX(Inputs!$C:$C,MATCH("End Year",Inputs!$B:$B,0))*12,IF(OR(V51=0,V$3&lt;INDEX(Inputs!$C:$C,MATCH("*Bank Loan PMT Start Month*",Inputs!$B:$B,0))),0,IF(V$3-INDEX(Inputs!$C:$C,MATCH("*Bank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Amount*",Inputs!$B:$B,0)))-V51*INDEX(Inputs!$C:$C,MATCH("*Bank Loan Interest Rate*",Inputs!$B:$B,0))/12,V51))),0)</f>
        <v>0</v>
      </c>
      <c r="W54" s="152">
        <f t="array" ref="W54">IF(W$3&lt;=INDEX(Inputs!$C:$C,MATCH("End Year",Inputs!$B:$B,0))*12,IF(OR(W51=0,W$3&lt;INDEX(Inputs!$C:$C,MATCH("*Bank Loan PMT Start Month*",Inputs!$B:$B,0))),0,IF(W$3-INDEX(Inputs!$C:$C,MATCH("*Bank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Amount*",Inputs!$B:$B,0)))-W51*INDEX(Inputs!$C:$C,MATCH("*Bank Loan Interest Rate*",Inputs!$B:$B,0))/12,W51))),0)</f>
        <v>0</v>
      </c>
      <c r="X54" s="152">
        <f t="array" ref="X54">IF(X$3&lt;=INDEX(Inputs!$C:$C,MATCH("End Year",Inputs!$B:$B,0))*12,IF(OR(X51=0,X$3&lt;INDEX(Inputs!$C:$C,MATCH("*Bank Loan PMT Start Month*",Inputs!$B:$B,0))),0,IF(X$3-INDEX(Inputs!$C:$C,MATCH("*Bank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Amount*",Inputs!$B:$B,0)))-X51*INDEX(Inputs!$C:$C,MATCH("*Bank Loan Interest Rate*",Inputs!$B:$B,0))/12,X51))),0)</f>
        <v>0</v>
      </c>
      <c r="Y54" s="152">
        <f t="array" ref="Y54">IF(Y$3&lt;=INDEX(Inputs!$C:$C,MATCH("End Year",Inputs!$B:$B,0))*12,IF(OR(Y51=0,Y$3&lt;INDEX(Inputs!$C:$C,MATCH("*Bank Loan PMT Start Month*",Inputs!$B:$B,0))),0,IF(Y$3-INDEX(Inputs!$C:$C,MATCH("*Bank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Amount*",Inputs!$B:$B,0)))-Y51*INDEX(Inputs!$C:$C,MATCH("*Bank Loan Interest Rate*",Inputs!$B:$B,0))/12,Y51))),0)</f>
        <v>0</v>
      </c>
      <c r="Z54" s="152">
        <f t="array" ref="Z54">IF(Z$3&lt;=INDEX(Inputs!$C:$C,MATCH("End Year",Inputs!$B:$B,0))*12,IF(OR(Z51=0,Z$3&lt;INDEX(Inputs!$C:$C,MATCH("*Bank Loan PMT Start Month*",Inputs!$B:$B,0))),0,IF(Z$3-INDEX(Inputs!$C:$C,MATCH("*Bank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Amount*",Inputs!$B:$B,0)))-Z51*INDEX(Inputs!$C:$C,MATCH("*Bank Loan Interest Rate*",Inputs!$B:$B,0))/12,Z51))),0)</f>
        <v>0</v>
      </c>
      <c r="AA54" s="152">
        <f t="array" ref="AA54">IF(AA$3&lt;=INDEX(Inputs!$C:$C,MATCH("End Year",Inputs!$B:$B,0))*12,IF(OR(AA51=0,AA$3&lt;INDEX(Inputs!$C:$C,MATCH("*Bank Loan PMT Start Month*",Inputs!$B:$B,0))),0,IF(AA$3-INDEX(Inputs!$C:$C,MATCH("*Bank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Amount*",Inputs!$B:$B,0)))-AA51*INDEX(Inputs!$C:$C,MATCH("*Bank Loan Interest Rate*",Inputs!$B:$B,0))/12,AA51))),0)</f>
        <v>0</v>
      </c>
      <c r="AB54" s="152">
        <f t="array" ref="AB54">IF(AB$3&lt;=INDEX(Inputs!$C:$C,MATCH("End Year",Inputs!$B:$B,0))*12,IF(OR(AB51=0,AB$3&lt;INDEX(Inputs!$C:$C,MATCH("*Bank Loan PMT Start Month*",Inputs!$B:$B,0))),0,IF(AB$3-INDEX(Inputs!$C:$C,MATCH("*Bank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Amount*",Inputs!$B:$B,0)))-AB51*INDEX(Inputs!$C:$C,MATCH("*Bank Loan Interest Rate*",Inputs!$B:$B,0))/12,AB51))),0)</f>
        <v>0</v>
      </c>
      <c r="AC54" s="152">
        <f t="array" ref="AC54">IF(AC$3&lt;=INDEX(Inputs!$C:$C,MATCH("End Year",Inputs!$B:$B,0))*12,IF(OR(AC51=0,AC$3&lt;INDEX(Inputs!$C:$C,MATCH("*Bank Loan PMT Start Month*",Inputs!$B:$B,0))),0,IF(AC$3-INDEX(Inputs!$C:$C,MATCH("*Bank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Amount*",Inputs!$B:$B,0)))-AC51*INDEX(Inputs!$C:$C,MATCH("*Bank Loan Interest Rate*",Inputs!$B:$B,0))/12,AC51))),0)</f>
        <v>0</v>
      </c>
      <c r="AD54" s="152">
        <f t="array" ref="AD54">IF(AD$3&lt;=INDEX(Inputs!$C:$C,MATCH("End Year",Inputs!$B:$B,0))*12,IF(OR(AD51=0,AD$3&lt;INDEX(Inputs!$C:$C,MATCH("*Bank Loan PMT Start Month*",Inputs!$B:$B,0))),0,IF(AD$3-INDEX(Inputs!$C:$C,MATCH("*Bank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Amount*",Inputs!$B:$B,0)))-AD51*INDEX(Inputs!$C:$C,MATCH("*Bank Loan Interest Rate*",Inputs!$B:$B,0))/12,AD51))),0)</f>
        <v>0</v>
      </c>
      <c r="AE54" s="152">
        <f t="array" ref="AE54">IF(AE$3&lt;=INDEX(Inputs!$C:$C,MATCH("End Year",Inputs!$B:$B,0))*12,IF(OR(AE51=0,AE$3&lt;INDEX(Inputs!$C:$C,MATCH("*Bank Loan PMT Start Month*",Inputs!$B:$B,0))),0,IF(AE$3-INDEX(Inputs!$C:$C,MATCH("*Bank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Amount*",Inputs!$B:$B,0)))-AE51*INDEX(Inputs!$C:$C,MATCH("*Bank Loan Interest Rate*",Inputs!$B:$B,0))/12,AE51))),0)</f>
        <v>0</v>
      </c>
      <c r="AF54" s="152">
        <f t="array" ref="AF54">IF(AF$3&lt;=INDEX(Inputs!$C:$C,MATCH("End Year",Inputs!$B:$B,0))*12,IF(OR(AF51=0,AF$3&lt;INDEX(Inputs!$C:$C,MATCH("*Bank Loan PMT Start Month*",Inputs!$B:$B,0))),0,IF(AF$3-INDEX(Inputs!$C:$C,MATCH("*Bank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Amount*",Inputs!$B:$B,0)))-AF51*INDEX(Inputs!$C:$C,MATCH("*Bank Loan Interest Rate*",Inputs!$B:$B,0))/12,AF51))),0)</f>
        <v>0</v>
      </c>
      <c r="AG54" s="152">
        <f t="array" ref="AG54">IF(AG$3&lt;=INDEX(Inputs!$C:$C,MATCH("End Year",Inputs!$B:$B,0))*12,IF(OR(AG51=0,AG$3&lt;INDEX(Inputs!$C:$C,MATCH("*Bank Loan PMT Start Month*",Inputs!$B:$B,0))),0,IF(AG$3-INDEX(Inputs!$C:$C,MATCH("*Bank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Amount*",Inputs!$B:$B,0)))-AG51*INDEX(Inputs!$C:$C,MATCH("*Bank Loan Interest Rate*",Inputs!$B:$B,0))/12,AG51))),0)</f>
        <v>0</v>
      </c>
      <c r="AH54" s="152">
        <f t="array" ref="AH54">IF(AH$3&lt;=INDEX(Inputs!$C:$C,MATCH("End Year",Inputs!$B:$B,0))*12,IF(OR(AH51=0,AH$3&lt;INDEX(Inputs!$C:$C,MATCH("*Bank Loan PMT Start Month*",Inputs!$B:$B,0))),0,IF(AH$3-INDEX(Inputs!$C:$C,MATCH("*Bank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Amount*",Inputs!$B:$B,0)))-AH51*INDEX(Inputs!$C:$C,MATCH("*Bank Loan Interest Rate*",Inputs!$B:$B,0))/12,AH51))),0)</f>
        <v>0</v>
      </c>
      <c r="AI54" s="152">
        <f t="array" ref="AI54">IF(AI$3&lt;=INDEX(Inputs!$C:$C,MATCH("End Year",Inputs!$B:$B,0))*12,IF(OR(AI51=0,AI$3&lt;INDEX(Inputs!$C:$C,MATCH("*Bank Loan PMT Start Month*",Inputs!$B:$B,0))),0,IF(AI$3-INDEX(Inputs!$C:$C,MATCH("*Bank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Amount*",Inputs!$B:$B,0)))-AI51*INDEX(Inputs!$C:$C,MATCH("*Bank Loan Interest Rate*",Inputs!$B:$B,0))/12,AI51))),0)</f>
        <v>0</v>
      </c>
      <c r="AJ54" s="152">
        <f t="array" ref="AJ54">IF(AJ$3&lt;=INDEX(Inputs!$C:$C,MATCH("End Year",Inputs!$B:$B,0))*12,IF(OR(AJ51=0,AJ$3&lt;INDEX(Inputs!$C:$C,MATCH("*Bank Loan PMT Start Month*",Inputs!$B:$B,0))),0,IF(AJ$3-INDEX(Inputs!$C:$C,MATCH("*Bank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Amount*",Inputs!$B:$B,0)))-AJ51*INDEX(Inputs!$C:$C,MATCH("*Bank Loan Interest Rate*",Inputs!$B:$B,0))/12,AJ51))),0)</f>
        <v>0</v>
      </c>
      <c r="AK54" s="152">
        <f t="array" ref="AK54">IF(AK$3&lt;=INDEX(Inputs!$C:$C,MATCH("End Year",Inputs!$B:$B,0))*12,IF(OR(AK51=0,AK$3&lt;INDEX(Inputs!$C:$C,MATCH("*Bank Loan PMT Start Month*",Inputs!$B:$B,0))),0,IF(AK$3-INDEX(Inputs!$C:$C,MATCH("*Bank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Amount*",Inputs!$B:$B,0)))-AK51*INDEX(Inputs!$C:$C,MATCH("*Bank Loan Interest Rate*",Inputs!$B:$B,0))/12,AK51))),0)</f>
        <v>0</v>
      </c>
      <c r="AL54" s="152">
        <f t="array" ref="AL54">IF(AL$3&lt;=INDEX(Inputs!$C:$C,MATCH("End Year",Inputs!$B:$B,0))*12,IF(OR(AL51=0,AL$3&lt;INDEX(Inputs!$C:$C,MATCH("*Bank Loan PMT Start Month*",Inputs!$B:$B,0))),0,IF(AL$3-INDEX(Inputs!$C:$C,MATCH("*Bank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Amount*",Inputs!$B:$B,0)))-AL51*INDEX(Inputs!$C:$C,MATCH("*Bank Loan Interest Rate*",Inputs!$B:$B,0))/12,AL51))),0)</f>
        <v>0</v>
      </c>
      <c r="AM54" s="152">
        <f t="array" ref="AM54">IF(AM$3&lt;=INDEX(Inputs!$C:$C,MATCH("End Year",Inputs!$B:$B,0))*12,IF(OR(AM51=0,AM$3&lt;INDEX(Inputs!$C:$C,MATCH("*Bank Loan PMT Start Month*",Inputs!$B:$B,0))),0,IF(AM$3-INDEX(Inputs!$C:$C,MATCH("*Bank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Amount*",Inputs!$B:$B,0)))-AM51*INDEX(Inputs!$C:$C,MATCH("*Bank Loan Interest Rate*",Inputs!$B:$B,0))/12,AM51))),0)</f>
        <v>0</v>
      </c>
      <c r="AN54" s="152">
        <f t="array" ref="AN54">IF(AN$3&lt;=INDEX(Inputs!$C:$C,MATCH("End Year",Inputs!$B:$B,0))*12,IF(OR(AN51=0,AN$3&lt;INDEX(Inputs!$C:$C,MATCH("*Bank Loan PMT Start Month*",Inputs!$B:$B,0))),0,IF(AN$3-INDEX(Inputs!$C:$C,MATCH("*Bank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Amount*",Inputs!$B:$B,0)))-AN51*INDEX(Inputs!$C:$C,MATCH("*Bank Loan Interest Rate*",Inputs!$B:$B,0))/12,AN51))),0)</f>
        <v>0</v>
      </c>
      <c r="AO54" s="152">
        <f t="array" ref="AO54">IF(AO$3&lt;=INDEX(Inputs!$C:$C,MATCH("End Year",Inputs!$B:$B,0))*12,IF(OR(AO51=0,AO$3&lt;INDEX(Inputs!$C:$C,MATCH("*Bank Loan PMT Start Month*",Inputs!$B:$B,0))),0,IF(AO$3-INDEX(Inputs!$C:$C,MATCH("*Bank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Amount*",Inputs!$B:$B,0)))-AO51*INDEX(Inputs!$C:$C,MATCH("*Bank Loan Interest Rate*",Inputs!$B:$B,0))/12,AO51))),0)</f>
        <v>0</v>
      </c>
      <c r="AP54" s="152">
        <f t="array" ref="AP54">IF(AP$3&lt;=INDEX(Inputs!$C:$C,MATCH("End Year",Inputs!$B:$B,0))*12,IF(OR(AP51=0,AP$3&lt;INDEX(Inputs!$C:$C,MATCH("*Bank Loan PMT Start Month*",Inputs!$B:$B,0))),0,IF(AP$3-INDEX(Inputs!$C:$C,MATCH("*Bank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Amount*",Inputs!$B:$B,0)))-AP51*INDEX(Inputs!$C:$C,MATCH("*Bank Loan Interest Rate*",Inputs!$B:$B,0))/12,AP51))),0)</f>
        <v>0</v>
      </c>
      <c r="AQ54" s="152">
        <f t="array" ref="AQ54">IF(AQ$3&lt;=INDEX(Inputs!$C:$C,MATCH("End Year",Inputs!$B:$B,0))*12,IF(OR(AQ51=0,AQ$3&lt;INDEX(Inputs!$C:$C,MATCH("*Bank Loan PMT Start Month*",Inputs!$B:$B,0))),0,IF(AQ$3-INDEX(Inputs!$C:$C,MATCH("*Bank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Amount*",Inputs!$B:$B,0)))-AQ51*INDEX(Inputs!$C:$C,MATCH("*Bank Loan Interest Rate*",Inputs!$B:$B,0))/12,AQ51))),0)</f>
        <v>0</v>
      </c>
      <c r="AR54" s="152">
        <f t="array" ref="AR54">IF(AR$3&lt;=INDEX(Inputs!$C:$C,MATCH("End Year",Inputs!$B:$B,0))*12,IF(OR(AR51=0,AR$3&lt;INDEX(Inputs!$C:$C,MATCH("*Bank Loan PMT Start Month*",Inputs!$B:$B,0))),0,IF(AR$3-INDEX(Inputs!$C:$C,MATCH("*Bank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Amount*",Inputs!$B:$B,0)))-AR51*INDEX(Inputs!$C:$C,MATCH("*Bank Loan Interest Rate*",Inputs!$B:$B,0))/12,AR51))),0)</f>
        <v>0</v>
      </c>
      <c r="AS54" s="152">
        <f t="array" ref="AS54">IF(AS$3&lt;=INDEX(Inputs!$C:$C,MATCH("End Year",Inputs!$B:$B,0))*12,IF(OR(AS51=0,AS$3&lt;INDEX(Inputs!$C:$C,MATCH("*Bank Loan PMT Start Month*",Inputs!$B:$B,0))),0,IF(AS$3-INDEX(Inputs!$C:$C,MATCH("*Bank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Amount*",Inputs!$B:$B,0)))-AS51*INDEX(Inputs!$C:$C,MATCH("*Bank Loan Interest Rate*",Inputs!$B:$B,0))/12,AS51))),0)</f>
        <v>0</v>
      </c>
      <c r="AT54" s="152">
        <f t="array" ref="AT54">IF(AT$3&lt;=INDEX(Inputs!$C:$C,MATCH("End Year",Inputs!$B:$B,0))*12,IF(OR(AT51=0,AT$3&lt;INDEX(Inputs!$C:$C,MATCH("*Bank Loan PMT Start Month*",Inputs!$B:$B,0))),0,IF(AT$3-INDEX(Inputs!$C:$C,MATCH("*Bank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Amount*",Inputs!$B:$B,0)))-AT51*INDEX(Inputs!$C:$C,MATCH("*Bank Loan Interest Rate*",Inputs!$B:$B,0))/12,AT51))),0)</f>
        <v>0</v>
      </c>
      <c r="AU54" s="152">
        <f t="array" ref="AU54">IF(AU$3&lt;=INDEX(Inputs!$C:$C,MATCH("End Year",Inputs!$B:$B,0))*12,IF(OR(AU51=0,AU$3&lt;INDEX(Inputs!$C:$C,MATCH("*Bank Loan PMT Start Month*",Inputs!$B:$B,0))),0,IF(AU$3-INDEX(Inputs!$C:$C,MATCH("*Bank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Amount*",Inputs!$B:$B,0)))-AU51*INDEX(Inputs!$C:$C,MATCH("*Bank Loan Interest Rate*",Inputs!$B:$B,0))/12,AU51))),0)</f>
        <v>0</v>
      </c>
      <c r="AV54" s="152">
        <f t="array" ref="AV54">IF(AV$3&lt;=INDEX(Inputs!$C:$C,MATCH("End Year",Inputs!$B:$B,0))*12,IF(OR(AV51=0,AV$3&lt;INDEX(Inputs!$C:$C,MATCH("*Bank Loan PMT Start Month*",Inputs!$B:$B,0))),0,IF(AV$3-INDEX(Inputs!$C:$C,MATCH("*Bank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Amount*",Inputs!$B:$B,0)))-AV51*INDEX(Inputs!$C:$C,MATCH("*Bank Loan Interest Rate*",Inputs!$B:$B,0))/12,AV51))),0)</f>
        <v>0</v>
      </c>
      <c r="AW54" s="152">
        <f t="array" ref="AW54">IF(AW$3&lt;=INDEX(Inputs!$C:$C,MATCH("End Year",Inputs!$B:$B,0))*12,IF(OR(AW51=0,AW$3&lt;INDEX(Inputs!$C:$C,MATCH("*Bank Loan PMT Start Month*",Inputs!$B:$B,0))),0,IF(AW$3-INDEX(Inputs!$C:$C,MATCH("*Bank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Amount*",Inputs!$B:$B,0)))-AW51*INDEX(Inputs!$C:$C,MATCH("*Bank Loan Interest Rate*",Inputs!$B:$B,0))/12,AW51))),0)</f>
        <v>0</v>
      </c>
      <c r="AX54" s="152">
        <f t="array" ref="AX54">IF(AX$3&lt;=INDEX(Inputs!$C:$C,MATCH("End Year",Inputs!$B:$B,0))*12,IF(OR(AX51=0,AX$3&lt;INDEX(Inputs!$C:$C,MATCH("*Bank Loan PMT Start Month*",Inputs!$B:$B,0))),0,IF(AX$3-INDEX(Inputs!$C:$C,MATCH("*Bank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Amount*",Inputs!$B:$B,0)))-AX51*INDEX(Inputs!$C:$C,MATCH("*Bank Loan Interest Rate*",Inputs!$B:$B,0))/12,AX51))),0)</f>
        <v>0</v>
      </c>
      <c r="AY54" s="152">
        <f t="array" ref="AY54">IF(AY$3&lt;=INDEX(Inputs!$C:$C,MATCH("End Year",Inputs!$B:$B,0))*12,IF(OR(AY51=0,AY$3&lt;INDEX(Inputs!$C:$C,MATCH("*Bank Loan PMT Start Month*",Inputs!$B:$B,0))),0,IF(AY$3-INDEX(Inputs!$C:$C,MATCH("*Bank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Amount*",Inputs!$B:$B,0)))-AY51*INDEX(Inputs!$C:$C,MATCH("*Bank Loan Interest Rate*",Inputs!$B:$B,0))/12,AY51))),0)</f>
        <v>0</v>
      </c>
      <c r="AZ54" s="152">
        <f t="array" ref="AZ54">IF(AZ$3&lt;=INDEX(Inputs!$C:$C,MATCH("End Year",Inputs!$B:$B,0))*12,IF(OR(AZ51=0,AZ$3&lt;INDEX(Inputs!$C:$C,MATCH("*Bank Loan PMT Start Month*",Inputs!$B:$B,0))),0,IF(AZ$3-INDEX(Inputs!$C:$C,MATCH("*Bank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Amount*",Inputs!$B:$B,0)))-AZ51*INDEX(Inputs!$C:$C,MATCH("*Bank Loan Interest Rate*",Inputs!$B:$B,0))/12,AZ51))),0)</f>
        <v>0</v>
      </c>
      <c r="BA54" s="152">
        <f t="array" ref="BA54">IF(BA$3&lt;=INDEX(Inputs!$C:$C,MATCH("End Year",Inputs!$B:$B,0))*12,IF(OR(BA51=0,BA$3&lt;INDEX(Inputs!$C:$C,MATCH("*Bank Loan PMT Start Month*",Inputs!$B:$B,0))),0,IF(BA$3-INDEX(Inputs!$C:$C,MATCH("*Bank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Amount*",Inputs!$B:$B,0)))-BA51*INDEX(Inputs!$C:$C,MATCH("*Bank Loan Interest Rate*",Inputs!$B:$B,0))/12,BA51))),0)</f>
        <v>0</v>
      </c>
      <c r="BB54" s="152">
        <f t="array" ref="BB54">IF(BB$3&lt;=INDEX(Inputs!$C:$C,MATCH("End Year",Inputs!$B:$B,0))*12,IF(OR(BB51=0,BB$3&lt;INDEX(Inputs!$C:$C,MATCH("*Bank Loan PMT Start Month*",Inputs!$B:$B,0))),0,IF(BB$3-INDEX(Inputs!$C:$C,MATCH("*Bank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Amount*",Inputs!$B:$B,0)))-BB51*INDEX(Inputs!$C:$C,MATCH("*Bank Loan Interest Rate*",Inputs!$B:$B,0))/12,BB51))),0)</f>
        <v>0</v>
      </c>
      <c r="BC54" s="152">
        <f t="array" ref="BC54">IF(BC$3&lt;=INDEX(Inputs!$C:$C,MATCH("End Year",Inputs!$B:$B,0))*12,IF(OR(BC51=0,BC$3&lt;INDEX(Inputs!$C:$C,MATCH("*Bank Loan PMT Start Month*",Inputs!$B:$B,0))),0,IF(BC$3-INDEX(Inputs!$C:$C,MATCH("*Bank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Amount*",Inputs!$B:$B,0)))-BC51*INDEX(Inputs!$C:$C,MATCH("*Bank Loan Interest Rate*",Inputs!$B:$B,0))/12,BC51))),0)</f>
        <v>0</v>
      </c>
      <c r="BD54" s="152">
        <f t="array" ref="BD54">IF(BD$3&lt;=INDEX(Inputs!$C:$C,MATCH("End Year",Inputs!$B:$B,0))*12,IF(OR(BD51=0,BD$3&lt;INDEX(Inputs!$C:$C,MATCH("*Bank Loan PMT Start Month*",Inputs!$B:$B,0))),0,IF(BD$3-INDEX(Inputs!$C:$C,MATCH("*Bank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Amount*",Inputs!$B:$B,0)))-BD51*INDEX(Inputs!$C:$C,MATCH("*Bank Loan Interest Rate*",Inputs!$B:$B,0))/12,BD51))),0)</f>
        <v>0</v>
      </c>
      <c r="BE54" s="152">
        <f t="array" ref="BE54">IF(BE$3&lt;=INDEX(Inputs!$C:$C,MATCH("End Year",Inputs!$B:$B,0))*12,IF(OR(BE51=0,BE$3&lt;INDEX(Inputs!$C:$C,MATCH("*Bank Loan PMT Start Month*",Inputs!$B:$B,0))),0,IF(BE$3-INDEX(Inputs!$C:$C,MATCH("*Bank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Amount*",Inputs!$B:$B,0)))-BE51*INDEX(Inputs!$C:$C,MATCH("*Bank Loan Interest Rate*",Inputs!$B:$B,0))/12,BE51))),0)</f>
        <v>0</v>
      </c>
      <c r="BF54" s="152">
        <f t="array" ref="BF54">IF(BF$3&lt;=INDEX(Inputs!$C:$C,MATCH("End Year",Inputs!$B:$B,0))*12,IF(OR(BF51=0,BF$3&lt;INDEX(Inputs!$C:$C,MATCH("*Bank Loan PMT Start Month*",Inputs!$B:$B,0))),0,IF(BF$3-INDEX(Inputs!$C:$C,MATCH("*Bank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Amount*",Inputs!$B:$B,0)))-BF51*INDEX(Inputs!$C:$C,MATCH("*Bank Loan Interest Rate*",Inputs!$B:$B,0))/12,BF51))),0)</f>
        <v>0</v>
      </c>
      <c r="BG54" s="152">
        <f t="array" ref="BG54">IF(BG$3&lt;=INDEX(Inputs!$C:$C,MATCH("End Year",Inputs!$B:$B,0))*12,IF(OR(BG51=0,BG$3&lt;INDEX(Inputs!$C:$C,MATCH("*Bank Loan PMT Start Month*",Inputs!$B:$B,0))),0,IF(BG$3-INDEX(Inputs!$C:$C,MATCH("*Bank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Amount*",Inputs!$B:$B,0)))-BG51*INDEX(Inputs!$C:$C,MATCH("*Bank Loan Interest Rate*",Inputs!$B:$B,0))/12,BG51))),0)</f>
        <v>0</v>
      </c>
      <c r="BH54" s="152">
        <f t="array" ref="BH54">IF(BH$3&lt;=INDEX(Inputs!$C:$C,MATCH("End Year",Inputs!$B:$B,0))*12,IF(OR(BH51=0,BH$3&lt;INDEX(Inputs!$C:$C,MATCH("*Bank Loan PMT Start Month*",Inputs!$B:$B,0))),0,IF(BH$3-INDEX(Inputs!$C:$C,MATCH("*Bank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Amount*",Inputs!$B:$B,0)))-BH51*INDEX(Inputs!$C:$C,MATCH("*Bank Loan Interest Rate*",Inputs!$B:$B,0))/12,BH51))),0)</f>
        <v>0</v>
      </c>
      <c r="BI54" s="152">
        <f t="array" ref="BI54">IF(BI$3&lt;=INDEX(Inputs!$C:$C,MATCH("End Year",Inputs!$B:$B,0))*12,IF(OR(BI51=0,BI$3&lt;INDEX(Inputs!$C:$C,MATCH("*Bank Loan PMT Start Month*",Inputs!$B:$B,0))),0,IF(BI$3-INDEX(Inputs!$C:$C,MATCH("*Bank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Amount*",Inputs!$B:$B,0)))-BI51*INDEX(Inputs!$C:$C,MATCH("*Bank Loan Interest Rate*",Inputs!$B:$B,0))/12,BI51))),0)</f>
        <v>0</v>
      </c>
      <c r="BJ54" s="152">
        <f t="array" ref="BJ54">IF(BJ$3&lt;=INDEX(Inputs!$C:$C,MATCH("End Year",Inputs!$B:$B,0))*12,IF(OR(BJ51=0,BJ$3&lt;INDEX(Inputs!$C:$C,MATCH("*Bank Loan PMT Start Month*",Inputs!$B:$B,0))),0,IF(BJ$3-INDEX(Inputs!$C:$C,MATCH("*Bank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Amount*",Inputs!$B:$B,0)))-BJ51*INDEX(Inputs!$C:$C,MATCH("*Bank Loan Interest Rate*",Inputs!$B:$B,0))/12,BJ51))),0)</f>
        <v>0</v>
      </c>
      <c r="BK54" s="152">
        <f t="array" ref="BK54">IF(BK$3&lt;=INDEX(Inputs!$C:$C,MATCH("End Year",Inputs!$B:$B,0))*12,IF(OR(BK51=0,BK$3&lt;INDEX(Inputs!$C:$C,MATCH("*Bank Loan PMT Start Month*",Inputs!$B:$B,0))),0,IF(BK$3-INDEX(Inputs!$C:$C,MATCH("*Bank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Amount*",Inputs!$B:$B,0)))-BK51*INDEX(Inputs!$C:$C,MATCH("*Bank Loan Interest Rate*",Inputs!$B:$B,0))/12,BK51))),0)</f>
        <v>0</v>
      </c>
      <c r="BL54" s="152">
        <f t="array" ref="BL54">IF(BL$3&lt;=INDEX(Inputs!$C:$C,MATCH("End Year",Inputs!$B:$B,0))*12,IF(OR(BL51=0,BL$3&lt;INDEX(Inputs!$C:$C,MATCH("*Bank Loan PMT Start Month*",Inputs!$B:$B,0))),0,IF(BL$3-INDEX(Inputs!$C:$C,MATCH("*Bank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Amount*",Inputs!$B:$B,0)))-BL51*INDEX(Inputs!$C:$C,MATCH("*Bank Loan Interest Rate*",Inputs!$B:$B,0))/12,BL51))),0)</f>
        <v>0</v>
      </c>
      <c r="BM54" s="152">
        <f t="array" ref="BM54">IF(BM$3&lt;=INDEX(Inputs!$C:$C,MATCH("End Year",Inputs!$B:$B,0))*12,IF(OR(BM51=0,BM$3&lt;INDEX(Inputs!$C:$C,MATCH("*Bank Loan PMT Start Month*",Inputs!$B:$B,0))),0,IF(BM$3-INDEX(Inputs!$C:$C,MATCH("*Bank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Amount*",Inputs!$B:$B,0)))-BM51*INDEX(Inputs!$C:$C,MATCH("*Bank Loan Interest Rate*",Inputs!$B:$B,0))/12,BM51))),0)</f>
        <v>0</v>
      </c>
      <c r="BN54" s="152">
        <f t="array" ref="BN54">IF(BN$3&lt;=INDEX(Inputs!$C:$C,MATCH("End Year",Inputs!$B:$B,0))*12,IF(OR(BN51=0,BN$3&lt;INDEX(Inputs!$C:$C,MATCH("*Bank Loan PMT Start Month*",Inputs!$B:$B,0))),0,IF(BN$3-INDEX(Inputs!$C:$C,MATCH("*Bank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Amount*",Inputs!$B:$B,0)))-BN51*INDEX(Inputs!$C:$C,MATCH("*Bank Loan Interest Rate*",Inputs!$B:$B,0))/12,BN51))),0)</f>
        <v>0</v>
      </c>
      <c r="BO54" s="152">
        <f t="array" ref="BO54">IF(BO$3&lt;=INDEX(Inputs!$C:$C,MATCH("End Year",Inputs!$B:$B,0))*12,IF(OR(BO51=0,BO$3&lt;INDEX(Inputs!$C:$C,MATCH("*Bank Loan PMT Start Month*",Inputs!$B:$B,0))),0,IF(BO$3-INDEX(Inputs!$C:$C,MATCH("*Bank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Amount*",Inputs!$B:$B,0)))-BO51*INDEX(Inputs!$C:$C,MATCH("*Bank Loan Interest Rate*",Inputs!$B:$B,0))/12,BO51))),0)</f>
        <v>0</v>
      </c>
      <c r="BP54" s="152">
        <f t="array" ref="BP54">IF(BP$3&lt;=INDEX(Inputs!$C:$C,MATCH("End Year",Inputs!$B:$B,0))*12,IF(OR(BP51=0,BP$3&lt;INDEX(Inputs!$C:$C,MATCH("*Bank Loan PMT Start Month*",Inputs!$B:$B,0))),0,IF(BP$3-INDEX(Inputs!$C:$C,MATCH("*Bank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Amount*",Inputs!$B:$B,0)))-BP51*INDEX(Inputs!$C:$C,MATCH("*Bank Loan Interest Rate*",Inputs!$B:$B,0))/12,BP51))),0)</f>
        <v>0</v>
      </c>
      <c r="BQ54" s="152">
        <f t="array" ref="BQ54">IF(BQ$3&lt;=INDEX(Inputs!$C:$C,MATCH("End Year",Inputs!$B:$B,0))*12,IF(OR(BQ51=0,BQ$3&lt;INDEX(Inputs!$C:$C,MATCH("*Bank Loan PMT Start Month*",Inputs!$B:$B,0))),0,IF(BQ$3-INDEX(Inputs!$C:$C,MATCH("*Bank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Amount*",Inputs!$B:$B,0)))-BQ51*INDEX(Inputs!$C:$C,MATCH("*Bank Loan Interest Rate*",Inputs!$B:$B,0))/12,BQ51))),0)</f>
        <v>0</v>
      </c>
      <c r="BR54" s="152">
        <f t="array" ref="BR54">IF(BR$3&lt;=INDEX(Inputs!$C:$C,MATCH("End Year",Inputs!$B:$B,0))*12,IF(OR(BR51=0,BR$3&lt;INDEX(Inputs!$C:$C,MATCH("*Bank Loan PMT Start Month*",Inputs!$B:$B,0))),0,IF(BR$3-INDEX(Inputs!$C:$C,MATCH("*Bank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Amount*",Inputs!$B:$B,0)))-BR51*INDEX(Inputs!$C:$C,MATCH("*Bank Loan Interest Rate*",Inputs!$B:$B,0))/12,BR51))),0)</f>
        <v>0</v>
      </c>
      <c r="BS54" s="152">
        <f t="array" ref="BS54">IF(BS$3&lt;=INDEX(Inputs!$C:$C,MATCH("End Year",Inputs!$B:$B,0))*12,IF(OR(BS51=0,BS$3&lt;INDEX(Inputs!$C:$C,MATCH("*Bank Loan PMT Start Month*",Inputs!$B:$B,0))),0,IF(BS$3-INDEX(Inputs!$C:$C,MATCH("*Bank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Amount*",Inputs!$B:$B,0)))-BS51*INDEX(Inputs!$C:$C,MATCH("*Bank Loan Interest Rate*",Inputs!$B:$B,0))/12,BS51))),0)</f>
        <v>0</v>
      </c>
      <c r="BT54" s="152">
        <f t="array" ref="BT54">IF(BT$3&lt;=INDEX(Inputs!$C:$C,MATCH("End Year",Inputs!$B:$B,0))*12,IF(OR(BT51=0,BT$3&lt;INDEX(Inputs!$C:$C,MATCH("*Bank Loan PMT Start Month*",Inputs!$B:$B,0))),0,IF(BT$3-INDEX(Inputs!$C:$C,MATCH("*Bank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Amount*",Inputs!$B:$B,0)))-BT51*INDEX(Inputs!$C:$C,MATCH("*Bank Loan Interest Rate*",Inputs!$B:$B,0))/12,BT51))),0)</f>
        <v>0</v>
      </c>
      <c r="BU54" s="152">
        <f t="array" ref="BU54">IF(BU$3&lt;=INDEX(Inputs!$C:$C,MATCH("End Year",Inputs!$B:$B,0))*12,IF(OR(BU51=0,BU$3&lt;INDEX(Inputs!$C:$C,MATCH("*Bank Loan PMT Start Month*",Inputs!$B:$B,0))),0,IF(BU$3-INDEX(Inputs!$C:$C,MATCH("*Bank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Amount*",Inputs!$B:$B,0)))-BU51*INDEX(Inputs!$C:$C,MATCH("*Bank Loan Interest Rate*",Inputs!$B:$B,0))/12,BU51))),0)</f>
        <v>0</v>
      </c>
      <c r="BV54" s="152">
        <f t="array" ref="BV54">IF(BV$3&lt;=INDEX(Inputs!$C:$C,MATCH("End Year",Inputs!$B:$B,0))*12,IF(OR(BV51=0,BV$3&lt;INDEX(Inputs!$C:$C,MATCH("*Bank Loan PMT Start Month*",Inputs!$B:$B,0))),0,IF(BV$3-INDEX(Inputs!$C:$C,MATCH("*Bank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Amount*",Inputs!$B:$B,0)))-BV51*INDEX(Inputs!$C:$C,MATCH("*Bank Loan Interest Rate*",Inputs!$B:$B,0))/12,BV51))),0)</f>
        <v>0</v>
      </c>
      <c r="BW54" s="152">
        <f t="array" ref="BW54">IF(BW$3&lt;=INDEX(Inputs!$C:$C,MATCH("End Year",Inputs!$B:$B,0))*12,IF(OR(BW51=0,BW$3&lt;INDEX(Inputs!$C:$C,MATCH("*Bank Loan PMT Start Month*",Inputs!$B:$B,0))),0,IF(BW$3-INDEX(Inputs!$C:$C,MATCH("*Bank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Amount*",Inputs!$B:$B,0)))-BW51*INDEX(Inputs!$C:$C,MATCH("*Bank Loan Interest Rate*",Inputs!$B:$B,0))/12,BW51))),0)</f>
        <v>0</v>
      </c>
      <c r="BX54" s="152">
        <f t="array" ref="BX54">IF(BX$3&lt;=INDEX(Inputs!$C:$C,MATCH("End Year",Inputs!$B:$B,0))*12,IF(OR(BX51=0,BX$3&lt;INDEX(Inputs!$C:$C,MATCH("*Bank Loan PMT Start Month*",Inputs!$B:$B,0))),0,IF(BX$3-INDEX(Inputs!$C:$C,MATCH("*Bank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Amount*",Inputs!$B:$B,0)))-BX51*INDEX(Inputs!$C:$C,MATCH("*Bank Loan Interest Rate*",Inputs!$B:$B,0))/12,BX51))),0)</f>
        <v>0</v>
      </c>
      <c r="BY54" s="152">
        <f t="array" ref="BY54">IF(BY$3&lt;=INDEX(Inputs!$C:$C,MATCH("End Year",Inputs!$B:$B,0))*12,IF(OR(BY51=0,BY$3&lt;INDEX(Inputs!$C:$C,MATCH("*Bank Loan PMT Start Month*",Inputs!$B:$B,0))),0,IF(BY$3-INDEX(Inputs!$C:$C,MATCH("*Bank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Amount*",Inputs!$B:$B,0)))-BY51*INDEX(Inputs!$C:$C,MATCH("*Bank Loan Interest Rate*",Inputs!$B:$B,0))/12,BY51))),0)</f>
        <v>0</v>
      </c>
      <c r="BZ54" s="152">
        <f t="array" ref="BZ54">IF(BZ$3&lt;=INDEX(Inputs!$C:$C,MATCH("End Year",Inputs!$B:$B,0))*12,IF(OR(BZ51=0,BZ$3&lt;INDEX(Inputs!$C:$C,MATCH("*Bank Loan PMT Start Month*",Inputs!$B:$B,0))),0,IF(BZ$3-INDEX(Inputs!$C:$C,MATCH("*Bank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Amount*",Inputs!$B:$B,0)))-BZ51*INDEX(Inputs!$C:$C,MATCH("*Bank Loan Interest Rate*",Inputs!$B:$B,0))/12,BZ51))),0)</f>
        <v>0</v>
      </c>
      <c r="CA54" s="152">
        <f t="array" ref="CA54">IF(CA$3&lt;=INDEX(Inputs!$C:$C,MATCH("End Year",Inputs!$B:$B,0))*12,IF(OR(CA51=0,CA$3&lt;INDEX(Inputs!$C:$C,MATCH("*Bank Loan PMT Start Month*",Inputs!$B:$B,0))),0,IF(CA$3-INDEX(Inputs!$C:$C,MATCH("*Bank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Amount*",Inputs!$B:$B,0)))-CA51*INDEX(Inputs!$C:$C,MATCH("*Bank Loan Interest Rate*",Inputs!$B:$B,0))/12,CA51))),0)</f>
        <v>0</v>
      </c>
      <c r="CB54" s="152">
        <f t="array" ref="CB54">IF(CB$3&lt;=INDEX(Inputs!$C:$C,MATCH("End Year",Inputs!$B:$B,0))*12,IF(OR(CB51=0,CB$3&lt;INDEX(Inputs!$C:$C,MATCH("*Bank Loan PMT Start Month*",Inputs!$B:$B,0))),0,IF(CB$3-INDEX(Inputs!$C:$C,MATCH("*Bank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Amount*",Inputs!$B:$B,0)))-CB51*INDEX(Inputs!$C:$C,MATCH("*Bank Loan Interest Rate*",Inputs!$B:$B,0))/12,CB51))),0)</f>
        <v>0</v>
      </c>
      <c r="CC54" s="152">
        <f t="array" ref="CC54">IF(CC$3&lt;=INDEX(Inputs!$C:$C,MATCH("End Year",Inputs!$B:$B,0))*12,IF(OR(CC51=0,CC$3&lt;INDEX(Inputs!$C:$C,MATCH("*Bank Loan PMT Start Month*",Inputs!$B:$B,0))),0,IF(CC$3-INDEX(Inputs!$C:$C,MATCH("*Bank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Amount*",Inputs!$B:$B,0)))-CC51*INDEX(Inputs!$C:$C,MATCH("*Bank Loan Interest Rate*",Inputs!$B:$B,0))/12,CC51))),0)</f>
        <v>0</v>
      </c>
      <c r="CD54" s="152">
        <f t="array" ref="CD54">IF(CD$3&lt;=INDEX(Inputs!$C:$C,MATCH("End Year",Inputs!$B:$B,0))*12,IF(OR(CD51=0,CD$3&lt;INDEX(Inputs!$C:$C,MATCH("*Bank Loan PMT Start Month*",Inputs!$B:$B,0))),0,IF(CD$3-INDEX(Inputs!$C:$C,MATCH("*Bank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Amount*",Inputs!$B:$B,0)))-CD51*INDEX(Inputs!$C:$C,MATCH("*Bank Loan Interest Rate*",Inputs!$B:$B,0))/12,CD51))),0)</f>
        <v>0</v>
      </c>
      <c r="CE54" s="152">
        <f t="array" ref="CE54">IF(CE$3&lt;=INDEX(Inputs!$C:$C,MATCH("End Year",Inputs!$B:$B,0))*12,IF(OR(CE51=0,CE$3&lt;INDEX(Inputs!$C:$C,MATCH("*Bank Loan PMT Start Month*",Inputs!$B:$B,0))),0,IF(CE$3-INDEX(Inputs!$C:$C,MATCH("*Bank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Amount*",Inputs!$B:$B,0)))-CE51*INDEX(Inputs!$C:$C,MATCH("*Bank Loan Interest Rate*",Inputs!$B:$B,0))/12,CE51))),0)</f>
        <v>0</v>
      </c>
      <c r="CF54" s="152">
        <f t="array" ref="CF54">IF(CF$3&lt;=INDEX(Inputs!$C:$C,MATCH("End Year",Inputs!$B:$B,0))*12,IF(OR(CF51=0,CF$3&lt;INDEX(Inputs!$C:$C,MATCH("*Bank Loan PMT Start Month*",Inputs!$B:$B,0))),0,IF(CF$3-INDEX(Inputs!$C:$C,MATCH("*Bank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Amount*",Inputs!$B:$B,0)))-CF51*INDEX(Inputs!$C:$C,MATCH("*Bank Loan Interest Rate*",Inputs!$B:$B,0))/12,CF51))),0)</f>
        <v>0</v>
      </c>
      <c r="CG54" s="152">
        <f t="array" ref="CG54">IF(CG$3&lt;=INDEX(Inputs!$C:$C,MATCH("End Year",Inputs!$B:$B,0))*12,IF(OR(CG51=0,CG$3&lt;INDEX(Inputs!$C:$C,MATCH("*Bank Loan PMT Start Month*",Inputs!$B:$B,0))),0,IF(CG$3-INDEX(Inputs!$C:$C,MATCH("*Bank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Amount*",Inputs!$B:$B,0)))-CG51*INDEX(Inputs!$C:$C,MATCH("*Bank Loan Interest Rate*",Inputs!$B:$B,0))/12,CG51))),0)</f>
        <v>0</v>
      </c>
      <c r="CH54" s="152">
        <f t="array" ref="CH54">IF(CH$3&lt;=INDEX(Inputs!$C:$C,MATCH("End Year",Inputs!$B:$B,0))*12,IF(OR(CH51=0,CH$3&lt;INDEX(Inputs!$C:$C,MATCH("*Bank Loan PMT Start Month*",Inputs!$B:$B,0))),0,IF(CH$3-INDEX(Inputs!$C:$C,MATCH("*Bank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Amount*",Inputs!$B:$B,0)))-CH51*INDEX(Inputs!$C:$C,MATCH("*Bank Loan Interest Rate*",Inputs!$B:$B,0))/12,CH51))),0)</f>
        <v>0</v>
      </c>
      <c r="CI54" s="152">
        <f t="array" ref="CI54">IF(CI$3&lt;=INDEX(Inputs!$C:$C,MATCH("End Year",Inputs!$B:$B,0))*12,IF(OR(CI51=0,CI$3&lt;INDEX(Inputs!$C:$C,MATCH("*Bank Loan PMT Start Month*",Inputs!$B:$B,0))),0,IF(CI$3-INDEX(Inputs!$C:$C,MATCH("*Bank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Amount*",Inputs!$B:$B,0)))-CI51*INDEX(Inputs!$C:$C,MATCH("*Bank Loan Interest Rate*",Inputs!$B:$B,0))/12,CI51))),0)</f>
        <v>0</v>
      </c>
      <c r="CJ54" s="152">
        <f t="array" ref="CJ54">IF(CJ$3&lt;=INDEX(Inputs!$C:$C,MATCH("End Year",Inputs!$B:$B,0))*12,IF(OR(CJ51=0,CJ$3&lt;INDEX(Inputs!$C:$C,MATCH("*Bank Loan PMT Start Month*",Inputs!$B:$B,0))),0,IF(CJ$3-INDEX(Inputs!$C:$C,MATCH("*Bank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Amount*",Inputs!$B:$B,0)))-CJ51*INDEX(Inputs!$C:$C,MATCH("*Bank Loan Interest Rate*",Inputs!$B:$B,0))/12,CJ51))),0)</f>
        <v>0</v>
      </c>
      <c r="CK54" s="152">
        <f t="array" ref="CK54">IF(CK$3&lt;=INDEX(Inputs!$C:$C,MATCH("End Year",Inputs!$B:$B,0))*12,IF(OR(CK51=0,CK$3&lt;INDEX(Inputs!$C:$C,MATCH("*Bank Loan PMT Start Month*",Inputs!$B:$B,0))),0,IF(CK$3-INDEX(Inputs!$C:$C,MATCH("*Bank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Amount*",Inputs!$B:$B,0)))-CK51*INDEX(Inputs!$C:$C,MATCH("*Bank Loan Interest Rate*",Inputs!$B:$B,0))/12,CK51))),0)</f>
        <v>0</v>
      </c>
      <c r="CL54" s="152">
        <f t="array" ref="CL54">IF(CL$3&lt;=INDEX(Inputs!$C:$C,MATCH("End Year",Inputs!$B:$B,0))*12,IF(OR(CL51=0,CL$3&lt;INDEX(Inputs!$C:$C,MATCH("*Bank Loan PMT Start Month*",Inputs!$B:$B,0))),0,IF(CL$3-INDEX(Inputs!$C:$C,MATCH("*Bank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Amount*",Inputs!$B:$B,0)))-CL51*INDEX(Inputs!$C:$C,MATCH("*Bank Loan Interest Rate*",Inputs!$B:$B,0))/12,CL51))),0)</f>
        <v>0</v>
      </c>
      <c r="CM54" s="152">
        <f t="array" ref="CM54">IF(CM$3&lt;=INDEX(Inputs!$C:$C,MATCH("End Year",Inputs!$B:$B,0))*12,IF(OR(CM51=0,CM$3&lt;INDEX(Inputs!$C:$C,MATCH("*Bank Loan PMT Start Month*",Inputs!$B:$B,0))),0,IF(CM$3-INDEX(Inputs!$C:$C,MATCH("*Bank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Amount*",Inputs!$B:$B,0)))-CM51*INDEX(Inputs!$C:$C,MATCH("*Bank Loan Interest Rate*",Inputs!$B:$B,0))/12,CM51))),0)</f>
        <v>0</v>
      </c>
      <c r="CN54" s="152">
        <f t="array" ref="CN54">IF(CN$3&lt;=INDEX(Inputs!$C:$C,MATCH("End Year",Inputs!$B:$B,0))*12,IF(OR(CN51=0,CN$3&lt;INDEX(Inputs!$C:$C,MATCH("*Bank Loan PMT Start Month*",Inputs!$B:$B,0))),0,IF(CN$3-INDEX(Inputs!$C:$C,MATCH("*Bank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Amount*",Inputs!$B:$B,0)))-CN51*INDEX(Inputs!$C:$C,MATCH("*Bank Loan Interest Rate*",Inputs!$B:$B,0))/12,CN51))),0)</f>
        <v>0</v>
      </c>
      <c r="CO54" s="152">
        <f t="array" ref="CO54">IF(CO$3&lt;=INDEX(Inputs!$C:$C,MATCH("End Year",Inputs!$B:$B,0))*12,IF(OR(CO51=0,CO$3&lt;INDEX(Inputs!$C:$C,MATCH("*Bank Loan PMT Start Month*",Inputs!$B:$B,0))),0,IF(CO$3-INDEX(Inputs!$C:$C,MATCH("*Bank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Amount*",Inputs!$B:$B,0)))-CO51*INDEX(Inputs!$C:$C,MATCH("*Bank Loan Interest Rate*",Inputs!$B:$B,0))/12,CO51))),0)</f>
        <v>0</v>
      </c>
      <c r="CP54" s="152">
        <f t="array" ref="CP54">IF(CP$3&lt;=INDEX(Inputs!$C:$C,MATCH("End Year",Inputs!$B:$B,0))*12,IF(OR(CP51=0,CP$3&lt;INDEX(Inputs!$C:$C,MATCH("*Bank Loan PMT Start Month*",Inputs!$B:$B,0))),0,IF(CP$3-INDEX(Inputs!$C:$C,MATCH("*Bank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Amount*",Inputs!$B:$B,0)))-CP51*INDEX(Inputs!$C:$C,MATCH("*Bank Loan Interest Rate*",Inputs!$B:$B,0))/12,CP51))),0)</f>
        <v>0</v>
      </c>
      <c r="CQ54" s="152">
        <f t="array" ref="CQ54">IF(CQ$3&lt;=INDEX(Inputs!$C:$C,MATCH("End Year",Inputs!$B:$B,0))*12,IF(OR(CQ51=0,CQ$3&lt;INDEX(Inputs!$C:$C,MATCH("*Bank Loan PMT Start Month*",Inputs!$B:$B,0))),0,IF(CQ$3-INDEX(Inputs!$C:$C,MATCH("*Bank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Amount*",Inputs!$B:$B,0)))-CQ51*INDEX(Inputs!$C:$C,MATCH("*Bank Loan Interest Rate*",Inputs!$B:$B,0))/12,CQ51))),0)</f>
        <v>0</v>
      </c>
      <c r="CR54" s="152">
        <f t="array" ref="CR54">IF(CR$3&lt;=INDEX(Inputs!$C:$C,MATCH("End Year",Inputs!$B:$B,0))*12,IF(OR(CR51=0,CR$3&lt;INDEX(Inputs!$C:$C,MATCH("*Bank Loan PMT Start Month*",Inputs!$B:$B,0))),0,IF(CR$3-INDEX(Inputs!$C:$C,MATCH("*Bank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Amount*",Inputs!$B:$B,0)))-CR51*INDEX(Inputs!$C:$C,MATCH("*Bank Loan Interest Rate*",Inputs!$B:$B,0))/12,CR51))),0)</f>
        <v>0</v>
      </c>
      <c r="CS54" s="152">
        <f t="array" ref="CS54">IF(CS$3&lt;=INDEX(Inputs!$C:$C,MATCH("End Year",Inputs!$B:$B,0))*12,IF(OR(CS51=0,CS$3&lt;INDEX(Inputs!$C:$C,MATCH("*Bank Loan PMT Start Month*",Inputs!$B:$B,0))),0,IF(CS$3-INDEX(Inputs!$C:$C,MATCH("*Bank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Amount*",Inputs!$B:$B,0)))-CS51*INDEX(Inputs!$C:$C,MATCH("*Bank Loan Interest Rate*",Inputs!$B:$B,0))/12,CS51))),0)</f>
        <v>0</v>
      </c>
      <c r="CT54" s="152">
        <f t="array" ref="CT54">IF(CT$3&lt;=INDEX(Inputs!$C:$C,MATCH("End Year",Inputs!$B:$B,0))*12,IF(OR(CT51=0,CT$3&lt;INDEX(Inputs!$C:$C,MATCH("*Bank Loan PMT Start Month*",Inputs!$B:$B,0))),0,IF(CT$3-INDEX(Inputs!$C:$C,MATCH("*Bank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Amount*",Inputs!$B:$B,0)))-CT51*INDEX(Inputs!$C:$C,MATCH("*Bank Loan Interest Rate*",Inputs!$B:$B,0))/12,CT51))),0)</f>
        <v>0</v>
      </c>
      <c r="CU54" s="152">
        <f t="array" ref="CU54">IF(CU$3&lt;=INDEX(Inputs!$C:$C,MATCH("End Year",Inputs!$B:$B,0))*12,IF(OR(CU51=0,CU$3&lt;INDEX(Inputs!$C:$C,MATCH("*Bank Loan PMT Start Month*",Inputs!$B:$B,0))),0,IF(CU$3-INDEX(Inputs!$C:$C,MATCH("*Bank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Amount*",Inputs!$B:$B,0)))-CU51*INDEX(Inputs!$C:$C,MATCH("*Bank Loan Interest Rate*",Inputs!$B:$B,0))/12,CU51))),0)</f>
        <v>0</v>
      </c>
      <c r="CV54" s="152">
        <f t="array" ref="CV54">IF(CV$3&lt;=INDEX(Inputs!$C:$C,MATCH("End Year",Inputs!$B:$B,0))*12,IF(OR(CV51=0,CV$3&lt;INDEX(Inputs!$C:$C,MATCH("*Bank Loan PMT Start Month*",Inputs!$B:$B,0))),0,IF(CV$3-INDEX(Inputs!$C:$C,MATCH("*Bank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Amount*",Inputs!$B:$B,0)))-CV51*INDEX(Inputs!$C:$C,MATCH("*Bank Loan Interest Rate*",Inputs!$B:$B,0))/12,CV51))),0)</f>
        <v>0</v>
      </c>
      <c r="CW54" s="152">
        <f t="array" ref="CW54">IF(CW$3&lt;=INDEX(Inputs!$C:$C,MATCH("End Year",Inputs!$B:$B,0))*12,IF(OR(CW51=0,CW$3&lt;INDEX(Inputs!$C:$C,MATCH("*Bank Loan PMT Start Month*",Inputs!$B:$B,0))),0,IF(CW$3-INDEX(Inputs!$C:$C,MATCH("*Bank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Amount*",Inputs!$B:$B,0)))-CW51*INDEX(Inputs!$C:$C,MATCH("*Bank Loan Interest Rate*",Inputs!$B:$B,0))/12,CW51))),0)</f>
        <v>0</v>
      </c>
      <c r="CX54" s="152">
        <f t="array" ref="CX54">IF(CX$3&lt;=INDEX(Inputs!$C:$C,MATCH("End Year",Inputs!$B:$B,0))*12,IF(OR(CX51=0,CX$3&lt;INDEX(Inputs!$C:$C,MATCH("*Bank Loan PMT Start Month*",Inputs!$B:$B,0))),0,IF(CX$3-INDEX(Inputs!$C:$C,MATCH("*Bank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Amount*",Inputs!$B:$B,0)))-CX51*INDEX(Inputs!$C:$C,MATCH("*Bank Loan Interest Rate*",Inputs!$B:$B,0))/12,CX51))),0)</f>
        <v>0</v>
      </c>
      <c r="CY54" s="152">
        <f t="array" ref="CY54">IF(CY$3&lt;=INDEX(Inputs!$C:$C,MATCH("End Year",Inputs!$B:$B,0))*12,IF(OR(CY51=0,CY$3&lt;INDEX(Inputs!$C:$C,MATCH("*Bank Loan PMT Start Month*",Inputs!$B:$B,0))),0,IF(CY$3-INDEX(Inputs!$C:$C,MATCH("*Bank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Amount*",Inputs!$B:$B,0)))-CY51*INDEX(Inputs!$C:$C,MATCH("*Bank Loan Interest Rate*",Inputs!$B:$B,0))/12,CY51))),0)</f>
        <v>0</v>
      </c>
      <c r="CZ54" s="152">
        <f t="array" ref="CZ54">IF(CZ$3&lt;=INDEX(Inputs!$C:$C,MATCH("End Year",Inputs!$B:$B,0))*12,IF(OR(CZ51=0,CZ$3&lt;INDEX(Inputs!$C:$C,MATCH("*Bank Loan PMT Start Month*",Inputs!$B:$B,0))),0,IF(CZ$3-INDEX(Inputs!$C:$C,MATCH("*Bank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Amount*",Inputs!$B:$B,0)))-CZ51*INDEX(Inputs!$C:$C,MATCH("*Bank Loan Interest Rate*",Inputs!$B:$B,0))/12,CZ51))),0)</f>
        <v>0</v>
      </c>
      <c r="DA54" s="152">
        <f t="array" ref="DA54">IF(DA$3&lt;=INDEX(Inputs!$C:$C,MATCH("End Year",Inputs!$B:$B,0))*12,IF(OR(DA51=0,DA$3&lt;INDEX(Inputs!$C:$C,MATCH("*Bank Loan PMT Start Month*",Inputs!$B:$B,0))),0,IF(DA$3-INDEX(Inputs!$C:$C,MATCH("*Bank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Amount*",Inputs!$B:$B,0)))-DA51*INDEX(Inputs!$C:$C,MATCH("*Bank Loan Interest Rate*",Inputs!$B:$B,0))/12,DA51))),0)</f>
        <v>0</v>
      </c>
      <c r="DB54" s="152">
        <f t="array" ref="DB54">IF(DB$3&lt;=INDEX(Inputs!$C:$C,MATCH("End Year",Inputs!$B:$B,0))*12,IF(OR(DB51=0,DB$3&lt;INDEX(Inputs!$C:$C,MATCH("*Bank Loan PMT Start Month*",Inputs!$B:$B,0))),0,IF(DB$3-INDEX(Inputs!$C:$C,MATCH("*Bank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Amount*",Inputs!$B:$B,0)))-DB51*INDEX(Inputs!$C:$C,MATCH("*Bank Loan Interest Rate*",Inputs!$B:$B,0))/12,DB51))),0)</f>
        <v>0</v>
      </c>
      <c r="DC54" s="152">
        <f t="array" ref="DC54">IF(DC$3&lt;=INDEX(Inputs!$C:$C,MATCH("End Year",Inputs!$B:$B,0))*12,IF(OR(DC51=0,DC$3&lt;INDEX(Inputs!$C:$C,MATCH("*Bank Loan PMT Start Month*",Inputs!$B:$B,0))),0,IF(DC$3-INDEX(Inputs!$C:$C,MATCH("*Bank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Amount*",Inputs!$B:$B,0)))-DC51*INDEX(Inputs!$C:$C,MATCH("*Bank Loan Interest Rate*",Inputs!$B:$B,0))/12,DC51))),0)</f>
        <v>0</v>
      </c>
      <c r="DD54" s="152">
        <f t="array" ref="DD54">IF(DD$3&lt;=INDEX(Inputs!$C:$C,MATCH("End Year",Inputs!$B:$B,0))*12,IF(OR(DD51=0,DD$3&lt;INDEX(Inputs!$C:$C,MATCH("*Bank Loan PMT Start Month*",Inputs!$B:$B,0))),0,IF(DD$3-INDEX(Inputs!$C:$C,MATCH("*Bank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Amount*",Inputs!$B:$B,0)))-DD51*INDEX(Inputs!$C:$C,MATCH("*Bank Loan Interest Rate*",Inputs!$B:$B,0))/12,DD51))),0)</f>
        <v>0</v>
      </c>
      <c r="DE54" s="152">
        <f t="array" ref="DE54">IF(DE$3&lt;=INDEX(Inputs!$C:$C,MATCH("End Year",Inputs!$B:$B,0))*12,IF(OR(DE51=0,DE$3&lt;INDEX(Inputs!$C:$C,MATCH("*Bank Loan PMT Start Month*",Inputs!$B:$B,0))),0,IF(DE$3-INDEX(Inputs!$C:$C,MATCH("*Bank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Amount*",Inputs!$B:$B,0)))-DE51*INDEX(Inputs!$C:$C,MATCH("*Bank Loan Interest Rate*",Inputs!$B:$B,0))/12,DE51))),0)</f>
        <v>0</v>
      </c>
      <c r="DF54" s="152">
        <f t="array" ref="DF54">IF(DF$3&lt;=INDEX(Inputs!$C:$C,MATCH("End Year",Inputs!$B:$B,0))*12,IF(OR(DF51=0,DF$3&lt;INDEX(Inputs!$C:$C,MATCH("*Bank Loan PMT Start Month*",Inputs!$B:$B,0))),0,IF(DF$3-INDEX(Inputs!$C:$C,MATCH("*Bank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Amount*",Inputs!$B:$B,0)))-DF51*INDEX(Inputs!$C:$C,MATCH("*Bank Loan Interest Rate*",Inputs!$B:$B,0))/12,DF51))),0)</f>
        <v>0</v>
      </c>
      <c r="DG54" s="152">
        <f t="array" ref="DG54">IF(DG$3&lt;=INDEX(Inputs!$C:$C,MATCH("End Year",Inputs!$B:$B,0))*12,IF(OR(DG51=0,DG$3&lt;INDEX(Inputs!$C:$C,MATCH("*Bank Loan PMT Start Month*",Inputs!$B:$B,0))),0,IF(DG$3-INDEX(Inputs!$C:$C,MATCH("*Bank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Amount*",Inputs!$B:$B,0)))-DG51*INDEX(Inputs!$C:$C,MATCH("*Bank Loan Interest Rate*",Inputs!$B:$B,0))/12,DG51))),0)</f>
        <v>0</v>
      </c>
      <c r="DH54" s="152">
        <f t="array" ref="DH54">IF(DH$3&lt;=INDEX(Inputs!$C:$C,MATCH("End Year",Inputs!$B:$B,0))*12,IF(OR(DH51=0,DH$3&lt;INDEX(Inputs!$C:$C,MATCH("*Bank Loan PMT Start Month*",Inputs!$B:$B,0))),0,IF(DH$3-INDEX(Inputs!$C:$C,MATCH("*Bank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Amount*",Inputs!$B:$B,0)))-DH51*INDEX(Inputs!$C:$C,MATCH("*Bank Loan Interest Rate*",Inputs!$B:$B,0))/12,DH51))),0)</f>
        <v>0</v>
      </c>
      <c r="DI54" s="152">
        <f t="array" ref="DI54">IF(DI$3&lt;=INDEX(Inputs!$C:$C,MATCH("End Year",Inputs!$B:$B,0))*12,IF(OR(DI51=0,DI$3&lt;INDEX(Inputs!$C:$C,MATCH("*Bank Loan PMT Start Month*",Inputs!$B:$B,0))),0,IF(DI$3-INDEX(Inputs!$C:$C,MATCH("*Bank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Amount*",Inputs!$B:$B,0)))-DI51*INDEX(Inputs!$C:$C,MATCH("*Bank Loan Interest Rate*",Inputs!$B:$B,0))/12,DI51))),0)</f>
        <v>0</v>
      </c>
      <c r="DJ54" s="152">
        <f t="array" ref="DJ54">IF(DJ$3&lt;=INDEX(Inputs!$C:$C,MATCH("End Year",Inputs!$B:$B,0))*12,IF(OR(DJ51=0,DJ$3&lt;INDEX(Inputs!$C:$C,MATCH("*Bank Loan PMT Start Month*",Inputs!$B:$B,0))),0,IF(DJ$3-INDEX(Inputs!$C:$C,MATCH("*Bank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Amount*",Inputs!$B:$B,0)))-DJ51*INDEX(Inputs!$C:$C,MATCH("*Bank Loan Interest Rate*",Inputs!$B:$B,0))/12,DJ51))),0)</f>
        <v>0</v>
      </c>
      <c r="DK54" s="152">
        <f t="array" ref="DK54">IF(DK$3&lt;=INDEX(Inputs!$C:$C,MATCH("End Year",Inputs!$B:$B,0))*12,IF(OR(DK51=0,DK$3&lt;INDEX(Inputs!$C:$C,MATCH("*Bank Loan PMT Start Month*",Inputs!$B:$B,0))),0,IF(DK$3-INDEX(Inputs!$C:$C,MATCH("*Bank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Amount*",Inputs!$B:$B,0)))-DK51*INDEX(Inputs!$C:$C,MATCH("*Bank Loan Interest Rate*",Inputs!$B:$B,0))/12,DK51))),0)</f>
        <v>0</v>
      </c>
      <c r="DL54" s="152">
        <f t="array" ref="DL54">IF(DL$3&lt;=INDEX(Inputs!$C:$C,MATCH("End Year",Inputs!$B:$B,0))*12,IF(OR(DL51=0,DL$3&lt;INDEX(Inputs!$C:$C,MATCH("*Bank Loan PMT Start Month*",Inputs!$B:$B,0))),0,IF(DL$3-INDEX(Inputs!$C:$C,MATCH("*Bank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Amount*",Inputs!$B:$B,0)))-DL51*INDEX(Inputs!$C:$C,MATCH("*Bank Loan Interest Rate*",Inputs!$B:$B,0))/12,DL51))),0)</f>
        <v>0</v>
      </c>
      <c r="DM54" s="152">
        <f t="array" ref="DM54">IF(DM$3&lt;=INDEX(Inputs!$C:$C,MATCH("End Year",Inputs!$B:$B,0))*12,IF(OR(DM51=0,DM$3&lt;INDEX(Inputs!$C:$C,MATCH("*Bank Loan PMT Start Month*",Inputs!$B:$B,0))),0,IF(DM$3-INDEX(Inputs!$C:$C,MATCH("*Bank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Amount*",Inputs!$B:$B,0)))-DM51*INDEX(Inputs!$C:$C,MATCH("*Bank Loan Interest Rate*",Inputs!$B:$B,0))/12,DM51))),0)</f>
        <v>0</v>
      </c>
      <c r="DN54" s="152">
        <f t="array" ref="DN54">IF(DN$3&lt;=INDEX(Inputs!$C:$C,MATCH("End Year",Inputs!$B:$B,0))*12,IF(OR(DN51=0,DN$3&lt;INDEX(Inputs!$C:$C,MATCH("*Bank Loan PMT Start Month*",Inputs!$B:$B,0))),0,IF(DN$3-INDEX(Inputs!$C:$C,MATCH("*Bank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Amount*",Inputs!$B:$B,0)))-DN51*INDEX(Inputs!$C:$C,MATCH("*Bank Loan Interest Rate*",Inputs!$B:$B,0))/12,DN51))),0)</f>
        <v>0</v>
      </c>
      <c r="DO54" s="152">
        <f t="array" ref="DO54">IF(DO$3&lt;=INDEX(Inputs!$C:$C,MATCH("End Year",Inputs!$B:$B,0))*12,IF(OR(DO51=0,DO$3&lt;INDEX(Inputs!$C:$C,MATCH("*Bank Loan PMT Start Month*",Inputs!$B:$B,0))),0,IF(DO$3-INDEX(Inputs!$C:$C,MATCH("*Bank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Amount*",Inputs!$B:$B,0)))-DO51*INDEX(Inputs!$C:$C,MATCH("*Bank Loan Interest Rate*",Inputs!$B:$B,0))/12,DO51))),0)</f>
        <v>0</v>
      </c>
      <c r="DP54" s="152">
        <f t="array" ref="DP54">IF(DP$3&lt;=INDEX(Inputs!$C:$C,MATCH("End Year",Inputs!$B:$B,0))*12,IF(OR(DP51=0,DP$3&lt;INDEX(Inputs!$C:$C,MATCH("*Bank Loan PMT Start Month*",Inputs!$B:$B,0))),0,IF(DP$3-INDEX(Inputs!$C:$C,MATCH("*Bank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Amount*",Inputs!$B:$B,0)))-DP51*INDEX(Inputs!$C:$C,MATCH("*Bank Loan Interest Rate*",Inputs!$B:$B,0))/12,DP51))),0)</f>
        <v>0</v>
      </c>
      <c r="DQ54" s="152">
        <f t="array" ref="DQ54">IF(DQ$3&lt;=INDEX(Inputs!$C:$C,MATCH("End Year",Inputs!$B:$B,0))*12,IF(OR(DQ51=0,DQ$3&lt;INDEX(Inputs!$C:$C,MATCH("*Bank Loan PMT Start Month*",Inputs!$B:$B,0))),0,IF(DQ$3-INDEX(Inputs!$C:$C,MATCH("*Bank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Amount*",Inputs!$B:$B,0)))-DQ51*INDEX(Inputs!$C:$C,MATCH("*Bank Loan Interest Rate*",Inputs!$B:$B,0))/12,DQ51))),0)</f>
        <v>0</v>
      </c>
      <c r="DR54" s="152">
        <f t="array" ref="DR54">IF(DR$3&lt;=INDEX(Inputs!$C:$C,MATCH("End Year",Inputs!$B:$B,0))*12,IF(OR(DR51=0,DR$3&lt;INDEX(Inputs!$C:$C,MATCH("*Bank Loan PMT Start Month*",Inputs!$B:$B,0))),0,IF(DR$3-INDEX(Inputs!$C:$C,MATCH("*Bank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Amount*",Inputs!$B:$B,0)))-DR51*INDEX(Inputs!$C:$C,MATCH("*Bank Loan Interest Rate*",Inputs!$B:$B,0))/12,DR51))),0)</f>
        <v>0</v>
      </c>
      <c r="DS54" s="44">
        <f t="array" ref="DS54">IF(DS$3&lt;=INDEX(Inputs!$C:$C,MATCH("End Year",Inputs!$B:$B,0))*12,IF(OR(DS51=0,DS$3&lt;INDEX(Inputs!$C:$C,MATCH("*Bank Loan PMT Start Month*",Inputs!$B:$B,0))),0,IF(DS$3-INDEX(Inputs!$C:$C,MATCH("*Bank Loan PMT Start Month*",Inputs!$B:$B,0))+1&lt;=INDEX(Inputs!$C:$C,MATCH("*Bank Loan IO Period*",Inputs!$B:$B,0)),0,MIN(PMT(INDEX(Inputs!$C:$C,MATCH("*Bank Loan Interest Rate*",Inputs!$B:$B,0))/12,INDEX(Inputs!$C:$C,MATCH("*Bank Loan Amortization*",Inputs!$B:$B,0))*12,-INDEX(Inputs!$C:$C,MATCH("*Bank Loan Amount*",Inputs!$B:$B,0)))-DS51*INDEX(Inputs!$C:$C,MATCH("*Bank Loan Interest Rate*",Inputs!$B:$B,0))/12,DS51))),0)</f>
        <v>0</v>
      </c>
    </row>
    <row r="55" ht="15.0" customHeight="1">
      <c r="A55" s="44"/>
      <c r="B55" s="46" t="s">
        <v>347</v>
      </c>
      <c r="C55" s="152">
        <f t="array" ref="C55">IF(C$3&lt;=INDEX(Inputs!$C:$C,MATCH("End Year",Inputs!$B:$B,0))*12,IF(OR(C$3=INDEX(Inputs!$C:$C,MATCH("*Bank Loan Balloon*",Inputs!$B:$B,0))*12,C$3=INDEX(Inputs!$C:$C,MATCH("End Year",Inputs!$B:$B,0))*12),-MAX(C51+C52-C54,0),0),0)</f>
        <v>0</v>
      </c>
      <c r="D55" s="152">
        <f t="array" ref="D55">IF(D$3&lt;=INDEX(Inputs!$C:$C,MATCH("End Year",Inputs!$B:$B,0))*12,IF(OR(D$3=INDEX(Inputs!$C:$C,MATCH("*Bank Loan Balloon*",Inputs!$B:$B,0))*12,D$3=INDEX(Inputs!$C:$C,MATCH("End Year",Inputs!$B:$B,0))*12),-MAX(D51+D52-D54,0),0),0)</f>
        <v>0</v>
      </c>
      <c r="E55" s="152">
        <f t="array" ref="E55">IF(E$3&lt;=INDEX(Inputs!$C:$C,MATCH("End Year",Inputs!$B:$B,0))*12,IF(OR(E$3=INDEX(Inputs!$C:$C,MATCH("*Bank Loan Balloon*",Inputs!$B:$B,0))*12,E$3=INDEX(Inputs!$C:$C,MATCH("End Year",Inputs!$B:$B,0))*12),-MAX(E51+E52-E54,0),0),0)</f>
        <v>0</v>
      </c>
      <c r="F55" s="152">
        <f t="array" ref="F55">IF(F$3&lt;=INDEX(Inputs!$C:$C,MATCH("End Year",Inputs!$B:$B,0))*12,IF(OR(F$3=INDEX(Inputs!$C:$C,MATCH("*Bank Loan Balloon*",Inputs!$B:$B,0))*12,F$3=INDEX(Inputs!$C:$C,MATCH("End Year",Inputs!$B:$B,0))*12),-MAX(F51+F52-F54,0),0),0)</f>
        <v>0</v>
      </c>
      <c r="G55" s="152">
        <f t="array" ref="G55">IF(G$3&lt;=INDEX(Inputs!$C:$C,MATCH("End Year",Inputs!$B:$B,0))*12,IF(OR(G$3=INDEX(Inputs!$C:$C,MATCH("*Bank Loan Balloon*",Inputs!$B:$B,0))*12,G$3=INDEX(Inputs!$C:$C,MATCH("End Year",Inputs!$B:$B,0))*12),-MAX(G51+G52-G54,0),0),0)</f>
        <v>0</v>
      </c>
      <c r="H55" s="152">
        <f t="array" ref="H55">IF(H$3&lt;=INDEX(Inputs!$C:$C,MATCH("End Year",Inputs!$B:$B,0))*12,IF(OR(H$3=INDEX(Inputs!$C:$C,MATCH("*Bank Loan Balloon*",Inputs!$B:$B,0))*12,H$3=INDEX(Inputs!$C:$C,MATCH("End Year",Inputs!$B:$B,0))*12),-MAX(H51+H52-H54,0),0),0)</f>
        <v>0</v>
      </c>
      <c r="I55" s="152">
        <f t="array" ref="I55">IF(I$3&lt;=INDEX(Inputs!$C:$C,MATCH("End Year",Inputs!$B:$B,0))*12,IF(OR(I$3=INDEX(Inputs!$C:$C,MATCH("*Bank Loan Balloon*",Inputs!$B:$B,0))*12,I$3=INDEX(Inputs!$C:$C,MATCH("End Year",Inputs!$B:$B,0))*12),-MAX(I51+I52-I54,0),0),0)</f>
        <v>0</v>
      </c>
      <c r="J55" s="152">
        <f t="array" ref="J55">IF(J$3&lt;=INDEX(Inputs!$C:$C,MATCH("End Year",Inputs!$B:$B,0))*12,IF(OR(J$3=INDEX(Inputs!$C:$C,MATCH("*Bank Loan Balloon*",Inputs!$B:$B,0))*12,J$3=INDEX(Inputs!$C:$C,MATCH("End Year",Inputs!$B:$B,0))*12),-MAX(J51+J52-J54,0),0),0)</f>
        <v>0</v>
      </c>
      <c r="K55" s="152">
        <f t="array" ref="K55">IF(K$3&lt;=INDEX(Inputs!$C:$C,MATCH("End Year",Inputs!$B:$B,0))*12,IF(OR(K$3=INDEX(Inputs!$C:$C,MATCH("*Bank Loan Balloon*",Inputs!$B:$B,0))*12,K$3=INDEX(Inputs!$C:$C,MATCH("End Year",Inputs!$B:$B,0))*12),-MAX(K51+K52-K54,0),0),0)</f>
        <v>0</v>
      </c>
      <c r="L55" s="152">
        <f t="array" ref="L55">IF(L$3&lt;=INDEX(Inputs!$C:$C,MATCH("End Year",Inputs!$B:$B,0))*12,IF(OR(L$3=INDEX(Inputs!$C:$C,MATCH("*Bank Loan Balloon*",Inputs!$B:$B,0))*12,L$3=INDEX(Inputs!$C:$C,MATCH("End Year",Inputs!$B:$B,0))*12),-MAX(L51+L52-L54,0),0),0)</f>
        <v>0</v>
      </c>
      <c r="M55" s="152">
        <f t="array" ref="M55">IF(M$3&lt;=INDEX(Inputs!$C:$C,MATCH("End Year",Inputs!$B:$B,0))*12,IF(OR(M$3=INDEX(Inputs!$C:$C,MATCH("*Bank Loan Balloon*",Inputs!$B:$B,0))*12,M$3=INDEX(Inputs!$C:$C,MATCH("End Year",Inputs!$B:$B,0))*12),-MAX(M51+M52-M54,0),0),0)</f>
        <v>0</v>
      </c>
      <c r="N55" s="152">
        <f t="array" ref="N55">IF(N$3&lt;=INDEX(Inputs!$C:$C,MATCH("End Year",Inputs!$B:$B,0))*12,IF(OR(N$3=INDEX(Inputs!$C:$C,MATCH("*Bank Loan Balloon*",Inputs!$B:$B,0))*12,N$3=INDEX(Inputs!$C:$C,MATCH("End Year",Inputs!$B:$B,0))*12),-MAX(N51+N52-N54,0),0),0)</f>
        <v>0</v>
      </c>
      <c r="O55" s="152">
        <f t="array" ref="O55">IF(O$3&lt;=INDEX(Inputs!$C:$C,MATCH("End Year",Inputs!$B:$B,0))*12,IF(OR(O$3=INDEX(Inputs!$C:$C,MATCH("*Bank Loan Balloon*",Inputs!$B:$B,0))*12,O$3=INDEX(Inputs!$C:$C,MATCH("End Year",Inputs!$B:$B,0))*12),-MAX(O51+O52-O54,0),0),0)</f>
        <v>0</v>
      </c>
      <c r="P55" s="152">
        <f t="array" ref="P55">IF(P$3&lt;=INDEX(Inputs!$C:$C,MATCH("End Year",Inputs!$B:$B,0))*12,IF(OR(P$3=INDEX(Inputs!$C:$C,MATCH("*Bank Loan Balloon*",Inputs!$B:$B,0))*12,P$3=INDEX(Inputs!$C:$C,MATCH("End Year",Inputs!$B:$B,0))*12),-MAX(P51+P52-P54,0),0),0)</f>
        <v>0</v>
      </c>
      <c r="Q55" s="152">
        <f t="array" ref="Q55">IF(Q$3&lt;=INDEX(Inputs!$C:$C,MATCH("End Year",Inputs!$B:$B,0))*12,IF(OR(Q$3=INDEX(Inputs!$C:$C,MATCH("*Bank Loan Balloon*",Inputs!$B:$B,0))*12,Q$3=INDEX(Inputs!$C:$C,MATCH("End Year",Inputs!$B:$B,0))*12),-MAX(Q51+Q52-Q54,0),0),0)</f>
        <v>0</v>
      </c>
      <c r="R55" s="152">
        <f t="array" ref="R55">IF(R$3&lt;=INDEX(Inputs!$C:$C,MATCH("End Year",Inputs!$B:$B,0))*12,IF(OR(R$3=INDEX(Inputs!$C:$C,MATCH("*Bank Loan Balloon*",Inputs!$B:$B,0))*12,R$3=INDEX(Inputs!$C:$C,MATCH("End Year",Inputs!$B:$B,0))*12),-MAX(R51+R52-R54,0),0),0)</f>
        <v>0</v>
      </c>
      <c r="S55" s="152">
        <f t="array" ref="S55">IF(S$3&lt;=INDEX(Inputs!$C:$C,MATCH("End Year",Inputs!$B:$B,0))*12,IF(OR(S$3=INDEX(Inputs!$C:$C,MATCH("*Bank Loan Balloon*",Inputs!$B:$B,0))*12,S$3=INDEX(Inputs!$C:$C,MATCH("End Year",Inputs!$B:$B,0))*12),-MAX(S51+S52-S54,0),0),0)</f>
        <v>0</v>
      </c>
      <c r="T55" s="152">
        <f t="array" ref="T55">IF(T$3&lt;=INDEX(Inputs!$C:$C,MATCH("End Year",Inputs!$B:$B,0))*12,IF(OR(T$3=INDEX(Inputs!$C:$C,MATCH("*Bank Loan Balloon*",Inputs!$B:$B,0))*12,T$3=INDEX(Inputs!$C:$C,MATCH("End Year",Inputs!$B:$B,0))*12),-MAX(T51+T52-T54,0),0),0)</f>
        <v>0</v>
      </c>
      <c r="U55" s="152">
        <f t="array" ref="U55">IF(U$3&lt;=INDEX(Inputs!$C:$C,MATCH("End Year",Inputs!$B:$B,0))*12,IF(OR(U$3=INDEX(Inputs!$C:$C,MATCH("*Bank Loan Balloon*",Inputs!$B:$B,0))*12,U$3=INDEX(Inputs!$C:$C,MATCH("End Year",Inputs!$B:$B,0))*12),-MAX(U51+U52-U54,0),0),0)</f>
        <v>0</v>
      </c>
      <c r="V55" s="152">
        <f t="array" ref="V55">IF(V$3&lt;=INDEX(Inputs!$C:$C,MATCH("End Year",Inputs!$B:$B,0))*12,IF(OR(V$3=INDEX(Inputs!$C:$C,MATCH("*Bank Loan Balloon*",Inputs!$B:$B,0))*12,V$3=INDEX(Inputs!$C:$C,MATCH("End Year",Inputs!$B:$B,0))*12),-MAX(V51+V52-V54,0),0),0)</f>
        <v>0</v>
      </c>
      <c r="W55" s="152">
        <f t="array" ref="W55">IF(W$3&lt;=INDEX(Inputs!$C:$C,MATCH("End Year",Inputs!$B:$B,0))*12,IF(OR(W$3=INDEX(Inputs!$C:$C,MATCH("*Bank Loan Balloon*",Inputs!$B:$B,0))*12,W$3=INDEX(Inputs!$C:$C,MATCH("End Year",Inputs!$B:$B,0))*12),-MAX(W51+W52-W54,0),0),0)</f>
        <v>0</v>
      </c>
      <c r="X55" s="152">
        <f t="array" ref="X55">IF(X$3&lt;=INDEX(Inputs!$C:$C,MATCH("End Year",Inputs!$B:$B,0))*12,IF(OR(X$3=INDEX(Inputs!$C:$C,MATCH("*Bank Loan Balloon*",Inputs!$B:$B,0))*12,X$3=INDEX(Inputs!$C:$C,MATCH("End Year",Inputs!$B:$B,0))*12),-MAX(X51+X52-X54,0),0),0)</f>
        <v>0</v>
      </c>
      <c r="Y55" s="152">
        <f t="array" ref="Y55">IF(Y$3&lt;=INDEX(Inputs!$C:$C,MATCH("End Year",Inputs!$B:$B,0))*12,IF(OR(Y$3=INDEX(Inputs!$C:$C,MATCH("*Bank Loan Balloon*",Inputs!$B:$B,0))*12,Y$3=INDEX(Inputs!$C:$C,MATCH("End Year",Inputs!$B:$B,0))*12),-MAX(Y51+Y52-Y54,0),0),0)</f>
        <v>0</v>
      </c>
      <c r="Z55" s="152">
        <f t="array" ref="Z55">IF(Z$3&lt;=INDEX(Inputs!$C:$C,MATCH("End Year",Inputs!$B:$B,0))*12,IF(OR(Z$3=INDEX(Inputs!$C:$C,MATCH("*Bank Loan Balloon*",Inputs!$B:$B,0))*12,Z$3=INDEX(Inputs!$C:$C,MATCH("End Year",Inputs!$B:$B,0))*12),-MAX(Z51+Z52-Z54,0),0),0)</f>
        <v>0</v>
      </c>
      <c r="AA55" s="152">
        <f t="array" ref="AA55">IF(AA$3&lt;=INDEX(Inputs!$C:$C,MATCH("End Year",Inputs!$B:$B,0))*12,IF(OR(AA$3=INDEX(Inputs!$C:$C,MATCH("*Bank Loan Balloon*",Inputs!$B:$B,0))*12,AA$3=INDEX(Inputs!$C:$C,MATCH("End Year",Inputs!$B:$B,0))*12),-MAX(AA51+AA52-AA54,0),0),0)</f>
        <v>0</v>
      </c>
      <c r="AB55" s="152">
        <f t="array" ref="AB55">IF(AB$3&lt;=INDEX(Inputs!$C:$C,MATCH("End Year",Inputs!$B:$B,0))*12,IF(OR(AB$3=INDEX(Inputs!$C:$C,MATCH("*Bank Loan Balloon*",Inputs!$B:$B,0))*12,AB$3=INDEX(Inputs!$C:$C,MATCH("End Year",Inputs!$B:$B,0))*12),-MAX(AB51+AB52-AB54,0),0),0)</f>
        <v>0</v>
      </c>
      <c r="AC55" s="152">
        <f t="array" ref="AC55">IF(AC$3&lt;=INDEX(Inputs!$C:$C,MATCH("End Year",Inputs!$B:$B,0))*12,IF(OR(AC$3=INDEX(Inputs!$C:$C,MATCH("*Bank Loan Balloon*",Inputs!$B:$B,0))*12,AC$3=INDEX(Inputs!$C:$C,MATCH("End Year",Inputs!$B:$B,0))*12),-MAX(AC51+AC52-AC54,0),0),0)</f>
        <v>0</v>
      </c>
      <c r="AD55" s="152">
        <f t="array" ref="AD55">IF(AD$3&lt;=INDEX(Inputs!$C:$C,MATCH("End Year",Inputs!$B:$B,0))*12,IF(OR(AD$3=INDEX(Inputs!$C:$C,MATCH("*Bank Loan Balloon*",Inputs!$B:$B,0))*12,AD$3=INDEX(Inputs!$C:$C,MATCH("End Year",Inputs!$B:$B,0))*12),-MAX(AD51+AD52-AD54,0),0),0)</f>
        <v>0</v>
      </c>
      <c r="AE55" s="152">
        <f t="array" ref="AE55">IF(AE$3&lt;=INDEX(Inputs!$C:$C,MATCH("End Year",Inputs!$B:$B,0))*12,IF(OR(AE$3=INDEX(Inputs!$C:$C,MATCH("*Bank Loan Balloon*",Inputs!$B:$B,0))*12,AE$3=INDEX(Inputs!$C:$C,MATCH("End Year",Inputs!$B:$B,0))*12),-MAX(AE51+AE52-AE54,0),0),0)</f>
        <v>0</v>
      </c>
      <c r="AF55" s="152">
        <f t="array" ref="AF55">IF(AF$3&lt;=INDEX(Inputs!$C:$C,MATCH("End Year",Inputs!$B:$B,0))*12,IF(OR(AF$3=INDEX(Inputs!$C:$C,MATCH("*Bank Loan Balloon*",Inputs!$B:$B,0))*12,AF$3=INDEX(Inputs!$C:$C,MATCH("End Year",Inputs!$B:$B,0))*12),-MAX(AF51+AF52-AF54,0),0),0)</f>
        <v>0</v>
      </c>
      <c r="AG55" s="152">
        <f t="array" ref="AG55">IF(AG$3&lt;=INDEX(Inputs!$C:$C,MATCH("End Year",Inputs!$B:$B,0))*12,IF(OR(AG$3=INDEX(Inputs!$C:$C,MATCH("*Bank Loan Balloon*",Inputs!$B:$B,0))*12,AG$3=INDEX(Inputs!$C:$C,MATCH("End Year",Inputs!$B:$B,0))*12),-MAX(AG51+AG52-AG54,0),0),0)</f>
        <v>0</v>
      </c>
      <c r="AH55" s="152">
        <f t="array" ref="AH55">IF(AH$3&lt;=INDEX(Inputs!$C:$C,MATCH("End Year",Inputs!$B:$B,0))*12,IF(OR(AH$3=INDEX(Inputs!$C:$C,MATCH("*Bank Loan Balloon*",Inputs!$B:$B,0))*12,AH$3=INDEX(Inputs!$C:$C,MATCH("End Year",Inputs!$B:$B,0))*12),-MAX(AH51+AH52-AH54,0),0),0)</f>
        <v>0</v>
      </c>
      <c r="AI55" s="152">
        <f t="array" ref="AI55">IF(AI$3&lt;=INDEX(Inputs!$C:$C,MATCH("End Year",Inputs!$B:$B,0))*12,IF(OR(AI$3=INDEX(Inputs!$C:$C,MATCH("*Bank Loan Balloon*",Inputs!$B:$B,0))*12,AI$3=INDEX(Inputs!$C:$C,MATCH("End Year",Inputs!$B:$B,0))*12),-MAX(AI51+AI52-AI54,0),0),0)</f>
        <v>0</v>
      </c>
      <c r="AJ55" s="152">
        <f t="array" ref="AJ55">IF(AJ$3&lt;=INDEX(Inputs!$C:$C,MATCH("End Year",Inputs!$B:$B,0))*12,IF(OR(AJ$3=INDEX(Inputs!$C:$C,MATCH("*Bank Loan Balloon*",Inputs!$B:$B,0))*12,AJ$3=INDEX(Inputs!$C:$C,MATCH("End Year",Inputs!$B:$B,0))*12),-MAX(AJ51+AJ52-AJ54,0),0),0)</f>
        <v>0</v>
      </c>
      <c r="AK55" s="152">
        <f t="array" ref="AK55">IF(AK$3&lt;=INDEX(Inputs!$C:$C,MATCH("End Year",Inputs!$B:$B,0))*12,IF(OR(AK$3=INDEX(Inputs!$C:$C,MATCH("*Bank Loan Balloon*",Inputs!$B:$B,0))*12,AK$3=INDEX(Inputs!$C:$C,MATCH("End Year",Inputs!$B:$B,0))*12),-MAX(AK51+AK52-AK54,0),0),0)</f>
        <v>0</v>
      </c>
      <c r="AL55" s="152">
        <f t="array" ref="AL55">IF(AL$3&lt;=INDEX(Inputs!$C:$C,MATCH("End Year",Inputs!$B:$B,0))*12,IF(OR(AL$3=INDEX(Inputs!$C:$C,MATCH("*Bank Loan Balloon*",Inputs!$B:$B,0))*12,AL$3=INDEX(Inputs!$C:$C,MATCH("End Year",Inputs!$B:$B,0))*12),-MAX(AL51+AL52-AL54,0),0),0)</f>
        <v>0</v>
      </c>
      <c r="AM55" s="152">
        <f t="array" ref="AM55">IF(AM$3&lt;=INDEX(Inputs!$C:$C,MATCH("End Year",Inputs!$B:$B,0))*12,IF(OR(AM$3=INDEX(Inputs!$C:$C,MATCH("*Bank Loan Balloon*",Inputs!$B:$B,0))*12,AM$3=INDEX(Inputs!$C:$C,MATCH("End Year",Inputs!$B:$B,0))*12),-MAX(AM51+AM52-AM54,0),0),0)</f>
        <v>0</v>
      </c>
      <c r="AN55" s="152">
        <f t="array" ref="AN55">IF(AN$3&lt;=INDEX(Inputs!$C:$C,MATCH("End Year",Inputs!$B:$B,0))*12,IF(OR(AN$3=INDEX(Inputs!$C:$C,MATCH("*Bank Loan Balloon*",Inputs!$B:$B,0))*12,AN$3=INDEX(Inputs!$C:$C,MATCH("End Year",Inputs!$B:$B,0))*12),-MAX(AN51+AN52-AN54,0),0),0)</f>
        <v>0</v>
      </c>
      <c r="AO55" s="152">
        <f t="array" ref="AO55">IF(AO$3&lt;=INDEX(Inputs!$C:$C,MATCH("End Year",Inputs!$B:$B,0))*12,IF(OR(AO$3=INDEX(Inputs!$C:$C,MATCH("*Bank Loan Balloon*",Inputs!$B:$B,0))*12,AO$3=INDEX(Inputs!$C:$C,MATCH("End Year",Inputs!$B:$B,0))*12),-MAX(AO51+AO52-AO54,0),0),0)</f>
        <v>0</v>
      </c>
      <c r="AP55" s="152">
        <f t="array" ref="AP55">IF(AP$3&lt;=INDEX(Inputs!$C:$C,MATCH("End Year",Inputs!$B:$B,0))*12,IF(OR(AP$3=INDEX(Inputs!$C:$C,MATCH("*Bank Loan Balloon*",Inputs!$B:$B,0))*12,AP$3=INDEX(Inputs!$C:$C,MATCH("End Year",Inputs!$B:$B,0))*12),-MAX(AP51+AP52-AP54,0),0),0)</f>
        <v>0</v>
      </c>
      <c r="AQ55" s="152">
        <f t="array" ref="AQ55">IF(AQ$3&lt;=INDEX(Inputs!$C:$C,MATCH("End Year",Inputs!$B:$B,0))*12,IF(OR(AQ$3=INDEX(Inputs!$C:$C,MATCH("*Bank Loan Balloon*",Inputs!$B:$B,0))*12,AQ$3=INDEX(Inputs!$C:$C,MATCH("End Year",Inputs!$B:$B,0))*12),-MAX(AQ51+AQ52-AQ54,0),0),0)</f>
        <v>0</v>
      </c>
      <c r="AR55" s="152">
        <f t="array" ref="AR55">IF(AR$3&lt;=INDEX(Inputs!$C:$C,MATCH("End Year",Inputs!$B:$B,0))*12,IF(OR(AR$3=INDEX(Inputs!$C:$C,MATCH("*Bank Loan Balloon*",Inputs!$B:$B,0))*12,AR$3=INDEX(Inputs!$C:$C,MATCH("End Year",Inputs!$B:$B,0))*12),-MAX(AR51+AR52-AR54,0),0),0)</f>
        <v>0</v>
      </c>
      <c r="AS55" s="152">
        <f t="array" ref="AS55">IF(AS$3&lt;=INDEX(Inputs!$C:$C,MATCH("End Year",Inputs!$B:$B,0))*12,IF(OR(AS$3=INDEX(Inputs!$C:$C,MATCH("*Bank Loan Balloon*",Inputs!$B:$B,0))*12,AS$3=INDEX(Inputs!$C:$C,MATCH("End Year",Inputs!$B:$B,0))*12),-MAX(AS51+AS52-AS54,0),0),0)</f>
        <v>0</v>
      </c>
      <c r="AT55" s="152">
        <f t="array" ref="AT55">IF(AT$3&lt;=INDEX(Inputs!$C:$C,MATCH("End Year",Inputs!$B:$B,0))*12,IF(OR(AT$3=INDEX(Inputs!$C:$C,MATCH("*Bank Loan Balloon*",Inputs!$B:$B,0))*12,AT$3=INDEX(Inputs!$C:$C,MATCH("End Year",Inputs!$B:$B,0))*12),-MAX(AT51+AT52-AT54,0),0),0)</f>
        <v>0</v>
      </c>
      <c r="AU55" s="152">
        <f t="array" ref="AU55">IF(AU$3&lt;=INDEX(Inputs!$C:$C,MATCH("End Year",Inputs!$B:$B,0))*12,IF(OR(AU$3=INDEX(Inputs!$C:$C,MATCH("*Bank Loan Balloon*",Inputs!$B:$B,0))*12,AU$3=INDEX(Inputs!$C:$C,MATCH("End Year",Inputs!$B:$B,0))*12),-MAX(AU51+AU52-AU54,0),0),0)</f>
        <v>0</v>
      </c>
      <c r="AV55" s="152">
        <f t="array" ref="AV55">IF(AV$3&lt;=INDEX(Inputs!$C:$C,MATCH("End Year",Inputs!$B:$B,0))*12,IF(OR(AV$3=INDEX(Inputs!$C:$C,MATCH("*Bank Loan Balloon*",Inputs!$B:$B,0))*12,AV$3=INDEX(Inputs!$C:$C,MATCH("End Year",Inputs!$B:$B,0))*12),-MAX(AV51+AV52-AV54,0),0),0)</f>
        <v>0</v>
      </c>
      <c r="AW55" s="152">
        <f t="array" ref="AW55">IF(AW$3&lt;=INDEX(Inputs!$C:$C,MATCH("End Year",Inputs!$B:$B,0))*12,IF(OR(AW$3=INDEX(Inputs!$C:$C,MATCH("*Bank Loan Balloon*",Inputs!$B:$B,0))*12,AW$3=INDEX(Inputs!$C:$C,MATCH("End Year",Inputs!$B:$B,0))*12),-MAX(AW51+AW52-AW54,0),0),0)</f>
        <v>0</v>
      </c>
      <c r="AX55" s="152">
        <f t="array" ref="AX55">IF(AX$3&lt;=INDEX(Inputs!$C:$C,MATCH("End Year",Inputs!$B:$B,0))*12,IF(OR(AX$3=INDEX(Inputs!$C:$C,MATCH("*Bank Loan Balloon*",Inputs!$B:$B,0))*12,AX$3=INDEX(Inputs!$C:$C,MATCH("End Year",Inputs!$B:$B,0))*12),-MAX(AX51+AX52-AX54,0),0),0)</f>
        <v>0</v>
      </c>
      <c r="AY55" s="152">
        <f t="array" ref="AY55">IF(AY$3&lt;=INDEX(Inputs!$C:$C,MATCH("End Year",Inputs!$B:$B,0))*12,IF(OR(AY$3=INDEX(Inputs!$C:$C,MATCH("*Bank Loan Balloon*",Inputs!$B:$B,0))*12,AY$3=INDEX(Inputs!$C:$C,MATCH("End Year",Inputs!$B:$B,0))*12),-MAX(AY51+AY52-AY54,0),0),0)</f>
        <v>0</v>
      </c>
      <c r="AZ55" s="152">
        <f t="array" ref="AZ55">IF(AZ$3&lt;=INDEX(Inputs!$C:$C,MATCH("End Year",Inputs!$B:$B,0))*12,IF(OR(AZ$3=INDEX(Inputs!$C:$C,MATCH("*Bank Loan Balloon*",Inputs!$B:$B,0))*12,AZ$3=INDEX(Inputs!$C:$C,MATCH("End Year",Inputs!$B:$B,0))*12),-MAX(AZ51+AZ52-AZ54,0),0),0)</f>
        <v>0</v>
      </c>
      <c r="BA55" s="152">
        <f t="array" ref="BA55">IF(BA$3&lt;=INDEX(Inputs!$C:$C,MATCH("End Year",Inputs!$B:$B,0))*12,IF(OR(BA$3=INDEX(Inputs!$C:$C,MATCH("*Bank Loan Balloon*",Inputs!$B:$B,0))*12,BA$3=INDEX(Inputs!$C:$C,MATCH("End Year",Inputs!$B:$B,0))*12),-MAX(BA51+BA52-BA54,0),0),0)</f>
        <v>0</v>
      </c>
      <c r="BB55" s="152">
        <f t="array" ref="BB55">IF(BB$3&lt;=INDEX(Inputs!$C:$C,MATCH("End Year",Inputs!$B:$B,0))*12,IF(OR(BB$3=INDEX(Inputs!$C:$C,MATCH("*Bank Loan Balloon*",Inputs!$B:$B,0))*12,BB$3=INDEX(Inputs!$C:$C,MATCH("End Year",Inputs!$B:$B,0))*12),-MAX(BB51+BB52-BB54,0),0),0)</f>
        <v>0</v>
      </c>
      <c r="BC55" s="152">
        <f t="array" ref="BC55">IF(BC$3&lt;=INDEX(Inputs!$C:$C,MATCH("End Year",Inputs!$B:$B,0))*12,IF(OR(BC$3=INDEX(Inputs!$C:$C,MATCH("*Bank Loan Balloon*",Inputs!$B:$B,0))*12,BC$3=INDEX(Inputs!$C:$C,MATCH("End Year",Inputs!$B:$B,0))*12),-MAX(BC51+BC52-BC54,0),0),0)</f>
        <v>0</v>
      </c>
      <c r="BD55" s="152">
        <f t="array" ref="BD55">IF(BD$3&lt;=INDEX(Inputs!$C:$C,MATCH("End Year",Inputs!$B:$B,0))*12,IF(OR(BD$3=INDEX(Inputs!$C:$C,MATCH("*Bank Loan Balloon*",Inputs!$B:$B,0))*12,BD$3=INDEX(Inputs!$C:$C,MATCH("End Year",Inputs!$B:$B,0))*12),-MAX(BD51+BD52-BD54,0),0),0)</f>
        <v>0</v>
      </c>
      <c r="BE55" s="152">
        <f t="array" ref="BE55">IF(BE$3&lt;=INDEX(Inputs!$C:$C,MATCH("End Year",Inputs!$B:$B,0))*12,IF(OR(BE$3=INDEX(Inputs!$C:$C,MATCH("*Bank Loan Balloon*",Inputs!$B:$B,0))*12,BE$3=INDEX(Inputs!$C:$C,MATCH("End Year",Inputs!$B:$B,0))*12),-MAX(BE51+BE52-BE54,0),0),0)</f>
        <v>0</v>
      </c>
      <c r="BF55" s="152">
        <f t="array" ref="BF55">IF(BF$3&lt;=INDEX(Inputs!$C:$C,MATCH("End Year",Inputs!$B:$B,0))*12,IF(OR(BF$3=INDEX(Inputs!$C:$C,MATCH("*Bank Loan Balloon*",Inputs!$B:$B,0))*12,BF$3=INDEX(Inputs!$C:$C,MATCH("End Year",Inputs!$B:$B,0))*12),-MAX(BF51+BF52-BF54,0),0),0)</f>
        <v>0</v>
      </c>
      <c r="BG55" s="152">
        <f t="array" ref="BG55">IF(BG$3&lt;=INDEX(Inputs!$C:$C,MATCH("End Year",Inputs!$B:$B,0))*12,IF(OR(BG$3=INDEX(Inputs!$C:$C,MATCH("*Bank Loan Balloon*",Inputs!$B:$B,0))*12,BG$3=INDEX(Inputs!$C:$C,MATCH("End Year",Inputs!$B:$B,0))*12),-MAX(BG51+BG52-BG54,0),0),0)</f>
        <v>0</v>
      </c>
      <c r="BH55" s="152">
        <f t="array" ref="BH55">IF(BH$3&lt;=INDEX(Inputs!$C:$C,MATCH("End Year",Inputs!$B:$B,0))*12,IF(OR(BH$3=INDEX(Inputs!$C:$C,MATCH("*Bank Loan Balloon*",Inputs!$B:$B,0))*12,BH$3=INDEX(Inputs!$C:$C,MATCH("End Year",Inputs!$B:$B,0))*12),-MAX(BH51+BH52-BH54,0),0),0)</f>
        <v>0</v>
      </c>
      <c r="BI55" s="152">
        <f t="array" ref="BI55">IF(BI$3&lt;=INDEX(Inputs!$C:$C,MATCH("End Year",Inputs!$B:$B,0))*12,IF(OR(BI$3=INDEX(Inputs!$C:$C,MATCH("*Bank Loan Balloon*",Inputs!$B:$B,0))*12,BI$3=INDEX(Inputs!$C:$C,MATCH("End Year",Inputs!$B:$B,0))*12),-MAX(BI51+BI52-BI54,0),0),0)</f>
        <v>0</v>
      </c>
      <c r="BJ55" s="152">
        <f t="array" ref="BJ55">IF(BJ$3&lt;=INDEX(Inputs!$C:$C,MATCH("End Year",Inputs!$B:$B,0))*12,IF(OR(BJ$3=INDEX(Inputs!$C:$C,MATCH("*Bank Loan Balloon*",Inputs!$B:$B,0))*12,BJ$3=INDEX(Inputs!$C:$C,MATCH("End Year",Inputs!$B:$B,0))*12),-MAX(BJ51+BJ52-BJ54,0),0),0)</f>
        <v>0</v>
      </c>
      <c r="BK55" s="152">
        <f t="array" ref="BK55">IF(BK$3&lt;=INDEX(Inputs!$C:$C,MATCH("End Year",Inputs!$B:$B,0))*12,IF(OR(BK$3=INDEX(Inputs!$C:$C,MATCH("*Bank Loan Balloon*",Inputs!$B:$B,0))*12,BK$3=INDEX(Inputs!$C:$C,MATCH("End Year",Inputs!$B:$B,0))*12),-MAX(BK51+BK52-BK54,0),0),0)</f>
        <v>0</v>
      </c>
      <c r="BL55" s="152">
        <f t="array" ref="BL55">IF(BL$3&lt;=INDEX(Inputs!$C:$C,MATCH("End Year",Inputs!$B:$B,0))*12,IF(OR(BL$3=INDEX(Inputs!$C:$C,MATCH("*Bank Loan Balloon*",Inputs!$B:$B,0))*12,BL$3=INDEX(Inputs!$C:$C,MATCH("End Year",Inputs!$B:$B,0))*12),-MAX(BL51+BL52-BL54,0),0),0)</f>
        <v>0</v>
      </c>
      <c r="BM55" s="152">
        <f t="array" ref="BM55">IF(BM$3&lt;=INDEX(Inputs!$C:$C,MATCH("End Year",Inputs!$B:$B,0))*12,IF(OR(BM$3=INDEX(Inputs!$C:$C,MATCH("*Bank Loan Balloon*",Inputs!$B:$B,0))*12,BM$3=INDEX(Inputs!$C:$C,MATCH("End Year",Inputs!$B:$B,0))*12),-MAX(BM51+BM52-BM54,0),0),0)</f>
        <v>0</v>
      </c>
      <c r="BN55" s="152">
        <f t="array" ref="BN55">IF(BN$3&lt;=INDEX(Inputs!$C:$C,MATCH("End Year",Inputs!$B:$B,0))*12,IF(OR(BN$3=INDEX(Inputs!$C:$C,MATCH("*Bank Loan Balloon*",Inputs!$B:$B,0))*12,BN$3=INDEX(Inputs!$C:$C,MATCH("End Year",Inputs!$B:$B,0))*12),-MAX(BN51+BN52-BN54,0),0),0)</f>
        <v>0</v>
      </c>
      <c r="BO55" s="152">
        <f t="array" ref="BO55">IF(BO$3&lt;=INDEX(Inputs!$C:$C,MATCH("End Year",Inputs!$B:$B,0))*12,IF(OR(BO$3=INDEX(Inputs!$C:$C,MATCH("*Bank Loan Balloon*",Inputs!$B:$B,0))*12,BO$3=INDEX(Inputs!$C:$C,MATCH("End Year",Inputs!$B:$B,0))*12),-MAX(BO51+BO52-BO54,0),0),0)</f>
        <v>0</v>
      </c>
      <c r="BP55" s="152">
        <f t="array" ref="BP55">IF(BP$3&lt;=INDEX(Inputs!$C:$C,MATCH("End Year",Inputs!$B:$B,0))*12,IF(OR(BP$3=INDEX(Inputs!$C:$C,MATCH("*Bank Loan Balloon*",Inputs!$B:$B,0))*12,BP$3=INDEX(Inputs!$C:$C,MATCH("End Year",Inputs!$B:$B,0))*12),-MAX(BP51+BP52-BP54,0),0),0)</f>
        <v>0</v>
      </c>
      <c r="BQ55" s="152">
        <f t="array" ref="BQ55">IF(BQ$3&lt;=INDEX(Inputs!$C:$C,MATCH("End Year",Inputs!$B:$B,0))*12,IF(OR(BQ$3=INDEX(Inputs!$C:$C,MATCH("*Bank Loan Balloon*",Inputs!$B:$B,0))*12,BQ$3=INDEX(Inputs!$C:$C,MATCH("End Year",Inputs!$B:$B,0))*12),-MAX(BQ51+BQ52-BQ54,0),0),0)</f>
        <v>0</v>
      </c>
      <c r="BR55" s="152">
        <f t="array" ref="BR55">IF(BR$3&lt;=INDEX(Inputs!$C:$C,MATCH("End Year",Inputs!$B:$B,0))*12,IF(OR(BR$3=INDEX(Inputs!$C:$C,MATCH("*Bank Loan Balloon*",Inputs!$B:$B,0))*12,BR$3=INDEX(Inputs!$C:$C,MATCH("End Year",Inputs!$B:$B,0))*12),-MAX(BR51+BR52-BR54,0),0),0)</f>
        <v>0</v>
      </c>
      <c r="BS55" s="152">
        <f t="array" ref="BS55">IF(BS$3&lt;=INDEX(Inputs!$C:$C,MATCH("End Year",Inputs!$B:$B,0))*12,IF(OR(BS$3=INDEX(Inputs!$C:$C,MATCH("*Bank Loan Balloon*",Inputs!$B:$B,0))*12,BS$3=INDEX(Inputs!$C:$C,MATCH("End Year",Inputs!$B:$B,0))*12),-MAX(BS51+BS52-BS54,0),0),0)</f>
        <v>0</v>
      </c>
      <c r="BT55" s="152">
        <f t="array" ref="BT55">IF(BT$3&lt;=INDEX(Inputs!$C:$C,MATCH("End Year",Inputs!$B:$B,0))*12,IF(OR(BT$3=INDEX(Inputs!$C:$C,MATCH("*Bank Loan Balloon*",Inputs!$B:$B,0))*12,BT$3=INDEX(Inputs!$C:$C,MATCH("End Year",Inputs!$B:$B,0))*12),-MAX(BT51+BT52-BT54,0),0),0)</f>
        <v>0</v>
      </c>
      <c r="BU55" s="152">
        <f t="array" ref="BU55">IF(BU$3&lt;=INDEX(Inputs!$C:$C,MATCH("End Year",Inputs!$B:$B,0))*12,IF(OR(BU$3=INDEX(Inputs!$C:$C,MATCH("*Bank Loan Balloon*",Inputs!$B:$B,0))*12,BU$3=INDEX(Inputs!$C:$C,MATCH("End Year",Inputs!$B:$B,0))*12),-MAX(BU51+BU52-BU54,0),0),0)</f>
        <v>0</v>
      </c>
      <c r="BV55" s="152">
        <f t="array" ref="BV55">IF(BV$3&lt;=INDEX(Inputs!$C:$C,MATCH("End Year",Inputs!$B:$B,0))*12,IF(OR(BV$3=INDEX(Inputs!$C:$C,MATCH("*Bank Loan Balloon*",Inputs!$B:$B,0))*12,BV$3=INDEX(Inputs!$C:$C,MATCH("End Year",Inputs!$B:$B,0))*12),-MAX(BV51+BV52-BV54,0),0),0)</f>
        <v>0</v>
      </c>
      <c r="BW55" s="152">
        <f t="array" ref="BW55">IF(BW$3&lt;=INDEX(Inputs!$C:$C,MATCH("End Year",Inputs!$B:$B,0))*12,IF(OR(BW$3=INDEX(Inputs!$C:$C,MATCH("*Bank Loan Balloon*",Inputs!$B:$B,0))*12,BW$3=INDEX(Inputs!$C:$C,MATCH("End Year",Inputs!$B:$B,0))*12),-MAX(BW51+BW52-BW54,0),0),0)</f>
        <v>0</v>
      </c>
      <c r="BX55" s="152">
        <f t="array" ref="BX55">IF(BX$3&lt;=INDEX(Inputs!$C:$C,MATCH("End Year",Inputs!$B:$B,0))*12,IF(OR(BX$3=INDEX(Inputs!$C:$C,MATCH("*Bank Loan Balloon*",Inputs!$B:$B,0))*12,BX$3=INDEX(Inputs!$C:$C,MATCH("End Year",Inputs!$B:$B,0))*12),-MAX(BX51+BX52-BX54,0),0),0)</f>
        <v>0</v>
      </c>
      <c r="BY55" s="152">
        <f t="array" ref="BY55">IF(BY$3&lt;=INDEX(Inputs!$C:$C,MATCH("End Year",Inputs!$B:$B,0))*12,IF(OR(BY$3=INDEX(Inputs!$C:$C,MATCH("*Bank Loan Balloon*",Inputs!$B:$B,0))*12,BY$3=INDEX(Inputs!$C:$C,MATCH("End Year",Inputs!$B:$B,0))*12),-MAX(BY51+BY52-BY54,0),0),0)</f>
        <v>0</v>
      </c>
      <c r="BZ55" s="152">
        <f t="array" ref="BZ55">IF(BZ$3&lt;=INDEX(Inputs!$C:$C,MATCH("End Year",Inputs!$B:$B,0))*12,IF(OR(BZ$3=INDEX(Inputs!$C:$C,MATCH("*Bank Loan Balloon*",Inputs!$B:$B,0))*12,BZ$3=INDEX(Inputs!$C:$C,MATCH("End Year",Inputs!$B:$B,0))*12),-MAX(BZ51+BZ52-BZ54,0),0),0)</f>
        <v>0</v>
      </c>
      <c r="CA55" s="152">
        <f t="array" ref="CA55">IF(CA$3&lt;=INDEX(Inputs!$C:$C,MATCH("End Year",Inputs!$B:$B,0))*12,IF(OR(CA$3=INDEX(Inputs!$C:$C,MATCH("*Bank Loan Balloon*",Inputs!$B:$B,0))*12,CA$3=INDEX(Inputs!$C:$C,MATCH("End Year",Inputs!$B:$B,0))*12),-MAX(CA51+CA52-CA54,0),0),0)</f>
        <v>0</v>
      </c>
      <c r="CB55" s="152">
        <f t="array" ref="CB55">IF(CB$3&lt;=INDEX(Inputs!$C:$C,MATCH("End Year",Inputs!$B:$B,0))*12,IF(OR(CB$3=INDEX(Inputs!$C:$C,MATCH("*Bank Loan Balloon*",Inputs!$B:$B,0))*12,CB$3=INDEX(Inputs!$C:$C,MATCH("End Year",Inputs!$B:$B,0))*12),-MAX(CB51+CB52-CB54,0),0),0)</f>
        <v>0</v>
      </c>
      <c r="CC55" s="152">
        <f t="array" ref="CC55">IF(CC$3&lt;=INDEX(Inputs!$C:$C,MATCH("End Year",Inputs!$B:$B,0))*12,IF(OR(CC$3=INDEX(Inputs!$C:$C,MATCH("*Bank Loan Balloon*",Inputs!$B:$B,0))*12,CC$3=INDEX(Inputs!$C:$C,MATCH("End Year",Inputs!$B:$B,0))*12),-MAX(CC51+CC52-CC54,0),0),0)</f>
        <v>0</v>
      </c>
      <c r="CD55" s="152">
        <f t="array" ref="CD55">IF(CD$3&lt;=INDEX(Inputs!$C:$C,MATCH("End Year",Inputs!$B:$B,0))*12,IF(OR(CD$3=INDEX(Inputs!$C:$C,MATCH("*Bank Loan Balloon*",Inputs!$B:$B,0))*12,CD$3=INDEX(Inputs!$C:$C,MATCH("End Year",Inputs!$B:$B,0))*12),-MAX(CD51+CD52-CD54,0),0),0)</f>
        <v>0</v>
      </c>
      <c r="CE55" s="152">
        <f t="array" ref="CE55">IF(CE$3&lt;=INDEX(Inputs!$C:$C,MATCH("End Year",Inputs!$B:$B,0))*12,IF(OR(CE$3=INDEX(Inputs!$C:$C,MATCH("*Bank Loan Balloon*",Inputs!$B:$B,0))*12,CE$3=INDEX(Inputs!$C:$C,MATCH("End Year",Inputs!$B:$B,0))*12),-MAX(CE51+CE52-CE54,0),0),0)</f>
        <v>0</v>
      </c>
      <c r="CF55" s="152">
        <f t="array" ref="CF55">IF(CF$3&lt;=INDEX(Inputs!$C:$C,MATCH("End Year",Inputs!$B:$B,0))*12,IF(OR(CF$3=INDEX(Inputs!$C:$C,MATCH("*Bank Loan Balloon*",Inputs!$B:$B,0))*12,CF$3=INDEX(Inputs!$C:$C,MATCH("End Year",Inputs!$B:$B,0))*12),-MAX(CF51+CF52-CF54,0),0),0)</f>
        <v>0</v>
      </c>
      <c r="CG55" s="152">
        <f t="array" ref="CG55">IF(CG$3&lt;=INDEX(Inputs!$C:$C,MATCH("End Year",Inputs!$B:$B,0))*12,IF(OR(CG$3=INDEX(Inputs!$C:$C,MATCH("*Bank Loan Balloon*",Inputs!$B:$B,0))*12,CG$3=INDEX(Inputs!$C:$C,MATCH("End Year",Inputs!$B:$B,0))*12),-MAX(CG51+CG52-CG54,0),0),0)</f>
        <v>0</v>
      </c>
      <c r="CH55" s="152">
        <f t="array" ref="CH55">IF(CH$3&lt;=INDEX(Inputs!$C:$C,MATCH("End Year",Inputs!$B:$B,0))*12,IF(OR(CH$3=INDEX(Inputs!$C:$C,MATCH("*Bank Loan Balloon*",Inputs!$B:$B,0))*12,CH$3=INDEX(Inputs!$C:$C,MATCH("End Year",Inputs!$B:$B,0))*12),-MAX(CH51+CH52-CH54,0),0),0)</f>
        <v>0</v>
      </c>
      <c r="CI55" s="152">
        <f t="array" ref="CI55">IF(CI$3&lt;=INDEX(Inputs!$C:$C,MATCH("End Year",Inputs!$B:$B,0))*12,IF(OR(CI$3=INDEX(Inputs!$C:$C,MATCH("*Bank Loan Balloon*",Inputs!$B:$B,0))*12,CI$3=INDEX(Inputs!$C:$C,MATCH("End Year",Inputs!$B:$B,0))*12),-MAX(CI51+CI52-CI54,0),0),0)</f>
        <v>0</v>
      </c>
      <c r="CJ55" s="152">
        <f t="array" ref="CJ55">IF(CJ$3&lt;=INDEX(Inputs!$C:$C,MATCH("End Year",Inputs!$B:$B,0))*12,IF(OR(CJ$3=INDEX(Inputs!$C:$C,MATCH("*Bank Loan Balloon*",Inputs!$B:$B,0))*12,CJ$3=INDEX(Inputs!$C:$C,MATCH("End Year",Inputs!$B:$B,0))*12),-MAX(CJ51+CJ52-CJ54,0),0),0)</f>
        <v>0</v>
      </c>
      <c r="CK55" s="152">
        <f t="array" ref="CK55">IF(CK$3&lt;=INDEX(Inputs!$C:$C,MATCH("End Year",Inputs!$B:$B,0))*12,IF(OR(CK$3=INDEX(Inputs!$C:$C,MATCH("*Bank Loan Balloon*",Inputs!$B:$B,0))*12,CK$3=INDEX(Inputs!$C:$C,MATCH("End Year",Inputs!$B:$B,0))*12),-MAX(CK51+CK52-CK54,0),0),0)</f>
        <v>0</v>
      </c>
      <c r="CL55" s="152">
        <f t="array" ref="CL55">IF(CL$3&lt;=INDEX(Inputs!$C:$C,MATCH("End Year",Inputs!$B:$B,0))*12,IF(OR(CL$3=INDEX(Inputs!$C:$C,MATCH("*Bank Loan Balloon*",Inputs!$B:$B,0))*12,CL$3=INDEX(Inputs!$C:$C,MATCH("End Year",Inputs!$B:$B,0))*12),-MAX(CL51+CL52-CL54,0),0),0)</f>
        <v>0</v>
      </c>
      <c r="CM55" s="152">
        <f t="array" ref="CM55">IF(CM$3&lt;=INDEX(Inputs!$C:$C,MATCH("End Year",Inputs!$B:$B,0))*12,IF(OR(CM$3=INDEX(Inputs!$C:$C,MATCH("*Bank Loan Balloon*",Inputs!$B:$B,0))*12,CM$3=INDEX(Inputs!$C:$C,MATCH("End Year",Inputs!$B:$B,0))*12),-MAX(CM51+CM52-CM54,0),0),0)</f>
        <v>0</v>
      </c>
      <c r="CN55" s="152">
        <f t="array" ref="CN55">IF(CN$3&lt;=INDEX(Inputs!$C:$C,MATCH("End Year",Inputs!$B:$B,0))*12,IF(OR(CN$3=INDEX(Inputs!$C:$C,MATCH("*Bank Loan Balloon*",Inputs!$B:$B,0))*12,CN$3=INDEX(Inputs!$C:$C,MATCH("End Year",Inputs!$B:$B,0))*12),-MAX(CN51+CN52-CN54,0),0),0)</f>
        <v>0</v>
      </c>
      <c r="CO55" s="152">
        <f t="array" ref="CO55">IF(CO$3&lt;=INDEX(Inputs!$C:$C,MATCH("End Year",Inputs!$B:$B,0))*12,IF(OR(CO$3=INDEX(Inputs!$C:$C,MATCH("*Bank Loan Balloon*",Inputs!$B:$B,0))*12,CO$3=INDEX(Inputs!$C:$C,MATCH("End Year",Inputs!$B:$B,0))*12),-MAX(CO51+CO52-CO54,0),0),0)</f>
        <v>0</v>
      </c>
      <c r="CP55" s="152">
        <f t="array" ref="CP55">IF(CP$3&lt;=INDEX(Inputs!$C:$C,MATCH("End Year",Inputs!$B:$B,0))*12,IF(OR(CP$3=INDEX(Inputs!$C:$C,MATCH("*Bank Loan Balloon*",Inputs!$B:$B,0))*12,CP$3=INDEX(Inputs!$C:$C,MATCH("End Year",Inputs!$B:$B,0))*12),-MAX(CP51+CP52-CP54,0),0),0)</f>
        <v>0</v>
      </c>
      <c r="CQ55" s="152">
        <f t="array" ref="CQ55">IF(CQ$3&lt;=INDEX(Inputs!$C:$C,MATCH("End Year",Inputs!$B:$B,0))*12,IF(OR(CQ$3=INDEX(Inputs!$C:$C,MATCH("*Bank Loan Balloon*",Inputs!$B:$B,0))*12,CQ$3=INDEX(Inputs!$C:$C,MATCH("End Year",Inputs!$B:$B,0))*12),-MAX(CQ51+CQ52-CQ54,0),0),0)</f>
        <v>0</v>
      </c>
      <c r="CR55" s="152">
        <f t="array" ref="CR55">IF(CR$3&lt;=INDEX(Inputs!$C:$C,MATCH("End Year",Inputs!$B:$B,0))*12,IF(OR(CR$3=INDEX(Inputs!$C:$C,MATCH("*Bank Loan Balloon*",Inputs!$B:$B,0))*12,CR$3=INDEX(Inputs!$C:$C,MATCH("End Year",Inputs!$B:$B,0))*12),-MAX(CR51+CR52-CR54,0),0),0)</f>
        <v>0</v>
      </c>
      <c r="CS55" s="152">
        <f t="array" ref="CS55">IF(CS$3&lt;=INDEX(Inputs!$C:$C,MATCH("End Year",Inputs!$B:$B,0))*12,IF(OR(CS$3=INDEX(Inputs!$C:$C,MATCH("*Bank Loan Balloon*",Inputs!$B:$B,0))*12,CS$3=INDEX(Inputs!$C:$C,MATCH("End Year",Inputs!$B:$B,0))*12),-MAX(CS51+CS52-CS54,0),0),0)</f>
        <v>0</v>
      </c>
      <c r="CT55" s="152">
        <f t="array" ref="CT55">IF(CT$3&lt;=INDEX(Inputs!$C:$C,MATCH("End Year",Inputs!$B:$B,0))*12,IF(OR(CT$3=INDEX(Inputs!$C:$C,MATCH("*Bank Loan Balloon*",Inputs!$B:$B,0))*12,CT$3=INDEX(Inputs!$C:$C,MATCH("End Year",Inputs!$B:$B,0))*12),-MAX(CT51+CT52-CT54,0),0),0)</f>
        <v>0</v>
      </c>
      <c r="CU55" s="152">
        <f t="array" ref="CU55">IF(CU$3&lt;=INDEX(Inputs!$C:$C,MATCH("End Year",Inputs!$B:$B,0))*12,IF(OR(CU$3=INDEX(Inputs!$C:$C,MATCH("*Bank Loan Balloon*",Inputs!$B:$B,0))*12,CU$3=INDEX(Inputs!$C:$C,MATCH("End Year",Inputs!$B:$B,0))*12),-MAX(CU51+CU52-CU54,0),0),0)</f>
        <v>0</v>
      </c>
      <c r="CV55" s="152">
        <f t="array" ref="CV55">IF(CV$3&lt;=INDEX(Inputs!$C:$C,MATCH("End Year",Inputs!$B:$B,0))*12,IF(OR(CV$3=INDEX(Inputs!$C:$C,MATCH("*Bank Loan Balloon*",Inputs!$B:$B,0))*12,CV$3=INDEX(Inputs!$C:$C,MATCH("End Year",Inputs!$B:$B,0))*12),-MAX(CV51+CV52-CV54,0),0),0)</f>
        <v>0</v>
      </c>
      <c r="CW55" s="152">
        <f t="array" ref="CW55">IF(CW$3&lt;=INDEX(Inputs!$C:$C,MATCH("End Year",Inputs!$B:$B,0))*12,IF(OR(CW$3=INDEX(Inputs!$C:$C,MATCH("*Bank Loan Balloon*",Inputs!$B:$B,0))*12,CW$3=INDEX(Inputs!$C:$C,MATCH("End Year",Inputs!$B:$B,0))*12),-MAX(CW51+CW52-CW54,0),0),0)</f>
        <v>0</v>
      </c>
      <c r="CX55" s="152">
        <f t="array" ref="CX55">IF(CX$3&lt;=INDEX(Inputs!$C:$C,MATCH("End Year",Inputs!$B:$B,0))*12,IF(OR(CX$3=INDEX(Inputs!$C:$C,MATCH("*Bank Loan Balloon*",Inputs!$B:$B,0))*12,CX$3=INDEX(Inputs!$C:$C,MATCH("End Year",Inputs!$B:$B,0))*12),-MAX(CX51+CX52-CX54,0),0),0)</f>
        <v>0</v>
      </c>
      <c r="CY55" s="152">
        <f t="array" ref="CY55">IF(CY$3&lt;=INDEX(Inputs!$C:$C,MATCH("End Year",Inputs!$B:$B,0))*12,IF(OR(CY$3=INDEX(Inputs!$C:$C,MATCH("*Bank Loan Balloon*",Inputs!$B:$B,0))*12,CY$3=INDEX(Inputs!$C:$C,MATCH("End Year",Inputs!$B:$B,0))*12),-MAX(CY51+CY52-CY54,0),0),0)</f>
        <v>0</v>
      </c>
      <c r="CZ55" s="152">
        <f t="array" ref="CZ55">IF(CZ$3&lt;=INDEX(Inputs!$C:$C,MATCH("End Year",Inputs!$B:$B,0))*12,IF(OR(CZ$3=INDEX(Inputs!$C:$C,MATCH("*Bank Loan Balloon*",Inputs!$B:$B,0))*12,CZ$3=INDEX(Inputs!$C:$C,MATCH("End Year",Inputs!$B:$B,0))*12),-MAX(CZ51+CZ52-CZ54,0),0),0)</f>
        <v>0</v>
      </c>
      <c r="DA55" s="152">
        <f t="array" ref="DA55">IF(DA$3&lt;=INDEX(Inputs!$C:$C,MATCH("End Year",Inputs!$B:$B,0))*12,IF(OR(DA$3=INDEX(Inputs!$C:$C,MATCH("*Bank Loan Balloon*",Inputs!$B:$B,0))*12,DA$3=INDEX(Inputs!$C:$C,MATCH("End Year",Inputs!$B:$B,0))*12),-MAX(DA51+DA52-DA54,0),0),0)</f>
        <v>0</v>
      </c>
      <c r="DB55" s="152">
        <f t="array" ref="DB55">IF(DB$3&lt;=INDEX(Inputs!$C:$C,MATCH("End Year",Inputs!$B:$B,0))*12,IF(OR(DB$3=INDEX(Inputs!$C:$C,MATCH("*Bank Loan Balloon*",Inputs!$B:$B,0))*12,DB$3=INDEX(Inputs!$C:$C,MATCH("End Year",Inputs!$B:$B,0))*12),-MAX(DB51+DB52-DB54,0),0),0)</f>
        <v>0</v>
      </c>
      <c r="DC55" s="152">
        <f t="array" ref="DC55">IF(DC$3&lt;=INDEX(Inputs!$C:$C,MATCH("End Year",Inputs!$B:$B,0))*12,IF(OR(DC$3=INDEX(Inputs!$C:$C,MATCH("*Bank Loan Balloon*",Inputs!$B:$B,0))*12,DC$3=INDEX(Inputs!$C:$C,MATCH("End Year",Inputs!$B:$B,0))*12),-MAX(DC51+DC52-DC54,0),0),0)</f>
        <v>0</v>
      </c>
      <c r="DD55" s="152">
        <f t="array" ref="DD55">IF(DD$3&lt;=INDEX(Inputs!$C:$C,MATCH("End Year",Inputs!$B:$B,0))*12,IF(OR(DD$3=INDEX(Inputs!$C:$C,MATCH("*Bank Loan Balloon*",Inputs!$B:$B,0))*12,DD$3=INDEX(Inputs!$C:$C,MATCH("End Year",Inputs!$B:$B,0))*12),-MAX(DD51+DD52-DD54,0),0),0)</f>
        <v>0</v>
      </c>
      <c r="DE55" s="152">
        <f t="array" ref="DE55">IF(DE$3&lt;=INDEX(Inputs!$C:$C,MATCH("End Year",Inputs!$B:$B,0))*12,IF(OR(DE$3=INDEX(Inputs!$C:$C,MATCH("*Bank Loan Balloon*",Inputs!$B:$B,0))*12,DE$3=INDEX(Inputs!$C:$C,MATCH("End Year",Inputs!$B:$B,0))*12),-MAX(DE51+DE52-DE54,0),0),0)</f>
        <v>0</v>
      </c>
      <c r="DF55" s="152">
        <f t="array" ref="DF55">IF(DF$3&lt;=INDEX(Inputs!$C:$C,MATCH("End Year",Inputs!$B:$B,0))*12,IF(OR(DF$3=INDEX(Inputs!$C:$C,MATCH("*Bank Loan Balloon*",Inputs!$B:$B,0))*12,DF$3=INDEX(Inputs!$C:$C,MATCH("End Year",Inputs!$B:$B,0))*12),-MAX(DF51+DF52-DF54,0),0),0)</f>
        <v>0</v>
      </c>
      <c r="DG55" s="152">
        <f t="array" ref="DG55">IF(DG$3&lt;=INDEX(Inputs!$C:$C,MATCH("End Year",Inputs!$B:$B,0))*12,IF(OR(DG$3=INDEX(Inputs!$C:$C,MATCH("*Bank Loan Balloon*",Inputs!$B:$B,0))*12,DG$3=INDEX(Inputs!$C:$C,MATCH("End Year",Inputs!$B:$B,0))*12),-MAX(DG51+DG52-DG54,0),0),0)</f>
        <v>0</v>
      </c>
      <c r="DH55" s="152">
        <f t="array" ref="DH55">IF(DH$3&lt;=INDEX(Inputs!$C:$C,MATCH("End Year",Inputs!$B:$B,0))*12,IF(OR(DH$3=INDEX(Inputs!$C:$C,MATCH("*Bank Loan Balloon*",Inputs!$B:$B,0))*12,DH$3=INDEX(Inputs!$C:$C,MATCH("End Year",Inputs!$B:$B,0))*12),-MAX(DH51+DH52-DH54,0),0),0)</f>
        <v>0</v>
      </c>
      <c r="DI55" s="152">
        <f t="array" ref="DI55">IF(DI$3&lt;=INDEX(Inputs!$C:$C,MATCH("End Year",Inputs!$B:$B,0))*12,IF(OR(DI$3=INDEX(Inputs!$C:$C,MATCH("*Bank Loan Balloon*",Inputs!$B:$B,0))*12,DI$3=INDEX(Inputs!$C:$C,MATCH("End Year",Inputs!$B:$B,0))*12),-MAX(DI51+DI52-DI54,0),0),0)</f>
        <v>0</v>
      </c>
      <c r="DJ55" s="152">
        <f t="array" ref="DJ55">IF(DJ$3&lt;=INDEX(Inputs!$C:$C,MATCH("End Year",Inputs!$B:$B,0))*12,IF(OR(DJ$3=INDEX(Inputs!$C:$C,MATCH("*Bank Loan Balloon*",Inputs!$B:$B,0))*12,DJ$3=INDEX(Inputs!$C:$C,MATCH("End Year",Inputs!$B:$B,0))*12),-MAX(DJ51+DJ52-DJ54,0),0),0)</f>
        <v>0</v>
      </c>
      <c r="DK55" s="152">
        <f t="array" ref="DK55">IF(DK$3&lt;=INDEX(Inputs!$C:$C,MATCH("End Year",Inputs!$B:$B,0))*12,IF(OR(DK$3=INDEX(Inputs!$C:$C,MATCH("*Bank Loan Balloon*",Inputs!$B:$B,0))*12,DK$3=INDEX(Inputs!$C:$C,MATCH("End Year",Inputs!$B:$B,0))*12),-MAX(DK51+DK52-DK54,0),0),0)</f>
        <v>0</v>
      </c>
      <c r="DL55" s="152">
        <f t="array" ref="DL55">IF(DL$3&lt;=INDEX(Inputs!$C:$C,MATCH("End Year",Inputs!$B:$B,0))*12,IF(OR(DL$3=INDEX(Inputs!$C:$C,MATCH("*Bank Loan Balloon*",Inputs!$B:$B,0))*12,DL$3=INDEX(Inputs!$C:$C,MATCH("End Year",Inputs!$B:$B,0))*12),-MAX(DL51+DL52-DL54,0),0),0)</f>
        <v>0</v>
      </c>
      <c r="DM55" s="152">
        <f t="array" ref="DM55">IF(DM$3&lt;=INDEX(Inputs!$C:$C,MATCH("End Year",Inputs!$B:$B,0))*12,IF(OR(DM$3=INDEX(Inputs!$C:$C,MATCH("*Bank Loan Balloon*",Inputs!$B:$B,0))*12,DM$3=INDEX(Inputs!$C:$C,MATCH("End Year",Inputs!$B:$B,0))*12),-MAX(DM51+DM52-DM54,0),0),0)</f>
        <v>0</v>
      </c>
      <c r="DN55" s="152">
        <f t="array" ref="DN55">IF(DN$3&lt;=INDEX(Inputs!$C:$C,MATCH("End Year",Inputs!$B:$B,0))*12,IF(OR(DN$3=INDEX(Inputs!$C:$C,MATCH("*Bank Loan Balloon*",Inputs!$B:$B,0))*12,DN$3=INDEX(Inputs!$C:$C,MATCH("End Year",Inputs!$B:$B,0))*12),-MAX(DN51+DN52-DN54,0),0),0)</f>
        <v>0</v>
      </c>
      <c r="DO55" s="152">
        <f t="array" ref="DO55">IF(DO$3&lt;=INDEX(Inputs!$C:$C,MATCH("End Year",Inputs!$B:$B,0))*12,IF(OR(DO$3=INDEX(Inputs!$C:$C,MATCH("*Bank Loan Balloon*",Inputs!$B:$B,0))*12,DO$3=INDEX(Inputs!$C:$C,MATCH("End Year",Inputs!$B:$B,0))*12),-MAX(DO51+DO52-DO54,0),0),0)</f>
        <v>0</v>
      </c>
      <c r="DP55" s="152">
        <f t="array" ref="DP55">IF(DP$3&lt;=INDEX(Inputs!$C:$C,MATCH("End Year",Inputs!$B:$B,0))*12,IF(OR(DP$3=INDEX(Inputs!$C:$C,MATCH("*Bank Loan Balloon*",Inputs!$B:$B,0))*12,DP$3=INDEX(Inputs!$C:$C,MATCH("End Year",Inputs!$B:$B,0))*12),-MAX(DP51+DP52-DP54,0),0),0)</f>
        <v>0</v>
      </c>
      <c r="DQ55" s="152">
        <f t="array" ref="DQ55">IF(DQ$3&lt;=INDEX(Inputs!$C:$C,MATCH("End Year",Inputs!$B:$B,0))*12,IF(OR(DQ$3=INDEX(Inputs!$C:$C,MATCH("*Bank Loan Balloon*",Inputs!$B:$B,0))*12,DQ$3=INDEX(Inputs!$C:$C,MATCH("End Year",Inputs!$B:$B,0))*12),-MAX(DQ51+DQ52-DQ54,0),0),0)</f>
        <v>0</v>
      </c>
      <c r="DR55" s="152">
        <f t="array" ref="DR55">IF(DR$3&lt;=INDEX(Inputs!$C:$C,MATCH("End Year",Inputs!$B:$B,0))*12,IF(OR(DR$3=INDEX(Inputs!$C:$C,MATCH("*Bank Loan Balloon*",Inputs!$B:$B,0))*12,DR$3=INDEX(Inputs!$C:$C,MATCH("End Year",Inputs!$B:$B,0))*12),-MAX(DR51+DR52-DR54,0),0),0)</f>
        <v>0</v>
      </c>
      <c r="DS55" s="44">
        <f t="array" ref="DS55">IF(DS$3&lt;=INDEX(Inputs!$C:$C,MATCH("End Year",Inputs!$B:$B,0))*12,IF(OR(DS$3=INDEX(Inputs!$C:$C,MATCH("*Bank Loan Balloon*",Inputs!$B:$B,0))*12,DS$3=INDEX(Inputs!$C:$C,MATCH("End Year",Inputs!$B:$B,0))*12),-MAX(DS51+DS52-DS54,0),0),0)</f>
        <v>0</v>
      </c>
    </row>
    <row r="56" ht="15.0" customHeight="1">
      <c r="A56" s="44"/>
      <c r="B56" s="101" t="s">
        <v>344</v>
      </c>
      <c r="C56" s="173">
        <f t="array" ref="C56">IF(C$3&lt;=INDEX(Inputs!$C:$C,MATCH("End Year",Inputs!$B:$B,0))*12,MAX(C51+C52-C54+C55,0),0)</f>
        <v>0</v>
      </c>
      <c r="D56" s="173">
        <f t="array" ref="D56">IF(D$3&lt;=INDEX(Inputs!$C:$C,MATCH("End Year",Inputs!$B:$B,0))*12,MAX(D51+D52-D54+D55,0),0)</f>
        <v>0</v>
      </c>
      <c r="E56" s="173">
        <f t="array" ref="E56">IF(E$3&lt;=INDEX(Inputs!$C:$C,MATCH("End Year",Inputs!$B:$B,0))*12,MAX(E51+E52-E54+E55,0),0)</f>
        <v>0</v>
      </c>
      <c r="F56" s="173">
        <f t="array" ref="F56">IF(F$3&lt;=INDEX(Inputs!$C:$C,MATCH("End Year",Inputs!$B:$B,0))*12,MAX(F51+F52-F54+F55,0),0)</f>
        <v>0</v>
      </c>
      <c r="G56" s="173">
        <f t="array" ref="G56">IF(G$3&lt;=INDEX(Inputs!$C:$C,MATCH("End Year",Inputs!$B:$B,0))*12,MAX(G51+G52-G54+G55,0),0)</f>
        <v>0</v>
      </c>
      <c r="H56" s="173">
        <f t="array" ref="H56">IF(H$3&lt;=INDEX(Inputs!$C:$C,MATCH("End Year",Inputs!$B:$B,0))*12,MAX(H51+H52-H54+H55,0),0)</f>
        <v>0</v>
      </c>
      <c r="I56" s="173">
        <f t="array" ref="I56">IF(I$3&lt;=INDEX(Inputs!$C:$C,MATCH("End Year",Inputs!$B:$B,0))*12,MAX(I51+I52-I54+I55,0),0)</f>
        <v>0</v>
      </c>
      <c r="J56" s="173">
        <f t="array" ref="J56">IF(J$3&lt;=INDEX(Inputs!$C:$C,MATCH("End Year",Inputs!$B:$B,0))*12,MAX(J51+J52-J54+J55,0),0)</f>
        <v>0</v>
      </c>
      <c r="K56" s="173">
        <f t="array" ref="K56">IF(K$3&lt;=INDEX(Inputs!$C:$C,MATCH("End Year",Inputs!$B:$B,0))*12,MAX(K51+K52-K54+K55,0),0)</f>
        <v>0</v>
      </c>
      <c r="L56" s="173">
        <f t="array" ref="L56">IF(L$3&lt;=INDEX(Inputs!$C:$C,MATCH("End Year",Inputs!$B:$B,0))*12,MAX(L51+L52-L54+L55,0),0)</f>
        <v>0</v>
      </c>
      <c r="M56" s="173">
        <f t="array" ref="M56">IF(M$3&lt;=INDEX(Inputs!$C:$C,MATCH("End Year",Inputs!$B:$B,0))*12,MAX(M51+M52-M54+M55,0),0)</f>
        <v>0</v>
      </c>
      <c r="N56" s="173">
        <f t="array" ref="N56">IF(N$3&lt;=INDEX(Inputs!$C:$C,MATCH("End Year",Inputs!$B:$B,0))*12,MAX(N51+N52-N54+N55,0),0)</f>
        <v>0</v>
      </c>
      <c r="O56" s="173">
        <f t="array" ref="O56">IF(O$3&lt;=INDEX(Inputs!$C:$C,MATCH("End Year",Inputs!$B:$B,0))*12,MAX(O51+O52-O54+O55,0),0)</f>
        <v>0</v>
      </c>
      <c r="P56" s="173">
        <f t="array" ref="P56">IF(P$3&lt;=INDEX(Inputs!$C:$C,MATCH("End Year",Inputs!$B:$B,0))*12,MAX(P51+P52-P54+P55,0),0)</f>
        <v>0</v>
      </c>
      <c r="Q56" s="173">
        <f t="array" ref="Q56">IF(Q$3&lt;=INDEX(Inputs!$C:$C,MATCH("End Year",Inputs!$B:$B,0))*12,MAX(Q51+Q52-Q54+Q55,0),0)</f>
        <v>0</v>
      </c>
      <c r="R56" s="173">
        <f t="array" ref="R56">IF(R$3&lt;=INDEX(Inputs!$C:$C,MATCH("End Year",Inputs!$B:$B,0))*12,MAX(R51+R52-R54+R55,0),0)</f>
        <v>0</v>
      </c>
      <c r="S56" s="173">
        <f t="array" ref="S56">IF(S$3&lt;=INDEX(Inputs!$C:$C,MATCH("End Year",Inputs!$B:$B,0))*12,MAX(S51+S52-S54+S55,0),0)</f>
        <v>0</v>
      </c>
      <c r="T56" s="173">
        <f t="array" ref="T56">IF(T$3&lt;=INDEX(Inputs!$C:$C,MATCH("End Year",Inputs!$B:$B,0))*12,MAX(T51+T52-T54+T55,0),0)</f>
        <v>0</v>
      </c>
      <c r="U56" s="173">
        <f t="array" ref="U56">IF(U$3&lt;=INDEX(Inputs!$C:$C,MATCH("End Year",Inputs!$B:$B,0))*12,MAX(U51+U52-U54+U55,0),0)</f>
        <v>0</v>
      </c>
      <c r="V56" s="173">
        <f t="array" ref="V56">IF(V$3&lt;=INDEX(Inputs!$C:$C,MATCH("End Year",Inputs!$B:$B,0))*12,MAX(V51+V52-V54+V55,0),0)</f>
        <v>0</v>
      </c>
      <c r="W56" s="173">
        <f t="array" ref="W56">IF(W$3&lt;=INDEX(Inputs!$C:$C,MATCH("End Year",Inputs!$B:$B,0))*12,MAX(W51+W52-W54+W55,0),0)</f>
        <v>0</v>
      </c>
      <c r="X56" s="173">
        <f t="array" ref="X56">IF(X$3&lt;=INDEX(Inputs!$C:$C,MATCH("End Year",Inputs!$B:$B,0))*12,MAX(X51+X52-X54+X55,0),0)</f>
        <v>0</v>
      </c>
      <c r="Y56" s="173">
        <f t="array" ref="Y56">IF(Y$3&lt;=INDEX(Inputs!$C:$C,MATCH("End Year",Inputs!$B:$B,0))*12,MAX(Y51+Y52-Y54+Y55,0),0)</f>
        <v>0</v>
      </c>
      <c r="Z56" s="173">
        <f t="array" ref="Z56">IF(Z$3&lt;=INDEX(Inputs!$C:$C,MATCH("End Year",Inputs!$B:$B,0))*12,MAX(Z51+Z52-Z54+Z55,0),0)</f>
        <v>0</v>
      </c>
      <c r="AA56" s="173">
        <f t="array" ref="AA56">IF(AA$3&lt;=INDEX(Inputs!$C:$C,MATCH("End Year",Inputs!$B:$B,0))*12,MAX(AA51+AA52-AA54+AA55,0),0)</f>
        <v>0</v>
      </c>
      <c r="AB56" s="173">
        <f t="array" ref="AB56">IF(AB$3&lt;=INDEX(Inputs!$C:$C,MATCH("End Year",Inputs!$B:$B,0))*12,MAX(AB51+AB52-AB54+AB55,0),0)</f>
        <v>0</v>
      </c>
      <c r="AC56" s="173">
        <f t="array" ref="AC56">IF(AC$3&lt;=INDEX(Inputs!$C:$C,MATCH("End Year",Inputs!$B:$B,0))*12,MAX(AC51+AC52-AC54+AC55,0),0)</f>
        <v>0</v>
      </c>
      <c r="AD56" s="173">
        <f t="array" ref="AD56">IF(AD$3&lt;=INDEX(Inputs!$C:$C,MATCH("End Year",Inputs!$B:$B,0))*12,MAX(AD51+AD52-AD54+AD55,0),0)</f>
        <v>0</v>
      </c>
      <c r="AE56" s="173">
        <f t="array" ref="AE56">IF(AE$3&lt;=INDEX(Inputs!$C:$C,MATCH("End Year",Inputs!$B:$B,0))*12,MAX(AE51+AE52-AE54+AE55,0),0)</f>
        <v>0</v>
      </c>
      <c r="AF56" s="173">
        <f t="array" ref="AF56">IF(AF$3&lt;=INDEX(Inputs!$C:$C,MATCH("End Year",Inputs!$B:$B,0))*12,MAX(AF51+AF52-AF54+AF55,0),0)</f>
        <v>0</v>
      </c>
      <c r="AG56" s="173">
        <f t="array" ref="AG56">IF(AG$3&lt;=INDEX(Inputs!$C:$C,MATCH("End Year",Inputs!$B:$B,0))*12,MAX(AG51+AG52-AG54+AG55,0),0)</f>
        <v>0</v>
      </c>
      <c r="AH56" s="173">
        <f t="array" ref="AH56">IF(AH$3&lt;=INDEX(Inputs!$C:$C,MATCH("End Year",Inputs!$B:$B,0))*12,MAX(AH51+AH52-AH54+AH55,0),0)</f>
        <v>0</v>
      </c>
      <c r="AI56" s="173">
        <f t="array" ref="AI56">IF(AI$3&lt;=INDEX(Inputs!$C:$C,MATCH("End Year",Inputs!$B:$B,0))*12,MAX(AI51+AI52-AI54+AI55,0),0)</f>
        <v>0</v>
      </c>
      <c r="AJ56" s="173">
        <f t="array" ref="AJ56">IF(AJ$3&lt;=INDEX(Inputs!$C:$C,MATCH("End Year",Inputs!$B:$B,0))*12,MAX(AJ51+AJ52-AJ54+AJ55,0),0)</f>
        <v>0</v>
      </c>
      <c r="AK56" s="173">
        <f t="array" ref="AK56">IF(AK$3&lt;=INDEX(Inputs!$C:$C,MATCH("End Year",Inputs!$B:$B,0))*12,MAX(AK51+AK52-AK54+AK55,0),0)</f>
        <v>0</v>
      </c>
      <c r="AL56" s="173">
        <f t="array" ref="AL56">IF(AL$3&lt;=INDEX(Inputs!$C:$C,MATCH("End Year",Inputs!$B:$B,0))*12,MAX(AL51+AL52-AL54+AL55,0),0)</f>
        <v>0</v>
      </c>
      <c r="AM56" s="173">
        <f t="array" ref="AM56">IF(AM$3&lt;=INDEX(Inputs!$C:$C,MATCH("End Year",Inputs!$B:$B,0))*12,MAX(AM51+AM52-AM54+AM55,0),0)</f>
        <v>0</v>
      </c>
      <c r="AN56" s="173">
        <f t="array" ref="AN56">IF(AN$3&lt;=INDEX(Inputs!$C:$C,MATCH("End Year",Inputs!$B:$B,0))*12,MAX(AN51+AN52-AN54+AN55,0),0)</f>
        <v>0</v>
      </c>
      <c r="AO56" s="173">
        <f t="array" ref="AO56">IF(AO$3&lt;=INDEX(Inputs!$C:$C,MATCH("End Year",Inputs!$B:$B,0))*12,MAX(AO51+AO52-AO54+AO55,0),0)</f>
        <v>0</v>
      </c>
      <c r="AP56" s="173">
        <f t="array" ref="AP56">IF(AP$3&lt;=INDEX(Inputs!$C:$C,MATCH("End Year",Inputs!$B:$B,0))*12,MAX(AP51+AP52-AP54+AP55,0),0)</f>
        <v>0</v>
      </c>
      <c r="AQ56" s="173">
        <f t="array" ref="AQ56">IF(AQ$3&lt;=INDEX(Inputs!$C:$C,MATCH("End Year",Inputs!$B:$B,0))*12,MAX(AQ51+AQ52-AQ54+AQ55,0),0)</f>
        <v>0</v>
      </c>
      <c r="AR56" s="173">
        <f t="array" ref="AR56">IF(AR$3&lt;=INDEX(Inputs!$C:$C,MATCH("End Year",Inputs!$B:$B,0))*12,MAX(AR51+AR52-AR54+AR55,0),0)</f>
        <v>0</v>
      </c>
      <c r="AS56" s="173">
        <f t="array" ref="AS56">IF(AS$3&lt;=INDEX(Inputs!$C:$C,MATCH("End Year",Inputs!$B:$B,0))*12,MAX(AS51+AS52-AS54+AS55,0),0)</f>
        <v>0</v>
      </c>
      <c r="AT56" s="173">
        <f t="array" ref="AT56">IF(AT$3&lt;=INDEX(Inputs!$C:$C,MATCH("End Year",Inputs!$B:$B,0))*12,MAX(AT51+AT52-AT54+AT55,0),0)</f>
        <v>0</v>
      </c>
      <c r="AU56" s="173">
        <f t="array" ref="AU56">IF(AU$3&lt;=INDEX(Inputs!$C:$C,MATCH("End Year",Inputs!$B:$B,0))*12,MAX(AU51+AU52-AU54+AU55,0),0)</f>
        <v>0</v>
      </c>
      <c r="AV56" s="173">
        <f t="array" ref="AV56">IF(AV$3&lt;=INDEX(Inputs!$C:$C,MATCH("End Year",Inputs!$B:$B,0))*12,MAX(AV51+AV52-AV54+AV55,0),0)</f>
        <v>0</v>
      </c>
      <c r="AW56" s="173">
        <f t="array" ref="AW56">IF(AW$3&lt;=INDEX(Inputs!$C:$C,MATCH("End Year",Inputs!$B:$B,0))*12,MAX(AW51+AW52-AW54+AW55,0),0)</f>
        <v>0</v>
      </c>
      <c r="AX56" s="173">
        <f t="array" ref="AX56">IF(AX$3&lt;=INDEX(Inputs!$C:$C,MATCH("End Year",Inputs!$B:$B,0))*12,MAX(AX51+AX52-AX54+AX55,0),0)</f>
        <v>0</v>
      </c>
      <c r="AY56" s="173">
        <f t="array" ref="AY56">IF(AY$3&lt;=INDEX(Inputs!$C:$C,MATCH("End Year",Inputs!$B:$B,0))*12,MAX(AY51+AY52-AY54+AY55,0),0)</f>
        <v>0</v>
      </c>
      <c r="AZ56" s="173">
        <f t="array" ref="AZ56">IF(AZ$3&lt;=INDEX(Inputs!$C:$C,MATCH("End Year",Inputs!$B:$B,0))*12,MAX(AZ51+AZ52-AZ54+AZ55,0),0)</f>
        <v>0</v>
      </c>
      <c r="BA56" s="173">
        <f t="array" ref="BA56">IF(BA$3&lt;=INDEX(Inputs!$C:$C,MATCH("End Year",Inputs!$B:$B,0))*12,MAX(BA51+BA52-BA54+BA55,0),0)</f>
        <v>0</v>
      </c>
      <c r="BB56" s="173">
        <f t="array" ref="BB56">IF(BB$3&lt;=INDEX(Inputs!$C:$C,MATCH("End Year",Inputs!$B:$B,0))*12,MAX(BB51+BB52-BB54+BB55,0),0)</f>
        <v>0</v>
      </c>
      <c r="BC56" s="173">
        <f t="array" ref="BC56">IF(BC$3&lt;=INDEX(Inputs!$C:$C,MATCH("End Year",Inputs!$B:$B,0))*12,MAX(BC51+BC52-BC54+BC55,0),0)</f>
        <v>0</v>
      </c>
      <c r="BD56" s="173">
        <f t="array" ref="BD56">IF(BD$3&lt;=INDEX(Inputs!$C:$C,MATCH("End Year",Inputs!$B:$B,0))*12,MAX(BD51+BD52-BD54+BD55,0),0)</f>
        <v>0</v>
      </c>
      <c r="BE56" s="173">
        <f t="array" ref="BE56">IF(BE$3&lt;=INDEX(Inputs!$C:$C,MATCH("End Year",Inputs!$B:$B,0))*12,MAX(BE51+BE52-BE54+BE55,0),0)</f>
        <v>0</v>
      </c>
      <c r="BF56" s="173">
        <f t="array" ref="BF56">IF(BF$3&lt;=INDEX(Inputs!$C:$C,MATCH("End Year",Inputs!$B:$B,0))*12,MAX(BF51+BF52-BF54+BF55,0),0)</f>
        <v>0</v>
      </c>
      <c r="BG56" s="173">
        <f t="array" ref="BG56">IF(BG$3&lt;=INDEX(Inputs!$C:$C,MATCH("End Year",Inputs!$B:$B,0))*12,MAX(BG51+BG52-BG54+BG55,0),0)</f>
        <v>0</v>
      </c>
      <c r="BH56" s="173">
        <f t="array" ref="BH56">IF(BH$3&lt;=INDEX(Inputs!$C:$C,MATCH("End Year",Inputs!$B:$B,0))*12,MAX(BH51+BH52-BH54+BH55,0),0)</f>
        <v>0</v>
      </c>
      <c r="BI56" s="173">
        <f t="array" ref="BI56">IF(BI$3&lt;=INDEX(Inputs!$C:$C,MATCH("End Year",Inputs!$B:$B,0))*12,MAX(BI51+BI52-BI54+BI55,0),0)</f>
        <v>0</v>
      </c>
      <c r="BJ56" s="173">
        <f t="array" ref="BJ56">IF(BJ$3&lt;=INDEX(Inputs!$C:$C,MATCH("End Year",Inputs!$B:$B,0))*12,MAX(BJ51+BJ52-BJ54+BJ55,0),0)</f>
        <v>0</v>
      </c>
      <c r="BK56" s="173">
        <f t="array" ref="BK56">IF(BK$3&lt;=INDEX(Inputs!$C:$C,MATCH("End Year",Inputs!$B:$B,0))*12,MAX(BK51+BK52-BK54+BK55,0),0)</f>
        <v>0</v>
      </c>
      <c r="BL56" s="173">
        <f t="array" ref="BL56">IF(BL$3&lt;=INDEX(Inputs!$C:$C,MATCH("End Year",Inputs!$B:$B,0))*12,MAX(BL51+BL52-BL54+BL55,0),0)</f>
        <v>0</v>
      </c>
      <c r="BM56" s="173">
        <f t="array" ref="BM56">IF(BM$3&lt;=INDEX(Inputs!$C:$C,MATCH("End Year",Inputs!$B:$B,0))*12,MAX(BM51+BM52-BM54+BM55,0),0)</f>
        <v>0</v>
      </c>
      <c r="BN56" s="173">
        <f t="array" ref="BN56">IF(BN$3&lt;=INDEX(Inputs!$C:$C,MATCH("End Year",Inputs!$B:$B,0))*12,MAX(BN51+BN52-BN54+BN55,0),0)</f>
        <v>0</v>
      </c>
      <c r="BO56" s="173">
        <f t="array" ref="BO56">IF(BO$3&lt;=INDEX(Inputs!$C:$C,MATCH("End Year",Inputs!$B:$B,0))*12,MAX(BO51+BO52-BO54+BO55,0),0)</f>
        <v>0</v>
      </c>
      <c r="BP56" s="173">
        <f t="array" ref="BP56">IF(BP$3&lt;=INDEX(Inputs!$C:$C,MATCH("End Year",Inputs!$B:$B,0))*12,MAX(BP51+BP52-BP54+BP55,0),0)</f>
        <v>0</v>
      </c>
      <c r="BQ56" s="173">
        <f t="array" ref="BQ56">IF(BQ$3&lt;=INDEX(Inputs!$C:$C,MATCH("End Year",Inputs!$B:$B,0))*12,MAX(BQ51+BQ52-BQ54+BQ55,0),0)</f>
        <v>0</v>
      </c>
      <c r="BR56" s="173">
        <f t="array" ref="BR56">IF(BR$3&lt;=INDEX(Inputs!$C:$C,MATCH("End Year",Inputs!$B:$B,0))*12,MAX(BR51+BR52-BR54+BR55,0),0)</f>
        <v>0</v>
      </c>
      <c r="BS56" s="173">
        <f t="array" ref="BS56">IF(BS$3&lt;=INDEX(Inputs!$C:$C,MATCH("End Year",Inputs!$B:$B,0))*12,MAX(BS51+BS52-BS54+BS55,0),0)</f>
        <v>0</v>
      </c>
      <c r="BT56" s="173">
        <f t="array" ref="BT56">IF(BT$3&lt;=INDEX(Inputs!$C:$C,MATCH("End Year",Inputs!$B:$B,0))*12,MAX(BT51+BT52-BT54+BT55,0),0)</f>
        <v>0</v>
      </c>
      <c r="BU56" s="173">
        <f t="array" ref="BU56">IF(BU$3&lt;=INDEX(Inputs!$C:$C,MATCH("End Year",Inputs!$B:$B,0))*12,MAX(BU51+BU52-BU54+BU55,0),0)</f>
        <v>0</v>
      </c>
      <c r="BV56" s="173">
        <f t="array" ref="BV56">IF(BV$3&lt;=INDEX(Inputs!$C:$C,MATCH("End Year",Inputs!$B:$B,0))*12,MAX(BV51+BV52-BV54+BV55,0),0)</f>
        <v>0</v>
      </c>
      <c r="BW56" s="173">
        <f t="array" ref="BW56">IF(BW$3&lt;=INDEX(Inputs!$C:$C,MATCH("End Year",Inputs!$B:$B,0))*12,MAX(BW51+BW52-BW54+BW55,0),0)</f>
        <v>0</v>
      </c>
      <c r="BX56" s="173">
        <f t="array" ref="BX56">IF(BX$3&lt;=INDEX(Inputs!$C:$C,MATCH("End Year",Inputs!$B:$B,0))*12,MAX(BX51+BX52-BX54+BX55,0),0)</f>
        <v>0</v>
      </c>
      <c r="BY56" s="173">
        <f t="array" ref="BY56">IF(BY$3&lt;=INDEX(Inputs!$C:$C,MATCH("End Year",Inputs!$B:$B,0))*12,MAX(BY51+BY52-BY54+BY55,0),0)</f>
        <v>0</v>
      </c>
      <c r="BZ56" s="173">
        <f t="array" ref="BZ56">IF(BZ$3&lt;=INDEX(Inputs!$C:$C,MATCH("End Year",Inputs!$B:$B,0))*12,MAX(BZ51+BZ52-BZ54+BZ55,0),0)</f>
        <v>0</v>
      </c>
      <c r="CA56" s="173">
        <f t="array" ref="CA56">IF(CA$3&lt;=INDEX(Inputs!$C:$C,MATCH("End Year",Inputs!$B:$B,0))*12,MAX(CA51+CA52-CA54+CA55,0),0)</f>
        <v>0</v>
      </c>
      <c r="CB56" s="173">
        <f t="array" ref="CB56">IF(CB$3&lt;=INDEX(Inputs!$C:$C,MATCH("End Year",Inputs!$B:$B,0))*12,MAX(CB51+CB52-CB54+CB55,0),0)</f>
        <v>0</v>
      </c>
      <c r="CC56" s="173">
        <f t="array" ref="CC56">IF(CC$3&lt;=INDEX(Inputs!$C:$C,MATCH("End Year",Inputs!$B:$B,0))*12,MAX(CC51+CC52-CC54+CC55,0),0)</f>
        <v>0</v>
      </c>
      <c r="CD56" s="173">
        <f t="array" ref="CD56">IF(CD$3&lt;=INDEX(Inputs!$C:$C,MATCH("End Year",Inputs!$B:$B,0))*12,MAX(CD51+CD52-CD54+CD55,0),0)</f>
        <v>0</v>
      </c>
      <c r="CE56" s="173">
        <f t="array" ref="CE56">IF(CE$3&lt;=INDEX(Inputs!$C:$C,MATCH("End Year",Inputs!$B:$B,0))*12,MAX(CE51+CE52-CE54+CE55,0),0)</f>
        <v>0</v>
      </c>
      <c r="CF56" s="173">
        <f t="array" ref="CF56">IF(CF$3&lt;=INDEX(Inputs!$C:$C,MATCH("End Year",Inputs!$B:$B,0))*12,MAX(CF51+CF52-CF54+CF55,0),0)</f>
        <v>0</v>
      </c>
      <c r="CG56" s="173">
        <f t="array" ref="CG56">IF(CG$3&lt;=INDEX(Inputs!$C:$C,MATCH("End Year",Inputs!$B:$B,0))*12,MAX(CG51+CG52-CG54+CG55,0),0)</f>
        <v>0</v>
      </c>
      <c r="CH56" s="173">
        <f t="array" ref="CH56">IF(CH$3&lt;=INDEX(Inputs!$C:$C,MATCH("End Year",Inputs!$B:$B,0))*12,MAX(CH51+CH52-CH54+CH55,0),0)</f>
        <v>0</v>
      </c>
      <c r="CI56" s="173">
        <f t="array" ref="CI56">IF(CI$3&lt;=INDEX(Inputs!$C:$C,MATCH("End Year",Inputs!$B:$B,0))*12,MAX(CI51+CI52-CI54+CI55,0),0)</f>
        <v>0</v>
      </c>
      <c r="CJ56" s="173">
        <f t="array" ref="CJ56">IF(CJ$3&lt;=INDEX(Inputs!$C:$C,MATCH("End Year",Inputs!$B:$B,0))*12,MAX(CJ51+CJ52-CJ54+CJ55,0),0)</f>
        <v>0</v>
      </c>
      <c r="CK56" s="173">
        <f t="array" ref="CK56">IF(CK$3&lt;=INDEX(Inputs!$C:$C,MATCH("End Year",Inputs!$B:$B,0))*12,MAX(CK51+CK52-CK54+CK55,0),0)</f>
        <v>0</v>
      </c>
      <c r="CL56" s="173">
        <f t="array" ref="CL56">IF(CL$3&lt;=INDEX(Inputs!$C:$C,MATCH("End Year",Inputs!$B:$B,0))*12,MAX(CL51+CL52-CL54+CL55,0),0)</f>
        <v>0</v>
      </c>
      <c r="CM56" s="173">
        <f t="array" ref="CM56">IF(CM$3&lt;=INDEX(Inputs!$C:$C,MATCH("End Year",Inputs!$B:$B,0))*12,MAX(CM51+CM52-CM54+CM55,0),0)</f>
        <v>0</v>
      </c>
      <c r="CN56" s="173">
        <f t="array" ref="CN56">IF(CN$3&lt;=INDEX(Inputs!$C:$C,MATCH("End Year",Inputs!$B:$B,0))*12,MAX(CN51+CN52-CN54+CN55,0),0)</f>
        <v>0</v>
      </c>
      <c r="CO56" s="173">
        <f t="array" ref="CO56">IF(CO$3&lt;=INDEX(Inputs!$C:$C,MATCH("End Year",Inputs!$B:$B,0))*12,MAX(CO51+CO52-CO54+CO55,0),0)</f>
        <v>0</v>
      </c>
      <c r="CP56" s="173">
        <f t="array" ref="CP56">IF(CP$3&lt;=INDEX(Inputs!$C:$C,MATCH("End Year",Inputs!$B:$B,0))*12,MAX(CP51+CP52-CP54+CP55,0),0)</f>
        <v>0</v>
      </c>
      <c r="CQ56" s="173">
        <f t="array" ref="CQ56">IF(CQ$3&lt;=INDEX(Inputs!$C:$C,MATCH("End Year",Inputs!$B:$B,0))*12,MAX(CQ51+CQ52-CQ54+CQ55,0),0)</f>
        <v>0</v>
      </c>
      <c r="CR56" s="173">
        <f t="array" ref="CR56">IF(CR$3&lt;=INDEX(Inputs!$C:$C,MATCH("End Year",Inputs!$B:$B,0))*12,MAX(CR51+CR52-CR54+CR55,0),0)</f>
        <v>0</v>
      </c>
      <c r="CS56" s="173">
        <f t="array" ref="CS56">IF(CS$3&lt;=INDEX(Inputs!$C:$C,MATCH("End Year",Inputs!$B:$B,0))*12,MAX(CS51+CS52-CS54+CS55,0),0)</f>
        <v>0</v>
      </c>
      <c r="CT56" s="173">
        <f t="array" ref="CT56">IF(CT$3&lt;=INDEX(Inputs!$C:$C,MATCH("End Year",Inputs!$B:$B,0))*12,MAX(CT51+CT52-CT54+CT55,0),0)</f>
        <v>0</v>
      </c>
      <c r="CU56" s="173">
        <f t="array" ref="CU56">IF(CU$3&lt;=INDEX(Inputs!$C:$C,MATCH("End Year",Inputs!$B:$B,0))*12,MAX(CU51+CU52-CU54+CU55,0),0)</f>
        <v>0</v>
      </c>
      <c r="CV56" s="173">
        <f t="array" ref="CV56">IF(CV$3&lt;=INDEX(Inputs!$C:$C,MATCH("End Year",Inputs!$B:$B,0))*12,MAX(CV51+CV52-CV54+CV55,0),0)</f>
        <v>0</v>
      </c>
      <c r="CW56" s="173">
        <f t="array" ref="CW56">IF(CW$3&lt;=INDEX(Inputs!$C:$C,MATCH("End Year",Inputs!$B:$B,0))*12,MAX(CW51+CW52-CW54+CW55,0),0)</f>
        <v>0</v>
      </c>
      <c r="CX56" s="173">
        <f t="array" ref="CX56">IF(CX$3&lt;=INDEX(Inputs!$C:$C,MATCH("End Year",Inputs!$B:$B,0))*12,MAX(CX51+CX52-CX54+CX55,0),0)</f>
        <v>0</v>
      </c>
      <c r="CY56" s="173">
        <f t="array" ref="CY56">IF(CY$3&lt;=INDEX(Inputs!$C:$C,MATCH("End Year",Inputs!$B:$B,0))*12,MAX(CY51+CY52-CY54+CY55,0),0)</f>
        <v>0</v>
      </c>
      <c r="CZ56" s="173">
        <f t="array" ref="CZ56">IF(CZ$3&lt;=INDEX(Inputs!$C:$C,MATCH("End Year",Inputs!$B:$B,0))*12,MAX(CZ51+CZ52-CZ54+CZ55,0),0)</f>
        <v>0</v>
      </c>
      <c r="DA56" s="173">
        <f t="array" ref="DA56">IF(DA$3&lt;=INDEX(Inputs!$C:$C,MATCH("End Year",Inputs!$B:$B,0))*12,MAX(DA51+DA52-DA54+DA55,0),0)</f>
        <v>0</v>
      </c>
      <c r="DB56" s="173">
        <f t="array" ref="DB56">IF(DB$3&lt;=INDEX(Inputs!$C:$C,MATCH("End Year",Inputs!$B:$B,0))*12,MAX(DB51+DB52-DB54+DB55,0),0)</f>
        <v>0</v>
      </c>
      <c r="DC56" s="173">
        <f t="array" ref="DC56">IF(DC$3&lt;=INDEX(Inputs!$C:$C,MATCH("End Year",Inputs!$B:$B,0))*12,MAX(DC51+DC52-DC54+DC55,0),0)</f>
        <v>0</v>
      </c>
      <c r="DD56" s="173">
        <f t="array" ref="DD56">IF(DD$3&lt;=INDEX(Inputs!$C:$C,MATCH("End Year",Inputs!$B:$B,0))*12,MAX(DD51+DD52-DD54+DD55,0),0)</f>
        <v>0</v>
      </c>
      <c r="DE56" s="173">
        <f t="array" ref="DE56">IF(DE$3&lt;=INDEX(Inputs!$C:$C,MATCH("End Year",Inputs!$B:$B,0))*12,MAX(DE51+DE52-DE54+DE55,0),0)</f>
        <v>0</v>
      </c>
      <c r="DF56" s="173">
        <f t="array" ref="DF56">IF(DF$3&lt;=INDEX(Inputs!$C:$C,MATCH("End Year",Inputs!$B:$B,0))*12,MAX(DF51+DF52-DF54+DF55,0),0)</f>
        <v>0</v>
      </c>
      <c r="DG56" s="173">
        <f t="array" ref="DG56">IF(DG$3&lt;=INDEX(Inputs!$C:$C,MATCH("End Year",Inputs!$B:$B,0))*12,MAX(DG51+DG52-DG54+DG55,0),0)</f>
        <v>0</v>
      </c>
      <c r="DH56" s="173">
        <f t="array" ref="DH56">IF(DH$3&lt;=INDEX(Inputs!$C:$C,MATCH("End Year",Inputs!$B:$B,0))*12,MAX(DH51+DH52-DH54+DH55,0),0)</f>
        <v>0</v>
      </c>
      <c r="DI56" s="173">
        <f t="array" ref="DI56">IF(DI$3&lt;=INDEX(Inputs!$C:$C,MATCH("End Year",Inputs!$B:$B,0))*12,MAX(DI51+DI52-DI54+DI55,0),0)</f>
        <v>0</v>
      </c>
      <c r="DJ56" s="173">
        <f t="array" ref="DJ56">IF(DJ$3&lt;=INDEX(Inputs!$C:$C,MATCH("End Year",Inputs!$B:$B,0))*12,MAX(DJ51+DJ52-DJ54+DJ55,0),0)</f>
        <v>0</v>
      </c>
      <c r="DK56" s="173">
        <f t="array" ref="DK56">IF(DK$3&lt;=INDEX(Inputs!$C:$C,MATCH("End Year",Inputs!$B:$B,0))*12,MAX(DK51+DK52-DK54+DK55,0),0)</f>
        <v>0</v>
      </c>
      <c r="DL56" s="173">
        <f t="array" ref="DL56">IF(DL$3&lt;=INDEX(Inputs!$C:$C,MATCH("End Year",Inputs!$B:$B,0))*12,MAX(DL51+DL52-DL54+DL55,0),0)</f>
        <v>0</v>
      </c>
      <c r="DM56" s="173">
        <f t="array" ref="DM56">IF(DM$3&lt;=INDEX(Inputs!$C:$C,MATCH("End Year",Inputs!$B:$B,0))*12,MAX(DM51+DM52-DM54+DM55,0),0)</f>
        <v>0</v>
      </c>
      <c r="DN56" s="173">
        <f t="array" ref="DN56">IF(DN$3&lt;=INDEX(Inputs!$C:$C,MATCH("End Year",Inputs!$B:$B,0))*12,MAX(DN51+DN52-DN54+DN55,0),0)</f>
        <v>0</v>
      </c>
      <c r="DO56" s="173">
        <f t="array" ref="DO56">IF(DO$3&lt;=INDEX(Inputs!$C:$C,MATCH("End Year",Inputs!$B:$B,0))*12,MAX(DO51+DO52-DO54+DO55,0),0)</f>
        <v>0</v>
      </c>
      <c r="DP56" s="173">
        <f t="array" ref="DP56">IF(DP$3&lt;=INDEX(Inputs!$C:$C,MATCH("End Year",Inputs!$B:$B,0))*12,MAX(DP51+DP52-DP54+DP55,0),0)</f>
        <v>0</v>
      </c>
      <c r="DQ56" s="173">
        <f t="array" ref="DQ56">IF(DQ$3&lt;=INDEX(Inputs!$C:$C,MATCH("End Year",Inputs!$B:$B,0))*12,MAX(DQ51+DQ52-DQ54+DQ55,0),0)</f>
        <v>0</v>
      </c>
      <c r="DR56" s="173">
        <f t="array" ref="DR56">IF(DR$3&lt;=INDEX(Inputs!$C:$C,MATCH("End Year",Inputs!$B:$B,0))*12,MAX(DR51+DR52-DR54+DR55,0),0)</f>
        <v>0</v>
      </c>
      <c r="DS56" s="44">
        <f t="array" ref="DS56">IF(DS$3&lt;=INDEX(Inputs!$C:$C,MATCH("End Year",Inputs!$B:$B,0))*12,MAX(DS51+DS52-DS54+DS55,0),0)</f>
        <v>0</v>
      </c>
    </row>
    <row r="57" ht="15.0" customHeight="1">
      <c r="A57" s="44"/>
      <c r="B57" s="46" t="s">
        <v>348</v>
      </c>
      <c r="C57" s="152">
        <f t="array" ref="C57">IF(C$3&lt;=INDEX(Inputs!$C:$C,MATCH("End Year",Inputs!$B:$B,0))*12,C53-C54+C55,0)</f>
        <v>0</v>
      </c>
      <c r="D57" s="152">
        <f t="array" ref="D57">IF(D$3&lt;=INDEX(Inputs!$C:$C,MATCH("End Year",Inputs!$B:$B,0))*12,D53-D54+D55,0)</f>
        <v>0</v>
      </c>
      <c r="E57" s="152">
        <f t="array" ref="E57">IF(E$3&lt;=INDEX(Inputs!$C:$C,MATCH("End Year",Inputs!$B:$B,0))*12,E53-E54+E55,0)</f>
        <v>0</v>
      </c>
      <c r="F57" s="152">
        <f t="array" ref="F57">IF(F$3&lt;=INDEX(Inputs!$C:$C,MATCH("End Year",Inputs!$B:$B,0))*12,F53-F54+F55,0)</f>
        <v>0</v>
      </c>
      <c r="G57" s="152">
        <f t="array" ref="G57">IF(G$3&lt;=INDEX(Inputs!$C:$C,MATCH("End Year",Inputs!$B:$B,0))*12,G53-G54+G55,0)</f>
        <v>0</v>
      </c>
      <c r="H57" s="152">
        <f t="array" ref="H57">IF(H$3&lt;=INDEX(Inputs!$C:$C,MATCH("End Year",Inputs!$B:$B,0))*12,H53-H54+H55,0)</f>
        <v>0</v>
      </c>
      <c r="I57" s="152">
        <f t="array" ref="I57">IF(I$3&lt;=INDEX(Inputs!$C:$C,MATCH("End Year",Inputs!$B:$B,0))*12,I53-I54+I55,0)</f>
        <v>0</v>
      </c>
      <c r="J57" s="152">
        <f t="array" ref="J57">IF(J$3&lt;=INDEX(Inputs!$C:$C,MATCH("End Year",Inputs!$B:$B,0))*12,J53-J54+J55,0)</f>
        <v>0</v>
      </c>
      <c r="K57" s="152">
        <f t="array" ref="K57">IF(K$3&lt;=INDEX(Inputs!$C:$C,MATCH("End Year",Inputs!$B:$B,0))*12,K53-K54+K55,0)</f>
        <v>0</v>
      </c>
      <c r="L57" s="152">
        <f t="array" ref="L57">IF(L$3&lt;=INDEX(Inputs!$C:$C,MATCH("End Year",Inputs!$B:$B,0))*12,L53-L54+L55,0)</f>
        <v>0</v>
      </c>
      <c r="M57" s="152">
        <f t="array" ref="M57">IF(M$3&lt;=INDEX(Inputs!$C:$C,MATCH("End Year",Inputs!$B:$B,0))*12,M53-M54+M55,0)</f>
        <v>0</v>
      </c>
      <c r="N57" s="152">
        <f t="array" ref="N57">IF(N$3&lt;=INDEX(Inputs!$C:$C,MATCH("End Year",Inputs!$B:$B,0))*12,N53-N54+N55,0)</f>
        <v>0</v>
      </c>
      <c r="O57" s="152">
        <f t="array" ref="O57">IF(O$3&lt;=INDEX(Inputs!$C:$C,MATCH("End Year",Inputs!$B:$B,0))*12,O53-O54+O55,0)</f>
        <v>0</v>
      </c>
      <c r="P57" s="152">
        <f t="array" ref="P57">IF(P$3&lt;=INDEX(Inputs!$C:$C,MATCH("End Year",Inputs!$B:$B,0))*12,P53-P54+P55,0)</f>
        <v>0</v>
      </c>
      <c r="Q57" s="152">
        <f t="array" ref="Q57">IF(Q$3&lt;=INDEX(Inputs!$C:$C,MATCH("End Year",Inputs!$B:$B,0))*12,Q53-Q54+Q55,0)</f>
        <v>0</v>
      </c>
      <c r="R57" s="152">
        <f t="array" ref="R57">IF(R$3&lt;=INDEX(Inputs!$C:$C,MATCH("End Year",Inputs!$B:$B,0))*12,R53-R54+R55,0)</f>
        <v>0</v>
      </c>
      <c r="S57" s="152">
        <f t="array" ref="S57">IF(S$3&lt;=INDEX(Inputs!$C:$C,MATCH("End Year",Inputs!$B:$B,0))*12,S53-S54+S55,0)</f>
        <v>0</v>
      </c>
      <c r="T57" s="152">
        <f t="array" ref="T57">IF(T$3&lt;=INDEX(Inputs!$C:$C,MATCH("End Year",Inputs!$B:$B,0))*12,T53-T54+T55,0)</f>
        <v>0</v>
      </c>
      <c r="U57" s="152">
        <f t="array" ref="U57">IF(U$3&lt;=INDEX(Inputs!$C:$C,MATCH("End Year",Inputs!$B:$B,0))*12,U53-U54+U55,0)</f>
        <v>0</v>
      </c>
      <c r="V57" s="152">
        <f t="array" ref="V57">IF(V$3&lt;=INDEX(Inputs!$C:$C,MATCH("End Year",Inputs!$B:$B,0))*12,V53-V54+V55,0)</f>
        <v>0</v>
      </c>
      <c r="W57" s="152">
        <f t="array" ref="W57">IF(W$3&lt;=INDEX(Inputs!$C:$C,MATCH("End Year",Inputs!$B:$B,0))*12,W53-W54+W55,0)</f>
        <v>0</v>
      </c>
      <c r="X57" s="152">
        <f t="array" ref="X57">IF(X$3&lt;=INDEX(Inputs!$C:$C,MATCH("End Year",Inputs!$B:$B,0))*12,X53-X54+X55,0)</f>
        <v>0</v>
      </c>
      <c r="Y57" s="152">
        <f t="array" ref="Y57">IF(Y$3&lt;=INDEX(Inputs!$C:$C,MATCH("End Year",Inputs!$B:$B,0))*12,Y53-Y54+Y55,0)</f>
        <v>0</v>
      </c>
      <c r="Z57" s="152">
        <f t="array" ref="Z57">IF(Z$3&lt;=INDEX(Inputs!$C:$C,MATCH("End Year",Inputs!$B:$B,0))*12,Z53-Z54+Z55,0)</f>
        <v>0</v>
      </c>
      <c r="AA57" s="152">
        <f t="array" ref="AA57">IF(AA$3&lt;=INDEX(Inputs!$C:$C,MATCH("End Year",Inputs!$B:$B,0))*12,AA53-AA54+AA55,0)</f>
        <v>0</v>
      </c>
      <c r="AB57" s="152">
        <f t="array" ref="AB57">IF(AB$3&lt;=INDEX(Inputs!$C:$C,MATCH("End Year",Inputs!$B:$B,0))*12,AB53-AB54+AB55,0)</f>
        <v>0</v>
      </c>
      <c r="AC57" s="152">
        <f t="array" ref="AC57">IF(AC$3&lt;=INDEX(Inputs!$C:$C,MATCH("End Year",Inputs!$B:$B,0))*12,AC53-AC54+AC55,0)</f>
        <v>0</v>
      </c>
      <c r="AD57" s="152">
        <f t="array" ref="AD57">IF(AD$3&lt;=INDEX(Inputs!$C:$C,MATCH("End Year",Inputs!$B:$B,0))*12,AD53-AD54+AD55,0)</f>
        <v>0</v>
      </c>
      <c r="AE57" s="152">
        <f t="array" ref="AE57">IF(AE$3&lt;=INDEX(Inputs!$C:$C,MATCH("End Year",Inputs!$B:$B,0))*12,AE53-AE54+AE55,0)</f>
        <v>0</v>
      </c>
      <c r="AF57" s="152">
        <f t="array" ref="AF57">IF(AF$3&lt;=INDEX(Inputs!$C:$C,MATCH("End Year",Inputs!$B:$B,0))*12,AF53-AF54+AF55,0)</f>
        <v>0</v>
      </c>
      <c r="AG57" s="152">
        <f t="array" ref="AG57">IF(AG$3&lt;=INDEX(Inputs!$C:$C,MATCH("End Year",Inputs!$B:$B,0))*12,AG53-AG54+AG55,0)</f>
        <v>0</v>
      </c>
      <c r="AH57" s="152">
        <f t="array" ref="AH57">IF(AH$3&lt;=INDEX(Inputs!$C:$C,MATCH("End Year",Inputs!$B:$B,0))*12,AH53-AH54+AH55,0)</f>
        <v>0</v>
      </c>
      <c r="AI57" s="152">
        <f t="array" ref="AI57">IF(AI$3&lt;=INDEX(Inputs!$C:$C,MATCH("End Year",Inputs!$B:$B,0))*12,AI53-AI54+AI55,0)</f>
        <v>0</v>
      </c>
      <c r="AJ57" s="152">
        <f t="array" ref="AJ57">IF(AJ$3&lt;=INDEX(Inputs!$C:$C,MATCH("End Year",Inputs!$B:$B,0))*12,AJ53-AJ54+AJ55,0)</f>
        <v>0</v>
      </c>
      <c r="AK57" s="152">
        <f t="array" ref="AK57">IF(AK$3&lt;=INDEX(Inputs!$C:$C,MATCH("End Year",Inputs!$B:$B,0))*12,AK53-AK54+AK55,0)</f>
        <v>0</v>
      </c>
      <c r="AL57" s="152">
        <f t="array" ref="AL57">IF(AL$3&lt;=INDEX(Inputs!$C:$C,MATCH("End Year",Inputs!$B:$B,0))*12,AL53-AL54+AL55,0)</f>
        <v>0</v>
      </c>
      <c r="AM57" s="152">
        <f t="array" ref="AM57">IF(AM$3&lt;=INDEX(Inputs!$C:$C,MATCH("End Year",Inputs!$B:$B,0))*12,AM53-AM54+AM55,0)</f>
        <v>0</v>
      </c>
      <c r="AN57" s="152">
        <f t="array" ref="AN57">IF(AN$3&lt;=INDEX(Inputs!$C:$C,MATCH("End Year",Inputs!$B:$B,0))*12,AN53-AN54+AN55,0)</f>
        <v>0</v>
      </c>
      <c r="AO57" s="152">
        <f t="array" ref="AO57">IF(AO$3&lt;=INDEX(Inputs!$C:$C,MATCH("End Year",Inputs!$B:$B,0))*12,AO53-AO54+AO55,0)</f>
        <v>0</v>
      </c>
      <c r="AP57" s="152">
        <f t="array" ref="AP57">IF(AP$3&lt;=INDEX(Inputs!$C:$C,MATCH("End Year",Inputs!$B:$B,0))*12,AP53-AP54+AP55,0)</f>
        <v>0</v>
      </c>
      <c r="AQ57" s="152">
        <f t="array" ref="AQ57">IF(AQ$3&lt;=INDEX(Inputs!$C:$C,MATCH("End Year",Inputs!$B:$B,0))*12,AQ53-AQ54+AQ55,0)</f>
        <v>0</v>
      </c>
      <c r="AR57" s="152">
        <f t="array" ref="AR57">IF(AR$3&lt;=INDEX(Inputs!$C:$C,MATCH("End Year",Inputs!$B:$B,0))*12,AR53-AR54+AR55,0)</f>
        <v>0</v>
      </c>
      <c r="AS57" s="152">
        <f t="array" ref="AS57">IF(AS$3&lt;=INDEX(Inputs!$C:$C,MATCH("End Year",Inputs!$B:$B,0))*12,AS53-AS54+AS55,0)</f>
        <v>0</v>
      </c>
      <c r="AT57" s="152">
        <f t="array" ref="AT57">IF(AT$3&lt;=INDEX(Inputs!$C:$C,MATCH("End Year",Inputs!$B:$B,0))*12,AT53-AT54+AT55,0)</f>
        <v>0</v>
      </c>
      <c r="AU57" s="152">
        <f t="array" ref="AU57">IF(AU$3&lt;=INDEX(Inputs!$C:$C,MATCH("End Year",Inputs!$B:$B,0))*12,AU53-AU54+AU55,0)</f>
        <v>0</v>
      </c>
      <c r="AV57" s="152">
        <f t="array" ref="AV57">IF(AV$3&lt;=INDEX(Inputs!$C:$C,MATCH("End Year",Inputs!$B:$B,0))*12,AV53-AV54+AV55,0)</f>
        <v>0</v>
      </c>
      <c r="AW57" s="152">
        <f t="array" ref="AW57">IF(AW$3&lt;=INDEX(Inputs!$C:$C,MATCH("End Year",Inputs!$B:$B,0))*12,AW53-AW54+AW55,0)</f>
        <v>0</v>
      </c>
      <c r="AX57" s="152">
        <f t="array" ref="AX57">IF(AX$3&lt;=INDEX(Inputs!$C:$C,MATCH("End Year",Inputs!$B:$B,0))*12,AX53-AX54+AX55,0)</f>
        <v>0</v>
      </c>
      <c r="AY57" s="152">
        <f t="array" ref="AY57">IF(AY$3&lt;=INDEX(Inputs!$C:$C,MATCH("End Year",Inputs!$B:$B,0))*12,AY53-AY54+AY55,0)</f>
        <v>0</v>
      </c>
      <c r="AZ57" s="152">
        <f t="array" ref="AZ57">IF(AZ$3&lt;=INDEX(Inputs!$C:$C,MATCH("End Year",Inputs!$B:$B,0))*12,AZ53-AZ54+AZ55,0)</f>
        <v>0</v>
      </c>
      <c r="BA57" s="152">
        <f t="array" ref="BA57">IF(BA$3&lt;=INDEX(Inputs!$C:$C,MATCH("End Year",Inputs!$B:$B,0))*12,BA53-BA54+BA55,0)</f>
        <v>0</v>
      </c>
      <c r="BB57" s="152">
        <f t="array" ref="BB57">IF(BB$3&lt;=INDEX(Inputs!$C:$C,MATCH("End Year",Inputs!$B:$B,0))*12,BB53-BB54+BB55,0)</f>
        <v>0</v>
      </c>
      <c r="BC57" s="152">
        <f t="array" ref="BC57">IF(BC$3&lt;=INDEX(Inputs!$C:$C,MATCH("End Year",Inputs!$B:$B,0))*12,BC53-BC54+BC55,0)</f>
        <v>0</v>
      </c>
      <c r="BD57" s="152">
        <f t="array" ref="BD57">IF(BD$3&lt;=INDEX(Inputs!$C:$C,MATCH("End Year",Inputs!$B:$B,0))*12,BD53-BD54+BD55,0)</f>
        <v>0</v>
      </c>
      <c r="BE57" s="152">
        <f t="array" ref="BE57">IF(BE$3&lt;=INDEX(Inputs!$C:$C,MATCH("End Year",Inputs!$B:$B,0))*12,BE53-BE54+BE55,0)</f>
        <v>0</v>
      </c>
      <c r="BF57" s="152">
        <f t="array" ref="BF57">IF(BF$3&lt;=INDEX(Inputs!$C:$C,MATCH("End Year",Inputs!$B:$B,0))*12,BF53-BF54+BF55,0)</f>
        <v>0</v>
      </c>
      <c r="BG57" s="152">
        <f t="array" ref="BG57">IF(BG$3&lt;=INDEX(Inputs!$C:$C,MATCH("End Year",Inputs!$B:$B,0))*12,BG53-BG54+BG55,0)</f>
        <v>0</v>
      </c>
      <c r="BH57" s="152">
        <f t="array" ref="BH57">IF(BH$3&lt;=INDEX(Inputs!$C:$C,MATCH("End Year",Inputs!$B:$B,0))*12,BH53-BH54+BH55,0)</f>
        <v>0</v>
      </c>
      <c r="BI57" s="152">
        <f t="array" ref="BI57">IF(BI$3&lt;=INDEX(Inputs!$C:$C,MATCH("End Year",Inputs!$B:$B,0))*12,BI53-BI54+BI55,0)</f>
        <v>0</v>
      </c>
      <c r="BJ57" s="152">
        <f t="array" ref="BJ57">IF(BJ$3&lt;=INDEX(Inputs!$C:$C,MATCH("End Year",Inputs!$B:$B,0))*12,BJ53-BJ54+BJ55,0)</f>
        <v>0</v>
      </c>
      <c r="BK57" s="152">
        <f t="array" ref="BK57">IF(BK$3&lt;=INDEX(Inputs!$C:$C,MATCH("End Year",Inputs!$B:$B,0))*12,BK53-BK54+BK55,0)</f>
        <v>0</v>
      </c>
      <c r="BL57" s="152">
        <f t="array" ref="BL57">IF(BL$3&lt;=INDEX(Inputs!$C:$C,MATCH("End Year",Inputs!$B:$B,0))*12,BL53-BL54+BL55,0)</f>
        <v>0</v>
      </c>
      <c r="BM57" s="152">
        <f t="array" ref="BM57">IF(BM$3&lt;=INDEX(Inputs!$C:$C,MATCH("End Year",Inputs!$B:$B,0))*12,BM53-BM54+BM55,0)</f>
        <v>0</v>
      </c>
      <c r="BN57" s="152">
        <f t="array" ref="BN57">IF(BN$3&lt;=INDEX(Inputs!$C:$C,MATCH("End Year",Inputs!$B:$B,0))*12,BN53-BN54+BN55,0)</f>
        <v>0</v>
      </c>
      <c r="BO57" s="152">
        <f t="array" ref="BO57">IF(BO$3&lt;=INDEX(Inputs!$C:$C,MATCH("End Year",Inputs!$B:$B,0))*12,BO53-BO54+BO55,0)</f>
        <v>0</v>
      </c>
      <c r="BP57" s="152">
        <f t="array" ref="BP57">IF(BP$3&lt;=INDEX(Inputs!$C:$C,MATCH("End Year",Inputs!$B:$B,0))*12,BP53-BP54+BP55,0)</f>
        <v>0</v>
      </c>
      <c r="BQ57" s="152">
        <f t="array" ref="BQ57">IF(BQ$3&lt;=INDEX(Inputs!$C:$C,MATCH("End Year",Inputs!$B:$B,0))*12,BQ53-BQ54+BQ55,0)</f>
        <v>0</v>
      </c>
      <c r="BR57" s="152">
        <f t="array" ref="BR57">IF(BR$3&lt;=INDEX(Inputs!$C:$C,MATCH("End Year",Inputs!$B:$B,0))*12,BR53-BR54+BR55,0)</f>
        <v>0</v>
      </c>
      <c r="BS57" s="152">
        <f t="array" ref="BS57">IF(BS$3&lt;=INDEX(Inputs!$C:$C,MATCH("End Year",Inputs!$B:$B,0))*12,BS53-BS54+BS55,0)</f>
        <v>0</v>
      </c>
      <c r="BT57" s="152">
        <f t="array" ref="BT57">IF(BT$3&lt;=INDEX(Inputs!$C:$C,MATCH("End Year",Inputs!$B:$B,0))*12,BT53-BT54+BT55,0)</f>
        <v>0</v>
      </c>
      <c r="BU57" s="152">
        <f t="array" ref="BU57">IF(BU$3&lt;=INDEX(Inputs!$C:$C,MATCH("End Year",Inputs!$B:$B,0))*12,BU53-BU54+BU55,0)</f>
        <v>0</v>
      </c>
      <c r="BV57" s="152">
        <f t="array" ref="BV57">IF(BV$3&lt;=INDEX(Inputs!$C:$C,MATCH("End Year",Inputs!$B:$B,0))*12,BV53-BV54+BV55,0)</f>
        <v>0</v>
      </c>
      <c r="BW57" s="152">
        <f t="array" ref="BW57">IF(BW$3&lt;=INDEX(Inputs!$C:$C,MATCH("End Year",Inputs!$B:$B,0))*12,BW53-BW54+BW55,0)</f>
        <v>0</v>
      </c>
      <c r="BX57" s="152">
        <f t="array" ref="BX57">IF(BX$3&lt;=INDEX(Inputs!$C:$C,MATCH("End Year",Inputs!$B:$B,0))*12,BX53-BX54+BX55,0)</f>
        <v>0</v>
      </c>
      <c r="BY57" s="152">
        <f t="array" ref="BY57">IF(BY$3&lt;=INDEX(Inputs!$C:$C,MATCH("End Year",Inputs!$B:$B,0))*12,BY53-BY54+BY55,0)</f>
        <v>0</v>
      </c>
      <c r="BZ57" s="152">
        <f t="array" ref="BZ57">IF(BZ$3&lt;=INDEX(Inputs!$C:$C,MATCH("End Year",Inputs!$B:$B,0))*12,BZ53-BZ54+BZ55,0)</f>
        <v>0</v>
      </c>
      <c r="CA57" s="152">
        <f t="array" ref="CA57">IF(CA$3&lt;=INDEX(Inputs!$C:$C,MATCH("End Year",Inputs!$B:$B,0))*12,CA53-CA54+CA55,0)</f>
        <v>0</v>
      </c>
      <c r="CB57" s="152">
        <f t="array" ref="CB57">IF(CB$3&lt;=INDEX(Inputs!$C:$C,MATCH("End Year",Inputs!$B:$B,0))*12,CB53-CB54+CB55,0)</f>
        <v>0</v>
      </c>
      <c r="CC57" s="152">
        <f t="array" ref="CC57">IF(CC$3&lt;=INDEX(Inputs!$C:$C,MATCH("End Year",Inputs!$B:$B,0))*12,CC53-CC54+CC55,0)</f>
        <v>0</v>
      </c>
      <c r="CD57" s="152">
        <f t="array" ref="CD57">IF(CD$3&lt;=INDEX(Inputs!$C:$C,MATCH("End Year",Inputs!$B:$B,0))*12,CD53-CD54+CD55,0)</f>
        <v>0</v>
      </c>
      <c r="CE57" s="152">
        <f t="array" ref="CE57">IF(CE$3&lt;=INDEX(Inputs!$C:$C,MATCH("End Year",Inputs!$B:$B,0))*12,CE53-CE54+CE55,0)</f>
        <v>0</v>
      </c>
      <c r="CF57" s="152">
        <f t="array" ref="CF57">IF(CF$3&lt;=INDEX(Inputs!$C:$C,MATCH("End Year",Inputs!$B:$B,0))*12,CF53-CF54+CF55,0)</f>
        <v>0</v>
      </c>
      <c r="CG57" s="152">
        <f t="array" ref="CG57">IF(CG$3&lt;=INDEX(Inputs!$C:$C,MATCH("End Year",Inputs!$B:$B,0))*12,CG53-CG54+CG55,0)</f>
        <v>0</v>
      </c>
      <c r="CH57" s="152">
        <f t="array" ref="CH57">IF(CH$3&lt;=INDEX(Inputs!$C:$C,MATCH("End Year",Inputs!$B:$B,0))*12,CH53-CH54+CH55,0)</f>
        <v>0</v>
      </c>
      <c r="CI57" s="152">
        <f t="array" ref="CI57">IF(CI$3&lt;=INDEX(Inputs!$C:$C,MATCH("End Year",Inputs!$B:$B,0))*12,CI53-CI54+CI55,0)</f>
        <v>0</v>
      </c>
      <c r="CJ57" s="152">
        <f t="array" ref="CJ57">IF(CJ$3&lt;=INDEX(Inputs!$C:$C,MATCH("End Year",Inputs!$B:$B,0))*12,CJ53-CJ54+CJ55,0)</f>
        <v>0</v>
      </c>
      <c r="CK57" s="152">
        <f t="array" ref="CK57">IF(CK$3&lt;=INDEX(Inputs!$C:$C,MATCH("End Year",Inputs!$B:$B,0))*12,CK53-CK54+CK55,0)</f>
        <v>0</v>
      </c>
      <c r="CL57" s="152">
        <f t="array" ref="CL57">IF(CL$3&lt;=INDEX(Inputs!$C:$C,MATCH("End Year",Inputs!$B:$B,0))*12,CL53-CL54+CL55,0)</f>
        <v>0</v>
      </c>
      <c r="CM57" s="152">
        <f t="array" ref="CM57">IF(CM$3&lt;=INDEX(Inputs!$C:$C,MATCH("End Year",Inputs!$B:$B,0))*12,CM53-CM54+CM55,0)</f>
        <v>0</v>
      </c>
      <c r="CN57" s="152">
        <f t="array" ref="CN57">IF(CN$3&lt;=INDEX(Inputs!$C:$C,MATCH("End Year",Inputs!$B:$B,0))*12,CN53-CN54+CN55,0)</f>
        <v>0</v>
      </c>
      <c r="CO57" s="152">
        <f t="array" ref="CO57">IF(CO$3&lt;=INDEX(Inputs!$C:$C,MATCH("End Year",Inputs!$B:$B,0))*12,CO53-CO54+CO55,0)</f>
        <v>0</v>
      </c>
      <c r="CP57" s="152">
        <f t="array" ref="CP57">IF(CP$3&lt;=INDEX(Inputs!$C:$C,MATCH("End Year",Inputs!$B:$B,0))*12,CP53-CP54+CP55,0)</f>
        <v>0</v>
      </c>
      <c r="CQ57" s="152">
        <f t="array" ref="CQ57">IF(CQ$3&lt;=INDEX(Inputs!$C:$C,MATCH("End Year",Inputs!$B:$B,0))*12,CQ53-CQ54+CQ55,0)</f>
        <v>0</v>
      </c>
      <c r="CR57" s="152">
        <f t="array" ref="CR57">IF(CR$3&lt;=INDEX(Inputs!$C:$C,MATCH("End Year",Inputs!$B:$B,0))*12,CR53-CR54+CR55,0)</f>
        <v>0</v>
      </c>
      <c r="CS57" s="152">
        <f t="array" ref="CS57">IF(CS$3&lt;=INDEX(Inputs!$C:$C,MATCH("End Year",Inputs!$B:$B,0))*12,CS53-CS54+CS55,0)</f>
        <v>0</v>
      </c>
      <c r="CT57" s="152">
        <f t="array" ref="CT57">IF(CT$3&lt;=INDEX(Inputs!$C:$C,MATCH("End Year",Inputs!$B:$B,0))*12,CT53-CT54+CT55,0)</f>
        <v>0</v>
      </c>
      <c r="CU57" s="152">
        <f t="array" ref="CU57">IF(CU$3&lt;=INDEX(Inputs!$C:$C,MATCH("End Year",Inputs!$B:$B,0))*12,CU53-CU54+CU55,0)</f>
        <v>0</v>
      </c>
      <c r="CV57" s="152">
        <f t="array" ref="CV57">IF(CV$3&lt;=INDEX(Inputs!$C:$C,MATCH("End Year",Inputs!$B:$B,0))*12,CV53-CV54+CV55,0)</f>
        <v>0</v>
      </c>
      <c r="CW57" s="152">
        <f t="array" ref="CW57">IF(CW$3&lt;=INDEX(Inputs!$C:$C,MATCH("End Year",Inputs!$B:$B,0))*12,CW53-CW54+CW55,0)</f>
        <v>0</v>
      </c>
      <c r="CX57" s="152">
        <f t="array" ref="CX57">IF(CX$3&lt;=INDEX(Inputs!$C:$C,MATCH("End Year",Inputs!$B:$B,0))*12,CX53-CX54+CX55,0)</f>
        <v>0</v>
      </c>
      <c r="CY57" s="152">
        <f t="array" ref="CY57">IF(CY$3&lt;=INDEX(Inputs!$C:$C,MATCH("End Year",Inputs!$B:$B,0))*12,CY53-CY54+CY55,0)</f>
        <v>0</v>
      </c>
      <c r="CZ57" s="152">
        <f t="array" ref="CZ57">IF(CZ$3&lt;=INDEX(Inputs!$C:$C,MATCH("End Year",Inputs!$B:$B,0))*12,CZ53-CZ54+CZ55,0)</f>
        <v>0</v>
      </c>
      <c r="DA57" s="152">
        <f t="array" ref="DA57">IF(DA$3&lt;=INDEX(Inputs!$C:$C,MATCH("End Year",Inputs!$B:$B,0))*12,DA53-DA54+DA55,0)</f>
        <v>0</v>
      </c>
      <c r="DB57" s="152">
        <f t="array" ref="DB57">IF(DB$3&lt;=INDEX(Inputs!$C:$C,MATCH("End Year",Inputs!$B:$B,0))*12,DB53-DB54+DB55,0)</f>
        <v>0</v>
      </c>
      <c r="DC57" s="152">
        <f t="array" ref="DC57">IF(DC$3&lt;=INDEX(Inputs!$C:$C,MATCH("End Year",Inputs!$B:$B,0))*12,DC53-DC54+DC55,0)</f>
        <v>0</v>
      </c>
      <c r="DD57" s="152">
        <f t="array" ref="DD57">IF(DD$3&lt;=INDEX(Inputs!$C:$C,MATCH("End Year",Inputs!$B:$B,0))*12,DD53-DD54+DD55,0)</f>
        <v>0</v>
      </c>
      <c r="DE57" s="152">
        <f t="array" ref="DE57">IF(DE$3&lt;=INDEX(Inputs!$C:$C,MATCH("End Year",Inputs!$B:$B,0))*12,DE53-DE54+DE55,0)</f>
        <v>0</v>
      </c>
      <c r="DF57" s="152">
        <f t="array" ref="DF57">IF(DF$3&lt;=INDEX(Inputs!$C:$C,MATCH("End Year",Inputs!$B:$B,0))*12,DF53-DF54+DF55,0)</f>
        <v>0</v>
      </c>
      <c r="DG57" s="152">
        <f t="array" ref="DG57">IF(DG$3&lt;=INDEX(Inputs!$C:$C,MATCH("End Year",Inputs!$B:$B,0))*12,DG53-DG54+DG55,0)</f>
        <v>0</v>
      </c>
      <c r="DH57" s="152">
        <f t="array" ref="DH57">IF(DH$3&lt;=INDEX(Inputs!$C:$C,MATCH("End Year",Inputs!$B:$B,0))*12,DH53-DH54+DH55,0)</f>
        <v>0</v>
      </c>
      <c r="DI57" s="152">
        <f t="array" ref="DI57">IF(DI$3&lt;=INDEX(Inputs!$C:$C,MATCH("End Year",Inputs!$B:$B,0))*12,DI53-DI54+DI55,0)</f>
        <v>0</v>
      </c>
      <c r="DJ57" s="152">
        <f t="array" ref="DJ57">IF(DJ$3&lt;=INDEX(Inputs!$C:$C,MATCH("End Year",Inputs!$B:$B,0))*12,DJ53-DJ54+DJ55,0)</f>
        <v>0</v>
      </c>
      <c r="DK57" s="152">
        <f t="array" ref="DK57">IF(DK$3&lt;=INDEX(Inputs!$C:$C,MATCH("End Year",Inputs!$B:$B,0))*12,DK53-DK54+DK55,0)</f>
        <v>0</v>
      </c>
      <c r="DL57" s="152">
        <f t="array" ref="DL57">IF(DL$3&lt;=INDEX(Inputs!$C:$C,MATCH("End Year",Inputs!$B:$B,0))*12,DL53-DL54+DL55,0)</f>
        <v>0</v>
      </c>
      <c r="DM57" s="152">
        <f t="array" ref="DM57">IF(DM$3&lt;=INDEX(Inputs!$C:$C,MATCH("End Year",Inputs!$B:$B,0))*12,DM53-DM54+DM55,0)</f>
        <v>0</v>
      </c>
      <c r="DN57" s="152">
        <f t="array" ref="DN57">IF(DN$3&lt;=INDEX(Inputs!$C:$C,MATCH("End Year",Inputs!$B:$B,0))*12,DN53-DN54+DN55,0)</f>
        <v>0</v>
      </c>
      <c r="DO57" s="152">
        <f t="array" ref="DO57">IF(DO$3&lt;=INDEX(Inputs!$C:$C,MATCH("End Year",Inputs!$B:$B,0))*12,DO53-DO54+DO55,0)</f>
        <v>0</v>
      </c>
      <c r="DP57" s="152">
        <f t="array" ref="DP57">IF(DP$3&lt;=INDEX(Inputs!$C:$C,MATCH("End Year",Inputs!$B:$B,0))*12,DP53-DP54+DP55,0)</f>
        <v>0</v>
      </c>
      <c r="DQ57" s="152">
        <f t="array" ref="DQ57">IF(DQ$3&lt;=INDEX(Inputs!$C:$C,MATCH("End Year",Inputs!$B:$B,0))*12,DQ53-DQ54+DQ55,0)</f>
        <v>0</v>
      </c>
      <c r="DR57" s="152">
        <f t="array" ref="DR57">IF(DR$3&lt;=INDEX(Inputs!$C:$C,MATCH("End Year",Inputs!$B:$B,0))*12,DR53-DR54+DR55,0)</f>
        <v>0</v>
      </c>
      <c r="DS57" s="44">
        <f t="array" ref="DS57">IF(DS$3&lt;=INDEX(Inputs!$C:$C,MATCH("End Year",Inputs!$B:$B,0))*12,DS53-DS54+DS55,0)</f>
        <v>0</v>
      </c>
    </row>
    <row r="58" ht="15.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</row>
    <row r="59" ht="15.75" customHeight="1">
      <c r="A59" s="44"/>
      <c r="B59" s="45" t="s">
        <v>349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44"/>
    </row>
    <row r="60" ht="15.0" customHeight="1">
      <c r="A60" s="44"/>
      <c r="B60" s="46" t="s">
        <v>339</v>
      </c>
      <c r="C60" s="152" t="s">
        <v>330</v>
      </c>
      <c r="D60" s="152">
        <f t="array" ref="D60">IF(D$3&lt;=INDEX(Inputs!$C:$C,MATCH("End Year",Inputs!$B:$B,0))*12,IF(D$3&lt;=INDEX(Inputs!$C:$C,MATCH("Refi Year",Inputs!$B:$B,0))*12,0,C65),0)</f>
        <v>0</v>
      </c>
      <c r="E60" s="152">
        <f t="array" ref="E60">IF(E$3&lt;=INDEX(Inputs!$C:$C,MATCH("End Year",Inputs!$B:$B,0))*12,IF(E$3&lt;=INDEX(Inputs!$C:$C,MATCH("Refi Year",Inputs!$B:$B,0))*12,0,D65),0)</f>
        <v>0</v>
      </c>
      <c r="F60" s="152">
        <f t="array" ref="F60">IF(F$3&lt;=INDEX(Inputs!$C:$C,MATCH("End Year",Inputs!$B:$B,0))*12,IF(F$3&lt;=INDEX(Inputs!$C:$C,MATCH("Refi Year",Inputs!$B:$B,0))*12,0,E65),0)</f>
        <v>0</v>
      </c>
      <c r="G60" s="152">
        <f t="array" ref="G60">IF(G$3&lt;=INDEX(Inputs!$C:$C,MATCH("End Year",Inputs!$B:$B,0))*12,IF(G$3&lt;=INDEX(Inputs!$C:$C,MATCH("Refi Year",Inputs!$B:$B,0))*12,0,F65),0)</f>
        <v>0</v>
      </c>
      <c r="H60" s="152">
        <f t="array" ref="H60">IF(H$3&lt;=INDEX(Inputs!$C:$C,MATCH("End Year",Inputs!$B:$B,0))*12,IF(H$3&lt;=INDEX(Inputs!$C:$C,MATCH("Refi Year",Inputs!$B:$B,0))*12,0,G65),0)</f>
        <v>0</v>
      </c>
      <c r="I60" s="152">
        <f t="array" ref="I60">IF(I$3&lt;=INDEX(Inputs!$C:$C,MATCH("End Year",Inputs!$B:$B,0))*12,IF(I$3&lt;=INDEX(Inputs!$C:$C,MATCH("Refi Year",Inputs!$B:$B,0))*12,0,H65),0)</f>
        <v>0</v>
      </c>
      <c r="J60" s="152">
        <f t="array" ref="J60">IF(J$3&lt;=INDEX(Inputs!$C:$C,MATCH("End Year",Inputs!$B:$B,0))*12,IF(J$3&lt;=INDEX(Inputs!$C:$C,MATCH("Refi Year",Inputs!$B:$B,0))*12,0,I65),0)</f>
        <v>0</v>
      </c>
      <c r="K60" s="152">
        <f t="array" ref="K60">IF(K$3&lt;=INDEX(Inputs!$C:$C,MATCH("End Year",Inputs!$B:$B,0))*12,IF(K$3&lt;=INDEX(Inputs!$C:$C,MATCH("Refi Year",Inputs!$B:$B,0))*12,0,J65),0)</f>
        <v>0</v>
      </c>
      <c r="L60" s="152">
        <f t="array" ref="L60">IF(L$3&lt;=INDEX(Inputs!$C:$C,MATCH("End Year",Inputs!$B:$B,0))*12,IF(L$3&lt;=INDEX(Inputs!$C:$C,MATCH("Refi Year",Inputs!$B:$B,0))*12,0,K65),0)</f>
        <v>0</v>
      </c>
      <c r="M60" s="152">
        <f t="array" ref="M60">IF(M$3&lt;=INDEX(Inputs!$C:$C,MATCH("End Year",Inputs!$B:$B,0))*12,IF(M$3&lt;=INDEX(Inputs!$C:$C,MATCH("Refi Year",Inputs!$B:$B,0))*12,0,L65),0)</f>
        <v>0</v>
      </c>
      <c r="N60" s="152">
        <f t="array" ref="N60">IF(N$3&lt;=INDEX(Inputs!$C:$C,MATCH("End Year",Inputs!$B:$B,0))*12,IF(N$3&lt;=INDEX(Inputs!$C:$C,MATCH("Refi Year",Inputs!$B:$B,0))*12,0,M65),0)</f>
        <v>0</v>
      </c>
      <c r="O60" s="152">
        <f t="array" ref="O60">IF(O$3&lt;=INDEX(Inputs!$C:$C,MATCH("End Year",Inputs!$B:$B,0))*12,IF(O$3&lt;=INDEX(Inputs!$C:$C,MATCH("Refi Year",Inputs!$B:$B,0))*12,0,N65),0)</f>
        <v>0</v>
      </c>
      <c r="P60" s="152">
        <f t="array" ref="P60">IF(P$3&lt;=INDEX(Inputs!$C:$C,MATCH("End Year",Inputs!$B:$B,0))*12,IF(P$3&lt;=INDEX(Inputs!$C:$C,MATCH("Refi Year",Inputs!$B:$B,0))*12,0,O65),0)</f>
        <v>0</v>
      </c>
      <c r="Q60" s="152">
        <f t="array" ref="Q60">IF(Q$3&lt;=INDEX(Inputs!$C:$C,MATCH("End Year",Inputs!$B:$B,0))*12,IF(Q$3&lt;=INDEX(Inputs!$C:$C,MATCH("Refi Year",Inputs!$B:$B,0))*12,0,P65),0)</f>
        <v>0</v>
      </c>
      <c r="R60" s="152">
        <f t="array" ref="R60">IF(R$3&lt;=INDEX(Inputs!$C:$C,MATCH("End Year",Inputs!$B:$B,0))*12,IF(R$3&lt;=INDEX(Inputs!$C:$C,MATCH("Refi Year",Inputs!$B:$B,0))*12,0,Q65),0)</f>
        <v>0</v>
      </c>
      <c r="S60" s="152">
        <f t="array" ref="S60">IF(S$3&lt;=INDEX(Inputs!$C:$C,MATCH("End Year",Inputs!$B:$B,0))*12,IF(S$3&lt;=INDEX(Inputs!$C:$C,MATCH("Refi Year",Inputs!$B:$B,0))*12,0,R65),0)</f>
        <v>0</v>
      </c>
      <c r="T60" s="152">
        <f t="array" ref="T60">IF(T$3&lt;=INDEX(Inputs!$C:$C,MATCH("End Year",Inputs!$B:$B,0))*12,IF(T$3&lt;=INDEX(Inputs!$C:$C,MATCH("Refi Year",Inputs!$B:$B,0))*12,0,S65),0)</f>
        <v>0</v>
      </c>
      <c r="U60" s="152">
        <f t="array" ref="U60">IF(U$3&lt;=INDEX(Inputs!$C:$C,MATCH("End Year",Inputs!$B:$B,0))*12,IF(U$3&lt;=INDEX(Inputs!$C:$C,MATCH("Refi Year",Inputs!$B:$B,0))*12,0,T65),0)</f>
        <v>0</v>
      </c>
      <c r="V60" s="152">
        <f t="array" ref="V60">IF(V$3&lt;=INDEX(Inputs!$C:$C,MATCH("End Year",Inputs!$B:$B,0))*12,IF(V$3&lt;=INDEX(Inputs!$C:$C,MATCH("Refi Year",Inputs!$B:$B,0))*12,0,U65),0)</f>
        <v>0</v>
      </c>
      <c r="W60" s="152">
        <f t="array" ref="W60">IF(W$3&lt;=INDEX(Inputs!$C:$C,MATCH("End Year",Inputs!$B:$B,0))*12,IF(W$3&lt;=INDEX(Inputs!$C:$C,MATCH("Refi Year",Inputs!$B:$B,0))*12,0,V65),0)</f>
        <v>0</v>
      </c>
      <c r="X60" s="152">
        <f t="array" ref="X60">IF(X$3&lt;=INDEX(Inputs!$C:$C,MATCH("End Year",Inputs!$B:$B,0))*12,IF(X$3&lt;=INDEX(Inputs!$C:$C,MATCH("Refi Year",Inputs!$B:$B,0))*12,0,W65),0)</f>
        <v>0</v>
      </c>
      <c r="Y60" s="152">
        <f t="array" ref="Y60">IF(Y$3&lt;=INDEX(Inputs!$C:$C,MATCH("End Year",Inputs!$B:$B,0))*12,IF(Y$3&lt;=INDEX(Inputs!$C:$C,MATCH("Refi Year",Inputs!$B:$B,0))*12,0,X65),0)</f>
        <v>0</v>
      </c>
      <c r="Z60" s="152">
        <f t="array" ref="Z60">IF(Z$3&lt;=INDEX(Inputs!$C:$C,MATCH("End Year",Inputs!$B:$B,0))*12,IF(Z$3&lt;=INDEX(Inputs!$C:$C,MATCH("Refi Year",Inputs!$B:$B,0))*12,0,Y65),0)</f>
        <v>0</v>
      </c>
      <c r="AA60" s="152">
        <f t="array" ref="AA60">IF(AA$3&lt;=INDEX(Inputs!$C:$C,MATCH("End Year",Inputs!$B:$B,0))*12,IF(AA$3&lt;=INDEX(Inputs!$C:$C,MATCH("Refi Year",Inputs!$B:$B,0))*12,0,Z65),0)</f>
        <v>0</v>
      </c>
      <c r="AB60" s="152">
        <f t="array" ref="AB60">IF(AB$3&lt;=INDEX(Inputs!$C:$C,MATCH("End Year",Inputs!$B:$B,0))*12,IF(AB$3&lt;=INDEX(Inputs!$C:$C,MATCH("Refi Year",Inputs!$B:$B,0))*12,0,AA65),0)</f>
        <v>0</v>
      </c>
      <c r="AC60" s="152">
        <f t="array" ref="AC60">IF(AC$3&lt;=INDEX(Inputs!$C:$C,MATCH("End Year",Inputs!$B:$B,0))*12,IF(AC$3&lt;=INDEX(Inputs!$C:$C,MATCH("Refi Year",Inputs!$B:$B,0))*12,0,AB65),0)</f>
        <v>0</v>
      </c>
      <c r="AD60" s="152">
        <f t="array" ref="AD60">IF(AD$3&lt;=INDEX(Inputs!$C:$C,MATCH("End Year",Inputs!$B:$B,0))*12,IF(AD$3&lt;=INDEX(Inputs!$C:$C,MATCH("Refi Year",Inputs!$B:$B,0))*12,0,AC65),0)</f>
        <v>0</v>
      </c>
      <c r="AE60" s="152">
        <f t="array" ref="AE60">IF(AE$3&lt;=INDEX(Inputs!$C:$C,MATCH("End Year",Inputs!$B:$B,0))*12,IF(AE$3&lt;=INDEX(Inputs!$C:$C,MATCH("Refi Year",Inputs!$B:$B,0))*12,0,AD65),0)</f>
        <v>0</v>
      </c>
      <c r="AF60" s="152">
        <f t="array" ref="AF60">IF(AF$3&lt;=INDEX(Inputs!$C:$C,MATCH("End Year",Inputs!$B:$B,0))*12,IF(AF$3&lt;=INDEX(Inputs!$C:$C,MATCH("Refi Year",Inputs!$B:$B,0))*12,0,AE65),0)</f>
        <v>0</v>
      </c>
      <c r="AG60" s="152">
        <f t="array" ref="AG60">IF(AG$3&lt;=INDEX(Inputs!$C:$C,MATCH("End Year",Inputs!$B:$B,0))*12,IF(AG$3&lt;=INDEX(Inputs!$C:$C,MATCH("Refi Year",Inputs!$B:$B,0))*12,0,AF65),0)</f>
        <v>0</v>
      </c>
      <c r="AH60" s="152">
        <f t="array" ref="AH60">IF(AH$3&lt;=INDEX(Inputs!$C:$C,MATCH("End Year",Inputs!$B:$B,0))*12,IF(AH$3&lt;=INDEX(Inputs!$C:$C,MATCH("Refi Year",Inputs!$B:$B,0))*12,0,AG65),0)</f>
        <v>0</v>
      </c>
      <c r="AI60" s="152">
        <f t="array" ref="AI60">IF(AI$3&lt;=INDEX(Inputs!$C:$C,MATCH("End Year",Inputs!$B:$B,0))*12,IF(AI$3&lt;=INDEX(Inputs!$C:$C,MATCH("Refi Year",Inputs!$B:$B,0))*12,0,AH65),0)</f>
        <v>0</v>
      </c>
      <c r="AJ60" s="152">
        <f t="array" ref="AJ60">IF(AJ$3&lt;=INDEX(Inputs!$C:$C,MATCH("End Year",Inputs!$B:$B,0))*12,IF(AJ$3&lt;=INDEX(Inputs!$C:$C,MATCH("Refi Year",Inputs!$B:$B,0))*12,0,AI65),0)</f>
        <v>0</v>
      </c>
      <c r="AK60" s="152">
        <f t="array" ref="AK60">IF(AK$3&lt;=INDEX(Inputs!$C:$C,MATCH("End Year",Inputs!$B:$B,0))*12,IF(AK$3&lt;=INDEX(Inputs!$C:$C,MATCH("Refi Year",Inputs!$B:$B,0))*12,0,AJ65),0)</f>
        <v>0</v>
      </c>
      <c r="AL60" s="152">
        <f t="array" ref="AL60">IF(AL$3&lt;=INDEX(Inputs!$C:$C,MATCH("End Year",Inputs!$B:$B,0))*12,IF(AL$3&lt;=INDEX(Inputs!$C:$C,MATCH("Refi Year",Inputs!$B:$B,0))*12,0,AK65),0)</f>
        <v>0</v>
      </c>
      <c r="AM60" s="152">
        <f t="array" ref="AM60">IF(AM$3&lt;=INDEX(Inputs!$C:$C,MATCH("End Year",Inputs!$B:$B,0))*12,IF(AM$3&lt;=INDEX(Inputs!$C:$C,MATCH("Refi Year",Inputs!$B:$B,0))*12,0,AL65),0)</f>
        <v>0</v>
      </c>
      <c r="AN60" s="152">
        <f t="array" ref="AN60">IF(AN$3&lt;=INDEX(Inputs!$C:$C,MATCH("End Year",Inputs!$B:$B,0))*12,IF(AN$3&lt;=INDEX(Inputs!$C:$C,MATCH("Refi Year",Inputs!$B:$B,0))*12,0,AM65),0)</f>
        <v>0</v>
      </c>
      <c r="AO60" s="152">
        <f t="array" ref="AO60">IF(AO$3&lt;=INDEX(Inputs!$C:$C,MATCH("End Year",Inputs!$B:$B,0))*12,IF(AO$3&lt;=INDEX(Inputs!$C:$C,MATCH("Refi Year",Inputs!$B:$B,0))*12,0,AN65),0)</f>
        <v>0</v>
      </c>
      <c r="AP60" s="152">
        <f t="array" ref="AP60">IF(AP$3&lt;=INDEX(Inputs!$C:$C,MATCH("End Year",Inputs!$B:$B,0))*12,IF(AP$3&lt;=INDEX(Inputs!$C:$C,MATCH("Refi Year",Inputs!$B:$B,0))*12,0,AO65),0)</f>
        <v>0</v>
      </c>
      <c r="AQ60" s="152">
        <f t="array" ref="AQ60">IF(AQ$3&lt;=INDEX(Inputs!$C:$C,MATCH("End Year",Inputs!$B:$B,0))*12,IF(AQ$3&lt;=INDEX(Inputs!$C:$C,MATCH("Refi Year",Inputs!$B:$B,0))*12,0,AP65),0)</f>
        <v>0</v>
      </c>
      <c r="AR60" s="152">
        <f t="array" ref="AR60">IF(AR$3&lt;=INDEX(Inputs!$C:$C,MATCH("End Year",Inputs!$B:$B,0))*12,IF(AR$3&lt;=INDEX(Inputs!$C:$C,MATCH("Refi Year",Inputs!$B:$B,0))*12,0,AQ65),0)</f>
        <v>0</v>
      </c>
      <c r="AS60" s="152">
        <f t="array" ref="AS60">IF(AS$3&lt;=INDEX(Inputs!$C:$C,MATCH("End Year",Inputs!$B:$B,0))*12,IF(AS$3&lt;=INDEX(Inputs!$C:$C,MATCH("Refi Year",Inputs!$B:$B,0))*12,0,AR65),0)</f>
        <v>0</v>
      </c>
      <c r="AT60" s="152">
        <f t="array" ref="AT60">IF(AT$3&lt;=INDEX(Inputs!$C:$C,MATCH("End Year",Inputs!$B:$B,0))*12,IF(AT$3&lt;=INDEX(Inputs!$C:$C,MATCH("Refi Year",Inputs!$B:$B,0))*12,0,AS65),0)</f>
        <v>0</v>
      </c>
      <c r="AU60" s="152">
        <f t="array" ref="AU60">IF(AU$3&lt;=INDEX(Inputs!$C:$C,MATCH("End Year",Inputs!$B:$B,0))*12,IF(AU$3&lt;=INDEX(Inputs!$C:$C,MATCH("Refi Year",Inputs!$B:$B,0))*12,0,AT65),0)</f>
        <v>0</v>
      </c>
      <c r="AV60" s="152">
        <f t="array" ref="AV60">IF(AV$3&lt;=INDEX(Inputs!$C:$C,MATCH("End Year",Inputs!$B:$B,0))*12,IF(AV$3&lt;=INDEX(Inputs!$C:$C,MATCH("Refi Year",Inputs!$B:$B,0))*12,0,AU65),0)</f>
        <v>0</v>
      </c>
      <c r="AW60" s="152">
        <f t="array" ref="AW60">IF(AW$3&lt;=INDEX(Inputs!$C:$C,MATCH("End Year",Inputs!$B:$B,0))*12,IF(AW$3&lt;=INDEX(Inputs!$C:$C,MATCH("Refi Year",Inputs!$B:$B,0))*12,0,AV65),0)</f>
        <v>0</v>
      </c>
      <c r="AX60" s="152">
        <f t="array" ref="AX60">IF(AX$3&lt;=INDEX(Inputs!$C:$C,MATCH("End Year",Inputs!$B:$B,0))*12,IF(AX$3&lt;=INDEX(Inputs!$C:$C,MATCH("Refi Year",Inputs!$B:$B,0))*12,0,AW65),0)</f>
        <v>0</v>
      </c>
      <c r="AY60" s="152">
        <f t="array" ref="AY60">IF(AY$3&lt;=INDEX(Inputs!$C:$C,MATCH("End Year",Inputs!$B:$B,0))*12,IF(AY$3&lt;=INDEX(Inputs!$C:$C,MATCH("Refi Year",Inputs!$B:$B,0))*12,0,AX65),0)</f>
        <v>0</v>
      </c>
      <c r="AZ60" s="152">
        <f t="array" ref="AZ60">IF(AZ$3&lt;=INDEX(Inputs!$C:$C,MATCH("End Year",Inputs!$B:$B,0))*12,IF(AZ$3&lt;=INDEX(Inputs!$C:$C,MATCH("Refi Year",Inputs!$B:$B,0))*12,0,AY65),0)</f>
        <v>0</v>
      </c>
      <c r="BA60" s="152">
        <f t="array" ref="BA60">IF(BA$3&lt;=INDEX(Inputs!$C:$C,MATCH("End Year",Inputs!$B:$B,0))*12,IF(BA$3&lt;=INDEX(Inputs!$C:$C,MATCH("Refi Year",Inputs!$B:$B,0))*12,0,AZ65),0)</f>
        <v>0</v>
      </c>
      <c r="BB60" s="152">
        <f t="array" ref="BB60">IF(BB$3&lt;=INDEX(Inputs!$C:$C,MATCH("End Year",Inputs!$B:$B,0))*12,IF(BB$3&lt;=INDEX(Inputs!$C:$C,MATCH("Refi Year",Inputs!$B:$B,0))*12,0,BA65),0)</f>
        <v>0</v>
      </c>
      <c r="BC60" s="152">
        <f t="array" ref="BC60">IF(BC$3&lt;=INDEX(Inputs!$C:$C,MATCH("End Year",Inputs!$B:$B,0))*12,IF(BC$3&lt;=INDEX(Inputs!$C:$C,MATCH("Refi Year",Inputs!$B:$B,0))*12,0,BB65),0)</f>
        <v>0</v>
      </c>
      <c r="BD60" s="152">
        <f t="array" ref="BD60">IF(BD$3&lt;=INDEX(Inputs!$C:$C,MATCH("End Year",Inputs!$B:$B,0))*12,IF(BD$3&lt;=INDEX(Inputs!$C:$C,MATCH("Refi Year",Inputs!$B:$B,0))*12,0,BC65),0)</f>
        <v>0</v>
      </c>
      <c r="BE60" s="152">
        <f t="array" ref="BE60">IF(BE$3&lt;=INDEX(Inputs!$C:$C,MATCH("End Year",Inputs!$B:$B,0))*12,IF(BE$3&lt;=INDEX(Inputs!$C:$C,MATCH("Refi Year",Inputs!$B:$B,0))*12,0,BD65),0)</f>
        <v>0</v>
      </c>
      <c r="BF60" s="152">
        <f t="array" ref="BF60">IF(BF$3&lt;=INDEX(Inputs!$C:$C,MATCH("End Year",Inputs!$B:$B,0))*12,IF(BF$3&lt;=INDEX(Inputs!$C:$C,MATCH("Refi Year",Inputs!$B:$B,0))*12,0,BE65),0)</f>
        <v>0</v>
      </c>
      <c r="BG60" s="152">
        <f t="array" ref="BG60">IF(BG$3&lt;=INDEX(Inputs!$C:$C,MATCH("End Year",Inputs!$B:$B,0))*12,IF(BG$3&lt;=INDEX(Inputs!$C:$C,MATCH("Refi Year",Inputs!$B:$B,0))*12,0,BF65),0)</f>
        <v>0</v>
      </c>
      <c r="BH60" s="152">
        <f t="array" ref="BH60">IF(BH$3&lt;=INDEX(Inputs!$C:$C,MATCH("End Year",Inputs!$B:$B,0))*12,IF(BH$3&lt;=INDEX(Inputs!$C:$C,MATCH("Refi Year",Inputs!$B:$B,0))*12,0,BG65),0)</f>
        <v>0</v>
      </c>
      <c r="BI60" s="152">
        <f t="array" ref="BI60">IF(BI$3&lt;=INDEX(Inputs!$C:$C,MATCH("End Year",Inputs!$B:$B,0))*12,IF(BI$3&lt;=INDEX(Inputs!$C:$C,MATCH("Refi Year",Inputs!$B:$B,0))*12,0,BH65),0)</f>
        <v>0</v>
      </c>
      <c r="BJ60" s="152">
        <f t="array" ref="BJ60">IF(BJ$3&lt;=INDEX(Inputs!$C:$C,MATCH("End Year",Inputs!$B:$B,0))*12,IF(BJ$3&lt;=INDEX(Inputs!$C:$C,MATCH("Refi Year",Inputs!$B:$B,0))*12,0,BI65),0)</f>
        <v>0</v>
      </c>
      <c r="BK60" s="152">
        <f t="array" ref="BK60">IF(BK$3&lt;=INDEX(Inputs!$C:$C,MATCH("End Year",Inputs!$B:$B,0))*12,IF(BK$3&lt;=INDEX(Inputs!$C:$C,MATCH("Refi Year",Inputs!$B:$B,0))*12,0,BJ65),0)</f>
        <v>0</v>
      </c>
      <c r="BL60" s="152">
        <f t="array" ref="BL60">IF(BL$3&lt;=INDEX(Inputs!$C:$C,MATCH("End Year",Inputs!$B:$B,0))*12,IF(BL$3&lt;=INDEX(Inputs!$C:$C,MATCH("Refi Year",Inputs!$B:$B,0))*12,0,BK65),0)</f>
        <v>0</v>
      </c>
      <c r="BM60" s="152">
        <f t="array" ref="BM60">IF(BM$3&lt;=INDEX(Inputs!$C:$C,MATCH("End Year",Inputs!$B:$B,0))*12,IF(BM$3&lt;=INDEX(Inputs!$C:$C,MATCH("Refi Year",Inputs!$B:$B,0))*12,0,BL65),0)</f>
        <v>0</v>
      </c>
      <c r="BN60" s="152">
        <f t="array" ref="BN60">IF(BN$3&lt;=INDEX(Inputs!$C:$C,MATCH("End Year",Inputs!$B:$B,0))*12,IF(BN$3&lt;=INDEX(Inputs!$C:$C,MATCH("Refi Year",Inputs!$B:$B,0))*12,0,BM65),0)</f>
        <v>0</v>
      </c>
      <c r="BO60" s="152">
        <f t="array" ref="BO60">IF(BO$3&lt;=INDEX(Inputs!$C:$C,MATCH("End Year",Inputs!$B:$B,0))*12,IF(BO$3&lt;=INDEX(Inputs!$C:$C,MATCH("Refi Year",Inputs!$B:$B,0))*12,0,BN65),0)</f>
        <v>0</v>
      </c>
      <c r="BP60" s="152">
        <f t="array" ref="BP60">IF(BP$3&lt;=INDEX(Inputs!$C:$C,MATCH("End Year",Inputs!$B:$B,0))*12,IF(BP$3&lt;=INDEX(Inputs!$C:$C,MATCH("Refi Year",Inputs!$B:$B,0))*12,0,BO65),0)</f>
        <v>0</v>
      </c>
      <c r="BQ60" s="152">
        <f t="array" ref="BQ60">IF(BQ$3&lt;=INDEX(Inputs!$C:$C,MATCH("End Year",Inputs!$B:$B,0))*12,IF(BQ$3&lt;=INDEX(Inputs!$C:$C,MATCH("Refi Year",Inputs!$B:$B,0))*12,0,BP65),0)</f>
        <v>0</v>
      </c>
      <c r="BR60" s="152">
        <f t="array" ref="BR60">IF(BR$3&lt;=INDEX(Inputs!$C:$C,MATCH("End Year",Inputs!$B:$B,0))*12,IF(BR$3&lt;=INDEX(Inputs!$C:$C,MATCH("Refi Year",Inputs!$B:$B,0))*12,0,BQ65),0)</f>
        <v>0</v>
      </c>
      <c r="BS60" s="152">
        <f t="array" ref="BS60">IF(BS$3&lt;=INDEX(Inputs!$C:$C,MATCH("End Year",Inputs!$B:$B,0))*12,IF(BS$3&lt;=INDEX(Inputs!$C:$C,MATCH("Refi Year",Inputs!$B:$B,0))*12,0,BR65),0)</f>
        <v>0</v>
      </c>
      <c r="BT60" s="152">
        <f t="array" ref="BT60">IF(BT$3&lt;=INDEX(Inputs!$C:$C,MATCH("End Year",Inputs!$B:$B,0))*12,IF(BT$3&lt;=INDEX(Inputs!$C:$C,MATCH("Refi Year",Inputs!$B:$B,0))*12,0,BS65),0)</f>
        <v>0</v>
      </c>
      <c r="BU60" s="152">
        <f t="array" ref="BU60">IF(BU$3&lt;=INDEX(Inputs!$C:$C,MATCH("End Year",Inputs!$B:$B,0))*12,IF(BU$3&lt;=INDEX(Inputs!$C:$C,MATCH("Refi Year",Inputs!$B:$B,0))*12,0,BT65),0)</f>
        <v>0</v>
      </c>
      <c r="BV60" s="152">
        <f t="array" ref="BV60">IF(BV$3&lt;=INDEX(Inputs!$C:$C,MATCH("End Year",Inputs!$B:$B,0))*12,IF(BV$3&lt;=INDEX(Inputs!$C:$C,MATCH("Refi Year",Inputs!$B:$B,0))*12,0,BU65),0)</f>
        <v>0</v>
      </c>
      <c r="BW60" s="152">
        <f t="array" ref="BW60">IF(BW$3&lt;=INDEX(Inputs!$C:$C,MATCH("End Year",Inputs!$B:$B,0))*12,IF(BW$3&lt;=INDEX(Inputs!$C:$C,MATCH("Refi Year",Inputs!$B:$B,0))*12,0,BV65),0)</f>
        <v>0</v>
      </c>
      <c r="BX60" s="152">
        <f t="array" ref="BX60">IF(BX$3&lt;=INDEX(Inputs!$C:$C,MATCH("End Year",Inputs!$B:$B,0))*12,IF(BX$3&lt;=INDEX(Inputs!$C:$C,MATCH("Refi Year",Inputs!$B:$B,0))*12,0,BW65),0)</f>
        <v>0</v>
      </c>
      <c r="BY60" s="152">
        <f t="array" ref="BY60">IF(BY$3&lt;=INDEX(Inputs!$C:$C,MATCH("End Year",Inputs!$B:$B,0))*12,IF(BY$3&lt;=INDEX(Inputs!$C:$C,MATCH("Refi Year",Inputs!$B:$B,0))*12,0,BX65),0)</f>
        <v>0</v>
      </c>
      <c r="BZ60" s="152">
        <f t="array" ref="BZ60">IF(BZ$3&lt;=INDEX(Inputs!$C:$C,MATCH("End Year",Inputs!$B:$B,0))*12,IF(BZ$3&lt;=INDEX(Inputs!$C:$C,MATCH("Refi Year",Inputs!$B:$B,0))*12,0,BY65),0)</f>
        <v>0</v>
      </c>
      <c r="CA60" s="152">
        <f t="array" ref="CA60">IF(CA$3&lt;=INDEX(Inputs!$C:$C,MATCH("End Year",Inputs!$B:$B,0))*12,IF(CA$3&lt;=INDEX(Inputs!$C:$C,MATCH("Refi Year",Inputs!$B:$B,0))*12,0,BZ65),0)</f>
        <v>0</v>
      </c>
      <c r="CB60" s="152">
        <f t="array" ref="CB60">IF(CB$3&lt;=INDEX(Inputs!$C:$C,MATCH("End Year",Inputs!$B:$B,0))*12,IF(CB$3&lt;=INDEX(Inputs!$C:$C,MATCH("Refi Year",Inputs!$B:$B,0))*12,0,CA65),0)</f>
        <v>0</v>
      </c>
      <c r="CC60" s="152">
        <f t="array" ref="CC60">IF(CC$3&lt;=INDEX(Inputs!$C:$C,MATCH("End Year",Inputs!$B:$B,0))*12,IF(CC$3&lt;=INDEX(Inputs!$C:$C,MATCH("Refi Year",Inputs!$B:$B,0))*12,0,CB65),0)</f>
        <v>0</v>
      </c>
      <c r="CD60" s="152">
        <f t="array" ref="CD60">IF(CD$3&lt;=INDEX(Inputs!$C:$C,MATCH("End Year",Inputs!$B:$B,0))*12,IF(CD$3&lt;=INDEX(Inputs!$C:$C,MATCH("Refi Year",Inputs!$B:$B,0))*12,0,CC65),0)</f>
        <v>0</v>
      </c>
      <c r="CE60" s="152">
        <f t="array" ref="CE60">IF(CE$3&lt;=INDEX(Inputs!$C:$C,MATCH("End Year",Inputs!$B:$B,0))*12,IF(CE$3&lt;=INDEX(Inputs!$C:$C,MATCH("Refi Year",Inputs!$B:$B,0))*12,0,CD65),0)</f>
        <v>0</v>
      </c>
      <c r="CF60" s="152">
        <f t="array" ref="CF60">IF(CF$3&lt;=INDEX(Inputs!$C:$C,MATCH("End Year",Inputs!$B:$B,0))*12,IF(CF$3&lt;=INDEX(Inputs!$C:$C,MATCH("Refi Year",Inputs!$B:$B,0))*12,0,CE65),0)</f>
        <v>0</v>
      </c>
      <c r="CG60" s="152">
        <f t="array" ref="CG60">IF(CG$3&lt;=INDEX(Inputs!$C:$C,MATCH("End Year",Inputs!$B:$B,0))*12,IF(CG$3&lt;=INDEX(Inputs!$C:$C,MATCH("Refi Year",Inputs!$B:$B,0))*12,0,CF65),0)</f>
        <v>0</v>
      </c>
      <c r="CH60" s="152">
        <f t="array" ref="CH60">IF(CH$3&lt;=INDEX(Inputs!$C:$C,MATCH("End Year",Inputs!$B:$B,0))*12,IF(CH$3&lt;=INDEX(Inputs!$C:$C,MATCH("Refi Year",Inputs!$B:$B,0))*12,0,CG65),0)</f>
        <v>0</v>
      </c>
      <c r="CI60" s="152">
        <f t="array" ref="CI60">IF(CI$3&lt;=INDEX(Inputs!$C:$C,MATCH("End Year",Inputs!$B:$B,0))*12,IF(CI$3&lt;=INDEX(Inputs!$C:$C,MATCH("Refi Year",Inputs!$B:$B,0))*12,0,CH65),0)</f>
        <v>0</v>
      </c>
      <c r="CJ60" s="152">
        <f t="array" ref="CJ60">IF(CJ$3&lt;=INDEX(Inputs!$C:$C,MATCH("End Year",Inputs!$B:$B,0))*12,IF(CJ$3&lt;=INDEX(Inputs!$C:$C,MATCH("Refi Year",Inputs!$B:$B,0))*12,0,CI65),0)</f>
        <v>0</v>
      </c>
      <c r="CK60" s="152">
        <f t="array" ref="CK60">IF(CK$3&lt;=INDEX(Inputs!$C:$C,MATCH("End Year",Inputs!$B:$B,0))*12,IF(CK$3&lt;=INDEX(Inputs!$C:$C,MATCH("Refi Year",Inputs!$B:$B,0))*12,0,CJ65),0)</f>
        <v>0</v>
      </c>
      <c r="CL60" s="152">
        <f t="array" ref="CL60">IF(CL$3&lt;=INDEX(Inputs!$C:$C,MATCH("End Year",Inputs!$B:$B,0))*12,IF(CL$3&lt;=INDEX(Inputs!$C:$C,MATCH("Refi Year",Inputs!$B:$B,0))*12,0,CK65),0)</f>
        <v>0</v>
      </c>
      <c r="CM60" s="152">
        <f t="array" ref="CM60">IF(CM$3&lt;=INDEX(Inputs!$C:$C,MATCH("End Year",Inputs!$B:$B,0))*12,IF(CM$3&lt;=INDEX(Inputs!$C:$C,MATCH("Refi Year",Inputs!$B:$B,0))*12,0,CL65),0)</f>
        <v>0</v>
      </c>
      <c r="CN60" s="152">
        <f t="array" ref="CN60">IF(CN$3&lt;=INDEX(Inputs!$C:$C,MATCH("End Year",Inputs!$B:$B,0))*12,IF(CN$3&lt;=INDEX(Inputs!$C:$C,MATCH("Refi Year",Inputs!$B:$B,0))*12,0,CM65),0)</f>
        <v>0</v>
      </c>
      <c r="CO60" s="152">
        <f t="array" ref="CO60">IF(CO$3&lt;=INDEX(Inputs!$C:$C,MATCH("End Year",Inputs!$B:$B,0))*12,IF(CO$3&lt;=INDEX(Inputs!$C:$C,MATCH("Refi Year",Inputs!$B:$B,0))*12,0,CN65),0)</f>
        <v>0</v>
      </c>
      <c r="CP60" s="152">
        <f t="array" ref="CP60">IF(CP$3&lt;=INDEX(Inputs!$C:$C,MATCH("End Year",Inputs!$B:$B,0))*12,IF(CP$3&lt;=INDEX(Inputs!$C:$C,MATCH("Refi Year",Inputs!$B:$B,0))*12,0,CO65),0)</f>
        <v>0</v>
      </c>
      <c r="CQ60" s="152">
        <f t="array" ref="CQ60">IF(CQ$3&lt;=INDEX(Inputs!$C:$C,MATCH("End Year",Inputs!$B:$B,0))*12,IF(CQ$3&lt;=INDEX(Inputs!$C:$C,MATCH("Refi Year",Inputs!$B:$B,0))*12,0,CP65),0)</f>
        <v>0</v>
      </c>
      <c r="CR60" s="152">
        <f t="array" ref="CR60">IF(CR$3&lt;=INDEX(Inputs!$C:$C,MATCH("End Year",Inputs!$B:$B,0))*12,IF(CR$3&lt;=INDEX(Inputs!$C:$C,MATCH("Refi Year",Inputs!$B:$B,0))*12,0,CQ65),0)</f>
        <v>0</v>
      </c>
      <c r="CS60" s="152">
        <f t="array" ref="CS60">IF(CS$3&lt;=INDEX(Inputs!$C:$C,MATCH("End Year",Inputs!$B:$B,0))*12,IF(CS$3&lt;=INDEX(Inputs!$C:$C,MATCH("Refi Year",Inputs!$B:$B,0))*12,0,CR65),0)</f>
        <v>0</v>
      </c>
      <c r="CT60" s="152">
        <f t="array" ref="CT60">IF(CT$3&lt;=INDEX(Inputs!$C:$C,MATCH("End Year",Inputs!$B:$B,0))*12,IF(CT$3&lt;=INDEX(Inputs!$C:$C,MATCH("Refi Year",Inputs!$B:$B,0))*12,0,CS65),0)</f>
        <v>0</v>
      </c>
      <c r="CU60" s="152">
        <f t="array" ref="CU60">IF(CU$3&lt;=INDEX(Inputs!$C:$C,MATCH("End Year",Inputs!$B:$B,0))*12,IF(CU$3&lt;=INDEX(Inputs!$C:$C,MATCH("Refi Year",Inputs!$B:$B,0))*12,0,CT65),0)</f>
        <v>0</v>
      </c>
      <c r="CV60" s="152">
        <f t="array" ref="CV60">IF(CV$3&lt;=INDEX(Inputs!$C:$C,MATCH("End Year",Inputs!$B:$B,0))*12,IF(CV$3&lt;=INDEX(Inputs!$C:$C,MATCH("Refi Year",Inputs!$B:$B,0))*12,0,CU65),0)</f>
        <v>0</v>
      </c>
      <c r="CW60" s="152">
        <f t="array" ref="CW60">IF(CW$3&lt;=INDEX(Inputs!$C:$C,MATCH("End Year",Inputs!$B:$B,0))*12,IF(CW$3&lt;=INDEX(Inputs!$C:$C,MATCH("Refi Year",Inputs!$B:$B,0))*12,0,CV65),0)</f>
        <v>0</v>
      </c>
      <c r="CX60" s="152">
        <f t="array" ref="CX60">IF(CX$3&lt;=INDEX(Inputs!$C:$C,MATCH("End Year",Inputs!$B:$B,0))*12,IF(CX$3&lt;=INDEX(Inputs!$C:$C,MATCH("Refi Year",Inputs!$B:$B,0))*12,0,CW65),0)</f>
        <v>0</v>
      </c>
      <c r="CY60" s="152">
        <f t="array" ref="CY60">IF(CY$3&lt;=INDEX(Inputs!$C:$C,MATCH("End Year",Inputs!$B:$B,0))*12,IF(CY$3&lt;=INDEX(Inputs!$C:$C,MATCH("Refi Year",Inputs!$B:$B,0))*12,0,CX65),0)</f>
        <v>0</v>
      </c>
      <c r="CZ60" s="152">
        <f t="array" ref="CZ60">IF(CZ$3&lt;=INDEX(Inputs!$C:$C,MATCH("End Year",Inputs!$B:$B,0))*12,IF(CZ$3&lt;=INDEX(Inputs!$C:$C,MATCH("Refi Year",Inputs!$B:$B,0))*12,0,CY65),0)</f>
        <v>0</v>
      </c>
      <c r="DA60" s="152">
        <f t="array" ref="DA60">IF(DA$3&lt;=INDEX(Inputs!$C:$C,MATCH("End Year",Inputs!$B:$B,0))*12,IF(DA$3&lt;=INDEX(Inputs!$C:$C,MATCH("Refi Year",Inputs!$B:$B,0))*12,0,CZ65),0)</f>
        <v>0</v>
      </c>
      <c r="DB60" s="152">
        <f t="array" ref="DB60">IF(DB$3&lt;=INDEX(Inputs!$C:$C,MATCH("End Year",Inputs!$B:$B,0))*12,IF(DB$3&lt;=INDEX(Inputs!$C:$C,MATCH("Refi Year",Inputs!$B:$B,0))*12,0,DA65),0)</f>
        <v>0</v>
      </c>
      <c r="DC60" s="152">
        <f t="array" ref="DC60">IF(DC$3&lt;=INDEX(Inputs!$C:$C,MATCH("End Year",Inputs!$B:$B,0))*12,IF(DC$3&lt;=INDEX(Inputs!$C:$C,MATCH("Refi Year",Inputs!$B:$B,0))*12,0,DB65),0)</f>
        <v>0</v>
      </c>
      <c r="DD60" s="152">
        <f t="array" ref="DD60">IF(DD$3&lt;=INDEX(Inputs!$C:$C,MATCH("End Year",Inputs!$B:$B,0))*12,IF(DD$3&lt;=INDEX(Inputs!$C:$C,MATCH("Refi Year",Inputs!$B:$B,0))*12,0,DC65),0)</f>
        <v>0</v>
      </c>
      <c r="DE60" s="152">
        <f t="array" ref="DE60">IF(DE$3&lt;=INDEX(Inputs!$C:$C,MATCH("End Year",Inputs!$B:$B,0))*12,IF(DE$3&lt;=INDEX(Inputs!$C:$C,MATCH("Refi Year",Inputs!$B:$B,0))*12,0,DD65),0)</f>
        <v>0</v>
      </c>
      <c r="DF60" s="152">
        <f t="array" ref="DF60">IF(DF$3&lt;=INDEX(Inputs!$C:$C,MATCH("End Year",Inputs!$B:$B,0))*12,IF(DF$3&lt;=INDEX(Inputs!$C:$C,MATCH("Refi Year",Inputs!$B:$B,0))*12,0,DE65),0)</f>
        <v>0</v>
      </c>
      <c r="DG60" s="152">
        <f t="array" ref="DG60">IF(DG$3&lt;=INDEX(Inputs!$C:$C,MATCH("End Year",Inputs!$B:$B,0))*12,IF(DG$3&lt;=INDEX(Inputs!$C:$C,MATCH("Refi Year",Inputs!$B:$B,0))*12,0,DF65),0)</f>
        <v>0</v>
      </c>
      <c r="DH60" s="152">
        <f t="array" ref="DH60">IF(DH$3&lt;=INDEX(Inputs!$C:$C,MATCH("End Year",Inputs!$B:$B,0))*12,IF(DH$3&lt;=INDEX(Inputs!$C:$C,MATCH("Refi Year",Inputs!$B:$B,0))*12,0,DG65),0)</f>
        <v>0</v>
      </c>
      <c r="DI60" s="152">
        <f t="array" ref="DI60">IF(DI$3&lt;=INDEX(Inputs!$C:$C,MATCH("End Year",Inputs!$B:$B,0))*12,IF(DI$3&lt;=INDEX(Inputs!$C:$C,MATCH("Refi Year",Inputs!$B:$B,0))*12,0,DH65),0)</f>
        <v>0</v>
      </c>
      <c r="DJ60" s="152">
        <f t="array" ref="DJ60">IF(DJ$3&lt;=INDEX(Inputs!$C:$C,MATCH("End Year",Inputs!$B:$B,0))*12,IF(DJ$3&lt;=INDEX(Inputs!$C:$C,MATCH("Refi Year",Inputs!$B:$B,0))*12,0,DI65),0)</f>
        <v>0</v>
      </c>
      <c r="DK60" s="152">
        <f t="array" ref="DK60">IF(DK$3&lt;=INDEX(Inputs!$C:$C,MATCH("End Year",Inputs!$B:$B,0))*12,IF(DK$3&lt;=INDEX(Inputs!$C:$C,MATCH("Refi Year",Inputs!$B:$B,0))*12,0,DJ65),0)</f>
        <v>0</v>
      </c>
      <c r="DL60" s="152">
        <f t="array" ref="DL60">IF(DL$3&lt;=INDEX(Inputs!$C:$C,MATCH("End Year",Inputs!$B:$B,0))*12,IF(DL$3&lt;=INDEX(Inputs!$C:$C,MATCH("Refi Year",Inputs!$B:$B,0))*12,0,DK65),0)</f>
        <v>0</v>
      </c>
      <c r="DM60" s="152">
        <f t="array" ref="DM60">IF(DM$3&lt;=INDEX(Inputs!$C:$C,MATCH("End Year",Inputs!$B:$B,0))*12,IF(DM$3&lt;=INDEX(Inputs!$C:$C,MATCH("Refi Year",Inputs!$B:$B,0))*12,0,DL65),0)</f>
        <v>0</v>
      </c>
      <c r="DN60" s="152">
        <f t="array" ref="DN60">IF(DN$3&lt;=INDEX(Inputs!$C:$C,MATCH("End Year",Inputs!$B:$B,0))*12,IF(DN$3&lt;=INDEX(Inputs!$C:$C,MATCH("Refi Year",Inputs!$B:$B,0))*12,0,DM65),0)</f>
        <v>0</v>
      </c>
      <c r="DO60" s="152">
        <f t="array" ref="DO60">IF(DO$3&lt;=INDEX(Inputs!$C:$C,MATCH("End Year",Inputs!$B:$B,0))*12,IF(DO$3&lt;=INDEX(Inputs!$C:$C,MATCH("Refi Year",Inputs!$B:$B,0))*12,0,DN65),0)</f>
        <v>0</v>
      </c>
      <c r="DP60" s="152">
        <f t="array" ref="DP60">IF(DP$3&lt;=INDEX(Inputs!$C:$C,MATCH("End Year",Inputs!$B:$B,0))*12,IF(DP$3&lt;=INDEX(Inputs!$C:$C,MATCH("Refi Year",Inputs!$B:$B,0))*12,0,DO65),0)</f>
        <v>0</v>
      </c>
      <c r="DQ60" s="152">
        <f t="array" ref="DQ60">IF(DQ$3&lt;=INDEX(Inputs!$C:$C,MATCH("End Year",Inputs!$B:$B,0))*12,IF(DQ$3&lt;=INDEX(Inputs!$C:$C,MATCH("Refi Year",Inputs!$B:$B,0))*12,0,DP65),0)</f>
        <v>0</v>
      </c>
      <c r="DR60" s="152">
        <f t="array" ref="DR60">IF(DR$3&lt;=INDEX(Inputs!$C:$C,MATCH("End Year",Inputs!$B:$B,0))*12,IF(DR$3&lt;=INDEX(Inputs!$C:$C,MATCH("Refi Year",Inputs!$B:$B,0))*12,0,DQ65),0)</f>
        <v>0</v>
      </c>
      <c r="DS60" s="44">
        <f t="array" ref="DS60">IF(DS$3&lt;=INDEX(Inputs!$C:$C,MATCH("End Year",Inputs!$B:$B,0))*12,IF(DS$3&lt;=INDEX(Inputs!$C:$C,MATCH("Refi Year",Inputs!$B:$B,0))*12,0,DR65),0)</f>
        <v>0</v>
      </c>
    </row>
    <row r="61" ht="15.75" customHeight="1">
      <c r="A61" s="44"/>
      <c r="B61" s="46" t="s">
        <v>340</v>
      </c>
      <c r="C61" s="152">
        <f t="array" ref="C61">IF(C$3&lt;=INDEX(Inputs!$C:$C,MATCH("End Year",Inputs!$B:$B,0))*12,IF(C$3=INDEX(Inputs!$C:$C,MATCH("Refi Year",Inputs!$B:$B,0))*12+1,INDEX(Inputs!$C:$C,MATCH("*Refi Loan Amount*",Inputs!$B:$B,0)),0),0)</f>
        <v>0</v>
      </c>
      <c r="D61" s="152">
        <f t="array" ref="D61">IF(D$3&lt;=INDEX(Inputs!$C:$C,MATCH("End Year",Inputs!$B:$B,0))*12,IF(D$3=INDEX(Inputs!$C:$C,MATCH("Refi Year",Inputs!$B:$B,0))*12+1,INDEX(Inputs!$C:$C,MATCH("*Refi Loan Amount*",Inputs!$B:$B,0)),0),0)</f>
        <v>0</v>
      </c>
      <c r="E61" s="152">
        <f t="array" ref="E61">IF(E$3&lt;=INDEX(Inputs!$C:$C,MATCH("End Year",Inputs!$B:$B,0))*12,IF(E$3=INDEX(Inputs!$C:$C,MATCH("Refi Year",Inputs!$B:$B,0))*12+1,INDEX(Inputs!$C:$C,MATCH("*Refi Loan Amount*",Inputs!$B:$B,0)),0),0)</f>
        <v>0</v>
      </c>
      <c r="F61" s="152">
        <f t="array" ref="F61">IF(F$3&lt;=INDEX(Inputs!$C:$C,MATCH("End Year",Inputs!$B:$B,0))*12,IF(F$3=INDEX(Inputs!$C:$C,MATCH("Refi Year",Inputs!$B:$B,0))*12+1,INDEX(Inputs!$C:$C,MATCH("*Refi Loan Amount*",Inputs!$B:$B,0)),0),0)</f>
        <v>0</v>
      </c>
      <c r="G61" s="152">
        <f t="array" ref="G61">IF(G$3&lt;=INDEX(Inputs!$C:$C,MATCH("End Year",Inputs!$B:$B,0))*12,IF(G$3=INDEX(Inputs!$C:$C,MATCH("Refi Year",Inputs!$B:$B,0))*12+1,INDEX(Inputs!$C:$C,MATCH("*Refi Loan Amount*",Inputs!$B:$B,0)),0),0)</f>
        <v>0</v>
      </c>
      <c r="H61" s="152">
        <f t="array" ref="H61">IF(H$3&lt;=INDEX(Inputs!$C:$C,MATCH("End Year",Inputs!$B:$B,0))*12,IF(H$3=INDEX(Inputs!$C:$C,MATCH("Refi Year",Inputs!$B:$B,0))*12+1,INDEX(Inputs!$C:$C,MATCH("*Refi Loan Amount*",Inputs!$B:$B,0)),0),0)</f>
        <v>0</v>
      </c>
      <c r="I61" s="152">
        <f t="array" ref="I61">IF(I$3&lt;=INDEX(Inputs!$C:$C,MATCH("End Year",Inputs!$B:$B,0))*12,IF(I$3=INDEX(Inputs!$C:$C,MATCH("Refi Year",Inputs!$B:$B,0))*12+1,INDEX(Inputs!$C:$C,MATCH("*Refi Loan Amount*",Inputs!$B:$B,0)),0),0)</f>
        <v>0</v>
      </c>
      <c r="J61" s="152">
        <f t="array" ref="J61">IF(J$3&lt;=INDEX(Inputs!$C:$C,MATCH("End Year",Inputs!$B:$B,0))*12,IF(J$3=INDEX(Inputs!$C:$C,MATCH("Refi Year",Inputs!$B:$B,0))*12+1,INDEX(Inputs!$C:$C,MATCH("*Refi Loan Amount*",Inputs!$B:$B,0)),0),0)</f>
        <v>0</v>
      </c>
      <c r="K61" s="152">
        <f t="array" ref="K61">IF(K$3&lt;=INDEX(Inputs!$C:$C,MATCH("End Year",Inputs!$B:$B,0))*12,IF(K$3=INDEX(Inputs!$C:$C,MATCH("Refi Year",Inputs!$B:$B,0))*12+1,INDEX(Inputs!$C:$C,MATCH("*Refi Loan Amount*",Inputs!$B:$B,0)),0),0)</f>
        <v>0</v>
      </c>
      <c r="L61" s="152">
        <f t="array" ref="L61">IF(L$3&lt;=INDEX(Inputs!$C:$C,MATCH("End Year",Inputs!$B:$B,0))*12,IF(L$3=INDEX(Inputs!$C:$C,MATCH("Refi Year",Inputs!$B:$B,0))*12+1,INDEX(Inputs!$C:$C,MATCH("*Refi Loan Amount*",Inputs!$B:$B,0)),0),0)</f>
        <v>0</v>
      </c>
      <c r="M61" s="152">
        <f t="array" ref="M61">IF(M$3&lt;=INDEX(Inputs!$C:$C,MATCH("End Year",Inputs!$B:$B,0))*12,IF(M$3=INDEX(Inputs!$C:$C,MATCH("Refi Year",Inputs!$B:$B,0))*12+1,INDEX(Inputs!$C:$C,MATCH("*Refi Loan Amount*",Inputs!$B:$B,0)),0),0)</f>
        <v>0</v>
      </c>
      <c r="N61" s="152">
        <f t="array" ref="N61">IF(N$3&lt;=INDEX(Inputs!$C:$C,MATCH("End Year",Inputs!$B:$B,0))*12,IF(N$3=INDEX(Inputs!$C:$C,MATCH("Refi Year",Inputs!$B:$B,0))*12+1,INDEX(Inputs!$C:$C,MATCH("*Refi Loan Amount*",Inputs!$B:$B,0)),0),0)</f>
        <v>0</v>
      </c>
      <c r="O61" s="152">
        <f t="array" ref="O61">IF(O$3&lt;=INDEX(Inputs!$C:$C,MATCH("End Year",Inputs!$B:$B,0))*12,IF(O$3=INDEX(Inputs!$C:$C,MATCH("Refi Year",Inputs!$B:$B,0))*12+1,INDEX(Inputs!$C:$C,MATCH("*Refi Loan Amount*",Inputs!$B:$B,0)),0),0)</f>
        <v>0</v>
      </c>
      <c r="P61" s="152">
        <f t="array" ref="P61">IF(P$3&lt;=INDEX(Inputs!$C:$C,MATCH("End Year",Inputs!$B:$B,0))*12,IF(P$3=INDEX(Inputs!$C:$C,MATCH("Refi Year",Inputs!$B:$B,0))*12+1,INDEX(Inputs!$C:$C,MATCH("*Refi Loan Amount*",Inputs!$B:$B,0)),0),0)</f>
        <v>0</v>
      </c>
      <c r="Q61" s="152">
        <f t="array" ref="Q61">IF(Q$3&lt;=INDEX(Inputs!$C:$C,MATCH("End Year",Inputs!$B:$B,0))*12,IF(Q$3=INDEX(Inputs!$C:$C,MATCH("Refi Year",Inputs!$B:$B,0))*12+1,INDEX(Inputs!$C:$C,MATCH("*Refi Loan Amount*",Inputs!$B:$B,0)),0),0)</f>
        <v>0</v>
      </c>
      <c r="R61" s="152">
        <f t="array" ref="R61">IF(R$3&lt;=INDEX(Inputs!$C:$C,MATCH("End Year",Inputs!$B:$B,0))*12,IF(R$3=INDEX(Inputs!$C:$C,MATCH("Refi Year",Inputs!$B:$B,0))*12+1,INDEX(Inputs!$C:$C,MATCH("*Refi Loan Amount*",Inputs!$B:$B,0)),0),0)</f>
        <v>0</v>
      </c>
      <c r="S61" s="152">
        <f t="array" ref="S61">IF(S$3&lt;=INDEX(Inputs!$C:$C,MATCH("End Year",Inputs!$B:$B,0))*12,IF(S$3=INDEX(Inputs!$C:$C,MATCH("Refi Year",Inputs!$B:$B,0))*12+1,INDEX(Inputs!$C:$C,MATCH("*Refi Loan Amount*",Inputs!$B:$B,0)),0),0)</f>
        <v>0</v>
      </c>
      <c r="T61" s="152">
        <f t="array" ref="T61">IF(T$3&lt;=INDEX(Inputs!$C:$C,MATCH("End Year",Inputs!$B:$B,0))*12,IF(T$3=INDEX(Inputs!$C:$C,MATCH("Refi Year",Inputs!$B:$B,0))*12+1,INDEX(Inputs!$C:$C,MATCH("*Refi Loan Amount*",Inputs!$B:$B,0)),0),0)</f>
        <v>0</v>
      </c>
      <c r="U61" s="152">
        <f t="array" ref="U61">IF(U$3&lt;=INDEX(Inputs!$C:$C,MATCH("End Year",Inputs!$B:$B,0))*12,IF(U$3=INDEX(Inputs!$C:$C,MATCH("Refi Year",Inputs!$B:$B,0))*12+1,INDEX(Inputs!$C:$C,MATCH("*Refi Loan Amount*",Inputs!$B:$B,0)),0),0)</f>
        <v>0</v>
      </c>
      <c r="V61" s="152">
        <f t="array" ref="V61">IF(V$3&lt;=INDEX(Inputs!$C:$C,MATCH("End Year",Inputs!$B:$B,0))*12,IF(V$3=INDEX(Inputs!$C:$C,MATCH("Refi Year",Inputs!$B:$B,0))*12+1,INDEX(Inputs!$C:$C,MATCH("*Refi Loan Amount*",Inputs!$B:$B,0)),0),0)</f>
        <v>0</v>
      </c>
      <c r="W61" s="152">
        <f t="array" ref="W61">IF(W$3&lt;=INDEX(Inputs!$C:$C,MATCH("End Year",Inputs!$B:$B,0))*12,IF(W$3=INDEX(Inputs!$C:$C,MATCH("Refi Year",Inputs!$B:$B,0))*12+1,INDEX(Inputs!$C:$C,MATCH("*Refi Loan Amount*",Inputs!$B:$B,0)),0),0)</f>
        <v>0</v>
      </c>
      <c r="X61" s="152">
        <f t="array" ref="X61">IF(X$3&lt;=INDEX(Inputs!$C:$C,MATCH("End Year",Inputs!$B:$B,0))*12,IF(X$3=INDEX(Inputs!$C:$C,MATCH("Refi Year",Inputs!$B:$B,0))*12+1,INDEX(Inputs!$C:$C,MATCH("*Refi Loan Amount*",Inputs!$B:$B,0)),0),0)</f>
        <v>0</v>
      </c>
      <c r="Y61" s="152">
        <f t="array" ref="Y61">IF(Y$3&lt;=INDEX(Inputs!$C:$C,MATCH("End Year",Inputs!$B:$B,0))*12,IF(Y$3=INDEX(Inputs!$C:$C,MATCH("Refi Year",Inputs!$B:$B,0))*12+1,INDEX(Inputs!$C:$C,MATCH("*Refi Loan Amount*",Inputs!$B:$B,0)),0),0)</f>
        <v>0</v>
      </c>
      <c r="Z61" s="152">
        <f t="array" ref="Z61">IF(Z$3&lt;=INDEX(Inputs!$C:$C,MATCH("End Year",Inputs!$B:$B,0))*12,IF(Z$3=INDEX(Inputs!$C:$C,MATCH("Refi Year",Inputs!$B:$B,0))*12+1,INDEX(Inputs!$C:$C,MATCH("*Refi Loan Amount*",Inputs!$B:$B,0)),0),0)</f>
        <v>0</v>
      </c>
      <c r="AA61" s="152">
        <f t="array" ref="AA61">IF(AA$3&lt;=INDEX(Inputs!$C:$C,MATCH("End Year",Inputs!$B:$B,0))*12,IF(AA$3=INDEX(Inputs!$C:$C,MATCH("Refi Year",Inputs!$B:$B,0))*12+1,INDEX(Inputs!$C:$C,MATCH("*Refi Loan Amount*",Inputs!$B:$B,0)),0),0)</f>
        <v>0</v>
      </c>
      <c r="AB61" s="152">
        <f t="array" ref="AB61">IF(AB$3&lt;=INDEX(Inputs!$C:$C,MATCH("End Year",Inputs!$B:$B,0))*12,IF(AB$3=INDEX(Inputs!$C:$C,MATCH("Refi Year",Inputs!$B:$B,0))*12+1,INDEX(Inputs!$C:$C,MATCH("*Refi Loan Amount*",Inputs!$B:$B,0)),0),0)</f>
        <v>0</v>
      </c>
      <c r="AC61" s="152">
        <f t="array" ref="AC61">IF(AC$3&lt;=INDEX(Inputs!$C:$C,MATCH("End Year",Inputs!$B:$B,0))*12,IF(AC$3=INDEX(Inputs!$C:$C,MATCH("Refi Year",Inputs!$B:$B,0))*12+1,INDEX(Inputs!$C:$C,MATCH("*Refi Loan Amount*",Inputs!$B:$B,0)),0),0)</f>
        <v>0</v>
      </c>
      <c r="AD61" s="152">
        <f t="array" ref="AD61">IF(AD$3&lt;=INDEX(Inputs!$C:$C,MATCH("End Year",Inputs!$B:$B,0))*12,IF(AD$3=INDEX(Inputs!$C:$C,MATCH("Refi Year",Inputs!$B:$B,0))*12+1,INDEX(Inputs!$C:$C,MATCH("*Refi Loan Amount*",Inputs!$B:$B,0)),0),0)</f>
        <v>0</v>
      </c>
      <c r="AE61" s="152">
        <f t="array" ref="AE61">IF(AE$3&lt;=INDEX(Inputs!$C:$C,MATCH("End Year",Inputs!$B:$B,0))*12,IF(AE$3=INDEX(Inputs!$C:$C,MATCH("Refi Year",Inputs!$B:$B,0))*12+1,INDEX(Inputs!$C:$C,MATCH("*Refi Loan Amount*",Inputs!$B:$B,0)),0),0)</f>
        <v>0</v>
      </c>
      <c r="AF61" s="152">
        <f t="array" ref="AF61">IF(AF$3&lt;=INDEX(Inputs!$C:$C,MATCH("End Year",Inputs!$B:$B,0))*12,IF(AF$3=INDEX(Inputs!$C:$C,MATCH("Refi Year",Inputs!$B:$B,0))*12+1,INDEX(Inputs!$C:$C,MATCH("*Refi Loan Amount*",Inputs!$B:$B,0)),0),0)</f>
        <v>0</v>
      </c>
      <c r="AG61" s="152">
        <f t="array" ref="AG61">IF(AG$3&lt;=INDEX(Inputs!$C:$C,MATCH("End Year",Inputs!$B:$B,0))*12,IF(AG$3=INDEX(Inputs!$C:$C,MATCH("Refi Year",Inputs!$B:$B,0))*12+1,INDEX(Inputs!$C:$C,MATCH("*Refi Loan Amount*",Inputs!$B:$B,0)),0),0)</f>
        <v>0</v>
      </c>
      <c r="AH61" s="152">
        <f t="array" ref="AH61">IF(AH$3&lt;=INDEX(Inputs!$C:$C,MATCH("End Year",Inputs!$B:$B,0))*12,IF(AH$3=INDEX(Inputs!$C:$C,MATCH("Refi Year",Inputs!$B:$B,0))*12+1,INDEX(Inputs!$C:$C,MATCH("*Refi Loan Amount*",Inputs!$B:$B,0)),0),0)</f>
        <v>0</v>
      </c>
      <c r="AI61" s="152">
        <f t="array" ref="AI61">IF(AI$3&lt;=INDEX(Inputs!$C:$C,MATCH("End Year",Inputs!$B:$B,0))*12,IF(AI$3=INDEX(Inputs!$C:$C,MATCH("Refi Year",Inputs!$B:$B,0))*12+1,INDEX(Inputs!$C:$C,MATCH("*Refi Loan Amount*",Inputs!$B:$B,0)),0),0)</f>
        <v>0</v>
      </c>
      <c r="AJ61" s="152">
        <f t="array" ref="AJ61">IF(AJ$3&lt;=INDEX(Inputs!$C:$C,MATCH("End Year",Inputs!$B:$B,0))*12,IF(AJ$3=INDEX(Inputs!$C:$C,MATCH("Refi Year",Inputs!$B:$B,0))*12+1,INDEX(Inputs!$C:$C,MATCH("*Refi Loan Amount*",Inputs!$B:$B,0)),0),0)</f>
        <v>0</v>
      </c>
      <c r="AK61" s="152">
        <f t="array" ref="AK61">IF(AK$3&lt;=INDEX(Inputs!$C:$C,MATCH("End Year",Inputs!$B:$B,0))*12,IF(AK$3=INDEX(Inputs!$C:$C,MATCH("Refi Year",Inputs!$B:$B,0))*12+1,INDEX(Inputs!$C:$C,MATCH("*Refi Loan Amount*",Inputs!$B:$B,0)),0),0)</f>
        <v>0</v>
      </c>
      <c r="AL61" s="152">
        <f t="array" ref="AL61">IF(AL$3&lt;=INDEX(Inputs!$C:$C,MATCH("End Year",Inputs!$B:$B,0))*12,IF(AL$3=INDEX(Inputs!$C:$C,MATCH("Refi Year",Inputs!$B:$B,0))*12+1,INDEX(Inputs!$C:$C,MATCH("*Refi Loan Amount*",Inputs!$B:$B,0)),0),0)</f>
        <v>0</v>
      </c>
      <c r="AM61" s="152">
        <f t="array" ref="AM61">IF(AM$3&lt;=INDEX(Inputs!$C:$C,MATCH("End Year",Inputs!$B:$B,0))*12,IF(AM$3=INDEX(Inputs!$C:$C,MATCH("Refi Year",Inputs!$B:$B,0))*12+1,INDEX(Inputs!$C:$C,MATCH("*Refi Loan Amount*",Inputs!$B:$B,0)),0),0)</f>
        <v>0</v>
      </c>
      <c r="AN61" s="152">
        <f t="array" ref="AN61">IF(AN$3&lt;=INDEX(Inputs!$C:$C,MATCH("End Year",Inputs!$B:$B,0))*12,IF(AN$3=INDEX(Inputs!$C:$C,MATCH("Refi Year",Inputs!$B:$B,0))*12+1,INDEX(Inputs!$C:$C,MATCH("*Refi Loan Amount*",Inputs!$B:$B,0)),0),0)</f>
        <v>0</v>
      </c>
      <c r="AO61" s="152">
        <f t="array" ref="AO61">IF(AO$3&lt;=INDEX(Inputs!$C:$C,MATCH("End Year",Inputs!$B:$B,0))*12,IF(AO$3=INDEX(Inputs!$C:$C,MATCH("Refi Year",Inputs!$B:$B,0))*12+1,INDEX(Inputs!$C:$C,MATCH("*Refi Loan Amount*",Inputs!$B:$B,0)),0),0)</f>
        <v>0</v>
      </c>
      <c r="AP61" s="152">
        <f t="array" ref="AP61">IF(AP$3&lt;=INDEX(Inputs!$C:$C,MATCH("End Year",Inputs!$B:$B,0))*12,IF(AP$3=INDEX(Inputs!$C:$C,MATCH("Refi Year",Inputs!$B:$B,0))*12+1,INDEX(Inputs!$C:$C,MATCH("*Refi Loan Amount*",Inputs!$B:$B,0)),0),0)</f>
        <v>0</v>
      </c>
      <c r="AQ61" s="152">
        <f t="array" ref="AQ61">IF(AQ$3&lt;=INDEX(Inputs!$C:$C,MATCH("End Year",Inputs!$B:$B,0))*12,IF(AQ$3=INDEX(Inputs!$C:$C,MATCH("Refi Year",Inputs!$B:$B,0))*12+1,INDEX(Inputs!$C:$C,MATCH("*Refi Loan Amount*",Inputs!$B:$B,0)),0),0)</f>
        <v>0</v>
      </c>
      <c r="AR61" s="152">
        <f t="array" ref="AR61">IF(AR$3&lt;=INDEX(Inputs!$C:$C,MATCH("End Year",Inputs!$B:$B,0))*12,IF(AR$3=INDEX(Inputs!$C:$C,MATCH("Refi Year",Inputs!$B:$B,0))*12+1,INDEX(Inputs!$C:$C,MATCH("*Refi Loan Amount*",Inputs!$B:$B,0)),0),0)</f>
        <v>0</v>
      </c>
      <c r="AS61" s="152">
        <f t="array" ref="AS61">IF(AS$3&lt;=INDEX(Inputs!$C:$C,MATCH("End Year",Inputs!$B:$B,0))*12,IF(AS$3=INDEX(Inputs!$C:$C,MATCH("Refi Year",Inputs!$B:$B,0))*12+1,INDEX(Inputs!$C:$C,MATCH("*Refi Loan Amount*",Inputs!$B:$B,0)),0),0)</f>
        <v>0</v>
      </c>
      <c r="AT61" s="152">
        <f t="array" ref="AT61">IF(AT$3&lt;=INDEX(Inputs!$C:$C,MATCH("End Year",Inputs!$B:$B,0))*12,IF(AT$3=INDEX(Inputs!$C:$C,MATCH("Refi Year",Inputs!$B:$B,0))*12+1,INDEX(Inputs!$C:$C,MATCH("*Refi Loan Amount*",Inputs!$B:$B,0)),0),0)</f>
        <v>0</v>
      </c>
      <c r="AU61" s="152">
        <f t="array" ref="AU61">IF(AU$3&lt;=INDEX(Inputs!$C:$C,MATCH("End Year",Inputs!$B:$B,0))*12,IF(AU$3=INDEX(Inputs!$C:$C,MATCH("Refi Year",Inputs!$B:$B,0))*12+1,INDEX(Inputs!$C:$C,MATCH("*Refi Loan Amount*",Inputs!$B:$B,0)),0),0)</f>
        <v>0</v>
      </c>
      <c r="AV61" s="152">
        <f t="array" ref="AV61">IF(AV$3&lt;=INDEX(Inputs!$C:$C,MATCH("End Year",Inputs!$B:$B,0))*12,IF(AV$3=INDEX(Inputs!$C:$C,MATCH("Refi Year",Inputs!$B:$B,0))*12+1,INDEX(Inputs!$C:$C,MATCH("*Refi Loan Amount*",Inputs!$B:$B,0)),0),0)</f>
        <v>0</v>
      </c>
      <c r="AW61" s="152">
        <f t="array" ref="AW61">IF(AW$3&lt;=INDEX(Inputs!$C:$C,MATCH("End Year",Inputs!$B:$B,0))*12,IF(AW$3=INDEX(Inputs!$C:$C,MATCH("Refi Year",Inputs!$B:$B,0))*12+1,INDEX(Inputs!$C:$C,MATCH("*Refi Loan Amount*",Inputs!$B:$B,0)),0),0)</f>
        <v>0</v>
      </c>
      <c r="AX61" s="152">
        <f t="array" ref="AX61">IF(AX$3&lt;=INDEX(Inputs!$C:$C,MATCH("End Year",Inputs!$B:$B,0))*12,IF(AX$3=INDEX(Inputs!$C:$C,MATCH("Refi Year",Inputs!$B:$B,0))*12+1,INDEX(Inputs!$C:$C,MATCH("*Refi Loan Amount*",Inputs!$B:$B,0)),0),0)</f>
        <v>0</v>
      </c>
      <c r="AY61" s="152">
        <f t="array" ref="AY61">IF(AY$3&lt;=INDEX(Inputs!$C:$C,MATCH("End Year",Inputs!$B:$B,0))*12,IF(AY$3=INDEX(Inputs!$C:$C,MATCH("Refi Year",Inputs!$B:$B,0))*12+1,INDEX(Inputs!$C:$C,MATCH("*Refi Loan Amount*",Inputs!$B:$B,0)),0),0)</f>
        <v>0</v>
      </c>
      <c r="AZ61" s="152">
        <f t="array" ref="AZ61">IF(AZ$3&lt;=INDEX(Inputs!$C:$C,MATCH("End Year",Inputs!$B:$B,0))*12,IF(AZ$3=INDEX(Inputs!$C:$C,MATCH("Refi Year",Inputs!$B:$B,0))*12+1,INDEX(Inputs!$C:$C,MATCH("*Refi Loan Amount*",Inputs!$B:$B,0)),0),0)</f>
        <v>0</v>
      </c>
      <c r="BA61" s="152">
        <f t="array" ref="BA61">IF(BA$3&lt;=INDEX(Inputs!$C:$C,MATCH("End Year",Inputs!$B:$B,0))*12,IF(BA$3=INDEX(Inputs!$C:$C,MATCH("Refi Year",Inputs!$B:$B,0))*12+1,INDEX(Inputs!$C:$C,MATCH("*Refi Loan Amount*",Inputs!$B:$B,0)),0),0)</f>
        <v>0</v>
      </c>
      <c r="BB61" s="152">
        <f t="array" ref="BB61">IF(BB$3&lt;=INDEX(Inputs!$C:$C,MATCH("End Year",Inputs!$B:$B,0))*12,IF(BB$3=INDEX(Inputs!$C:$C,MATCH("Refi Year",Inputs!$B:$B,0))*12+1,INDEX(Inputs!$C:$C,MATCH("*Refi Loan Amount*",Inputs!$B:$B,0)),0),0)</f>
        <v>0</v>
      </c>
      <c r="BC61" s="152">
        <f t="array" ref="BC61">IF(BC$3&lt;=INDEX(Inputs!$C:$C,MATCH("End Year",Inputs!$B:$B,0))*12,IF(BC$3=INDEX(Inputs!$C:$C,MATCH("Refi Year",Inputs!$B:$B,0))*12+1,INDEX(Inputs!$C:$C,MATCH("*Refi Loan Amount*",Inputs!$B:$B,0)),0),0)</f>
        <v>0</v>
      </c>
      <c r="BD61" s="152">
        <f t="array" ref="BD61">IF(BD$3&lt;=INDEX(Inputs!$C:$C,MATCH("End Year",Inputs!$B:$B,0))*12,IF(BD$3=INDEX(Inputs!$C:$C,MATCH("Refi Year",Inputs!$B:$B,0))*12+1,INDEX(Inputs!$C:$C,MATCH("*Refi Loan Amount*",Inputs!$B:$B,0)),0),0)</f>
        <v>0</v>
      </c>
      <c r="BE61" s="152">
        <f t="array" ref="BE61">IF(BE$3&lt;=INDEX(Inputs!$C:$C,MATCH("End Year",Inputs!$B:$B,0))*12,IF(BE$3=INDEX(Inputs!$C:$C,MATCH("Refi Year",Inputs!$B:$B,0))*12+1,INDEX(Inputs!$C:$C,MATCH("*Refi Loan Amount*",Inputs!$B:$B,0)),0),0)</f>
        <v>0</v>
      </c>
      <c r="BF61" s="152">
        <f t="array" ref="BF61">IF(BF$3&lt;=INDEX(Inputs!$C:$C,MATCH("End Year",Inputs!$B:$B,0))*12,IF(BF$3=INDEX(Inputs!$C:$C,MATCH("Refi Year",Inputs!$B:$B,0))*12+1,INDEX(Inputs!$C:$C,MATCH("*Refi Loan Amount*",Inputs!$B:$B,0)),0),0)</f>
        <v>0</v>
      </c>
      <c r="BG61" s="152">
        <f t="array" ref="BG61">IF(BG$3&lt;=INDEX(Inputs!$C:$C,MATCH("End Year",Inputs!$B:$B,0))*12,IF(BG$3=INDEX(Inputs!$C:$C,MATCH("Refi Year",Inputs!$B:$B,0))*12+1,INDEX(Inputs!$C:$C,MATCH("*Refi Loan Amount*",Inputs!$B:$B,0)),0),0)</f>
        <v>0</v>
      </c>
      <c r="BH61" s="152">
        <f t="array" ref="BH61">IF(BH$3&lt;=INDEX(Inputs!$C:$C,MATCH("End Year",Inputs!$B:$B,0))*12,IF(BH$3=INDEX(Inputs!$C:$C,MATCH("Refi Year",Inputs!$B:$B,0))*12+1,INDEX(Inputs!$C:$C,MATCH("*Refi Loan Amount*",Inputs!$B:$B,0)),0),0)</f>
        <v>0</v>
      </c>
      <c r="BI61" s="152">
        <f t="array" ref="BI61">IF(BI$3&lt;=INDEX(Inputs!$C:$C,MATCH("End Year",Inputs!$B:$B,0))*12,IF(BI$3=INDEX(Inputs!$C:$C,MATCH("Refi Year",Inputs!$B:$B,0))*12+1,INDEX(Inputs!$C:$C,MATCH("*Refi Loan Amount*",Inputs!$B:$B,0)),0),0)</f>
        <v>0</v>
      </c>
      <c r="BJ61" s="152">
        <f t="array" ref="BJ61">IF(BJ$3&lt;=INDEX(Inputs!$C:$C,MATCH("End Year",Inputs!$B:$B,0))*12,IF(BJ$3=INDEX(Inputs!$C:$C,MATCH("Refi Year",Inputs!$B:$B,0))*12+1,INDEX(Inputs!$C:$C,MATCH("*Refi Loan Amount*",Inputs!$B:$B,0)),0),0)</f>
        <v>0</v>
      </c>
      <c r="BK61" s="152">
        <f t="array" ref="BK61">IF(BK$3&lt;=INDEX(Inputs!$C:$C,MATCH("End Year",Inputs!$B:$B,0))*12,IF(BK$3=INDEX(Inputs!$C:$C,MATCH("Refi Year",Inputs!$B:$B,0))*12+1,INDEX(Inputs!$C:$C,MATCH("*Refi Loan Amount*",Inputs!$B:$B,0)),0),0)</f>
        <v>0</v>
      </c>
      <c r="BL61" s="152">
        <f t="array" ref="BL61">IF(BL$3&lt;=INDEX(Inputs!$C:$C,MATCH("End Year",Inputs!$B:$B,0))*12,IF(BL$3=INDEX(Inputs!$C:$C,MATCH("Refi Year",Inputs!$B:$B,0))*12+1,INDEX(Inputs!$C:$C,MATCH("*Refi Loan Amount*",Inputs!$B:$B,0)),0),0)</f>
        <v>0</v>
      </c>
      <c r="BM61" s="152">
        <f t="array" ref="BM61">IF(BM$3&lt;=INDEX(Inputs!$C:$C,MATCH("End Year",Inputs!$B:$B,0))*12,IF(BM$3=INDEX(Inputs!$C:$C,MATCH("Refi Year",Inputs!$B:$B,0))*12+1,INDEX(Inputs!$C:$C,MATCH("*Refi Loan Amount*",Inputs!$B:$B,0)),0),0)</f>
        <v>0</v>
      </c>
      <c r="BN61" s="152">
        <f t="array" ref="BN61">IF(BN$3&lt;=INDEX(Inputs!$C:$C,MATCH("End Year",Inputs!$B:$B,0))*12,IF(BN$3=INDEX(Inputs!$C:$C,MATCH("Refi Year",Inputs!$B:$B,0))*12+1,INDEX(Inputs!$C:$C,MATCH("*Refi Loan Amount*",Inputs!$B:$B,0)),0),0)</f>
        <v>0</v>
      </c>
      <c r="BO61" s="152">
        <f t="array" ref="BO61">IF(BO$3&lt;=INDEX(Inputs!$C:$C,MATCH("End Year",Inputs!$B:$B,0))*12,IF(BO$3=INDEX(Inputs!$C:$C,MATCH("Refi Year",Inputs!$B:$B,0))*12+1,INDEX(Inputs!$C:$C,MATCH("*Refi Loan Amount*",Inputs!$B:$B,0)),0),0)</f>
        <v>0</v>
      </c>
      <c r="BP61" s="152">
        <f t="array" ref="BP61">IF(BP$3&lt;=INDEX(Inputs!$C:$C,MATCH("End Year",Inputs!$B:$B,0))*12,IF(BP$3=INDEX(Inputs!$C:$C,MATCH("Refi Year",Inputs!$B:$B,0))*12+1,INDEX(Inputs!$C:$C,MATCH("*Refi Loan Amount*",Inputs!$B:$B,0)),0),0)</f>
        <v>0</v>
      </c>
      <c r="BQ61" s="152">
        <f t="array" ref="BQ61">IF(BQ$3&lt;=INDEX(Inputs!$C:$C,MATCH("End Year",Inputs!$B:$B,0))*12,IF(BQ$3=INDEX(Inputs!$C:$C,MATCH("Refi Year",Inputs!$B:$B,0))*12+1,INDEX(Inputs!$C:$C,MATCH("*Refi Loan Amount*",Inputs!$B:$B,0)),0),0)</f>
        <v>0</v>
      </c>
      <c r="BR61" s="152">
        <f t="array" ref="BR61">IF(BR$3&lt;=INDEX(Inputs!$C:$C,MATCH("End Year",Inputs!$B:$B,0))*12,IF(BR$3=INDEX(Inputs!$C:$C,MATCH("Refi Year",Inputs!$B:$B,0))*12+1,INDEX(Inputs!$C:$C,MATCH("*Refi Loan Amount*",Inputs!$B:$B,0)),0),0)</f>
        <v>0</v>
      </c>
      <c r="BS61" s="152">
        <f t="array" ref="BS61">IF(BS$3&lt;=INDEX(Inputs!$C:$C,MATCH("End Year",Inputs!$B:$B,0))*12,IF(BS$3=INDEX(Inputs!$C:$C,MATCH("Refi Year",Inputs!$B:$B,0))*12+1,INDEX(Inputs!$C:$C,MATCH("*Refi Loan Amount*",Inputs!$B:$B,0)),0),0)</f>
        <v>0</v>
      </c>
      <c r="BT61" s="152">
        <f t="array" ref="BT61">IF(BT$3&lt;=INDEX(Inputs!$C:$C,MATCH("End Year",Inputs!$B:$B,0))*12,IF(BT$3=INDEX(Inputs!$C:$C,MATCH("Refi Year",Inputs!$B:$B,0))*12+1,INDEX(Inputs!$C:$C,MATCH("*Refi Loan Amount*",Inputs!$B:$B,0)),0),0)</f>
        <v>0</v>
      </c>
      <c r="BU61" s="152">
        <f t="array" ref="BU61">IF(BU$3&lt;=INDEX(Inputs!$C:$C,MATCH("End Year",Inputs!$B:$B,0))*12,IF(BU$3=INDEX(Inputs!$C:$C,MATCH("Refi Year",Inputs!$B:$B,0))*12+1,INDEX(Inputs!$C:$C,MATCH("*Refi Loan Amount*",Inputs!$B:$B,0)),0),0)</f>
        <v>0</v>
      </c>
      <c r="BV61" s="152">
        <f t="array" ref="BV61">IF(BV$3&lt;=INDEX(Inputs!$C:$C,MATCH("End Year",Inputs!$B:$B,0))*12,IF(BV$3=INDEX(Inputs!$C:$C,MATCH("Refi Year",Inputs!$B:$B,0))*12+1,INDEX(Inputs!$C:$C,MATCH("*Refi Loan Amount*",Inputs!$B:$B,0)),0),0)</f>
        <v>0</v>
      </c>
      <c r="BW61" s="152">
        <f t="array" ref="BW61">IF(BW$3&lt;=INDEX(Inputs!$C:$C,MATCH("End Year",Inputs!$B:$B,0))*12,IF(BW$3=INDEX(Inputs!$C:$C,MATCH("Refi Year",Inputs!$B:$B,0))*12+1,INDEX(Inputs!$C:$C,MATCH("*Refi Loan Amount*",Inputs!$B:$B,0)),0),0)</f>
        <v>0</v>
      </c>
      <c r="BX61" s="152">
        <f t="array" ref="BX61">IF(BX$3&lt;=INDEX(Inputs!$C:$C,MATCH("End Year",Inputs!$B:$B,0))*12,IF(BX$3=INDEX(Inputs!$C:$C,MATCH("Refi Year",Inputs!$B:$B,0))*12+1,INDEX(Inputs!$C:$C,MATCH("*Refi Loan Amount*",Inputs!$B:$B,0)),0),0)</f>
        <v>0</v>
      </c>
      <c r="BY61" s="152">
        <f t="array" ref="BY61">IF(BY$3&lt;=INDEX(Inputs!$C:$C,MATCH("End Year",Inputs!$B:$B,0))*12,IF(BY$3=INDEX(Inputs!$C:$C,MATCH("Refi Year",Inputs!$B:$B,0))*12+1,INDEX(Inputs!$C:$C,MATCH("*Refi Loan Amount*",Inputs!$B:$B,0)),0),0)</f>
        <v>0</v>
      </c>
      <c r="BZ61" s="152">
        <f t="array" ref="BZ61">IF(BZ$3&lt;=INDEX(Inputs!$C:$C,MATCH("End Year",Inputs!$B:$B,0))*12,IF(BZ$3=INDEX(Inputs!$C:$C,MATCH("Refi Year",Inputs!$B:$B,0))*12+1,INDEX(Inputs!$C:$C,MATCH("*Refi Loan Amount*",Inputs!$B:$B,0)),0),0)</f>
        <v>0</v>
      </c>
      <c r="CA61" s="152">
        <f t="array" ref="CA61">IF(CA$3&lt;=INDEX(Inputs!$C:$C,MATCH("End Year",Inputs!$B:$B,0))*12,IF(CA$3=INDEX(Inputs!$C:$C,MATCH("Refi Year",Inputs!$B:$B,0))*12+1,INDEX(Inputs!$C:$C,MATCH("*Refi Loan Amount*",Inputs!$B:$B,0)),0),0)</f>
        <v>0</v>
      </c>
      <c r="CB61" s="152">
        <f t="array" ref="CB61">IF(CB$3&lt;=INDEX(Inputs!$C:$C,MATCH("End Year",Inputs!$B:$B,0))*12,IF(CB$3=INDEX(Inputs!$C:$C,MATCH("Refi Year",Inputs!$B:$B,0))*12+1,INDEX(Inputs!$C:$C,MATCH("*Refi Loan Amount*",Inputs!$B:$B,0)),0),0)</f>
        <v>0</v>
      </c>
      <c r="CC61" s="152">
        <f t="array" ref="CC61">IF(CC$3&lt;=INDEX(Inputs!$C:$C,MATCH("End Year",Inputs!$B:$B,0))*12,IF(CC$3=INDEX(Inputs!$C:$C,MATCH("Refi Year",Inputs!$B:$B,0))*12+1,INDEX(Inputs!$C:$C,MATCH("*Refi Loan Amount*",Inputs!$B:$B,0)),0),0)</f>
        <v>0</v>
      </c>
      <c r="CD61" s="152">
        <f t="array" ref="CD61">IF(CD$3&lt;=INDEX(Inputs!$C:$C,MATCH("End Year",Inputs!$B:$B,0))*12,IF(CD$3=INDEX(Inputs!$C:$C,MATCH("Refi Year",Inputs!$B:$B,0))*12+1,INDEX(Inputs!$C:$C,MATCH("*Refi Loan Amount*",Inputs!$B:$B,0)),0),0)</f>
        <v>0</v>
      </c>
      <c r="CE61" s="152">
        <f t="array" ref="CE61">IF(CE$3&lt;=INDEX(Inputs!$C:$C,MATCH("End Year",Inputs!$B:$B,0))*12,IF(CE$3=INDEX(Inputs!$C:$C,MATCH("Refi Year",Inputs!$B:$B,0))*12+1,INDEX(Inputs!$C:$C,MATCH("*Refi Loan Amount*",Inputs!$B:$B,0)),0),0)</f>
        <v>0</v>
      </c>
      <c r="CF61" s="152">
        <f t="array" ref="CF61">IF(CF$3&lt;=INDEX(Inputs!$C:$C,MATCH("End Year",Inputs!$B:$B,0))*12,IF(CF$3=INDEX(Inputs!$C:$C,MATCH("Refi Year",Inputs!$B:$B,0))*12+1,INDEX(Inputs!$C:$C,MATCH("*Refi Loan Amount*",Inputs!$B:$B,0)),0),0)</f>
        <v>0</v>
      </c>
      <c r="CG61" s="152">
        <f t="array" ref="CG61">IF(CG$3&lt;=INDEX(Inputs!$C:$C,MATCH("End Year",Inputs!$B:$B,0))*12,IF(CG$3=INDEX(Inputs!$C:$C,MATCH("Refi Year",Inputs!$B:$B,0))*12+1,INDEX(Inputs!$C:$C,MATCH("*Refi Loan Amount*",Inputs!$B:$B,0)),0),0)</f>
        <v>0</v>
      </c>
      <c r="CH61" s="152">
        <f t="array" ref="CH61">IF(CH$3&lt;=INDEX(Inputs!$C:$C,MATCH("End Year",Inputs!$B:$B,0))*12,IF(CH$3=INDEX(Inputs!$C:$C,MATCH("Refi Year",Inputs!$B:$B,0))*12+1,INDEX(Inputs!$C:$C,MATCH("*Refi Loan Amount*",Inputs!$B:$B,0)),0),0)</f>
        <v>0</v>
      </c>
      <c r="CI61" s="152">
        <f t="array" ref="CI61">IF(CI$3&lt;=INDEX(Inputs!$C:$C,MATCH("End Year",Inputs!$B:$B,0))*12,IF(CI$3=INDEX(Inputs!$C:$C,MATCH("Refi Year",Inputs!$B:$B,0))*12+1,INDEX(Inputs!$C:$C,MATCH("*Refi Loan Amount*",Inputs!$B:$B,0)),0),0)</f>
        <v>0</v>
      </c>
      <c r="CJ61" s="152">
        <f t="array" ref="CJ61">IF(CJ$3&lt;=INDEX(Inputs!$C:$C,MATCH("End Year",Inputs!$B:$B,0))*12,IF(CJ$3=INDEX(Inputs!$C:$C,MATCH("Refi Year",Inputs!$B:$B,0))*12+1,INDEX(Inputs!$C:$C,MATCH("*Refi Loan Amount*",Inputs!$B:$B,0)),0),0)</f>
        <v>0</v>
      </c>
      <c r="CK61" s="152">
        <f t="array" ref="CK61">IF(CK$3&lt;=INDEX(Inputs!$C:$C,MATCH("End Year",Inputs!$B:$B,0))*12,IF(CK$3=INDEX(Inputs!$C:$C,MATCH("Refi Year",Inputs!$B:$B,0))*12+1,INDEX(Inputs!$C:$C,MATCH("*Refi Loan Amount*",Inputs!$B:$B,0)),0),0)</f>
        <v>0</v>
      </c>
      <c r="CL61" s="152">
        <f t="array" ref="CL61">IF(CL$3&lt;=INDEX(Inputs!$C:$C,MATCH("End Year",Inputs!$B:$B,0))*12,IF(CL$3=INDEX(Inputs!$C:$C,MATCH("Refi Year",Inputs!$B:$B,0))*12+1,INDEX(Inputs!$C:$C,MATCH("*Refi Loan Amount*",Inputs!$B:$B,0)),0),0)</f>
        <v>0</v>
      </c>
      <c r="CM61" s="152">
        <f t="array" ref="CM61">IF(CM$3&lt;=INDEX(Inputs!$C:$C,MATCH("End Year",Inputs!$B:$B,0))*12,IF(CM$3=INDEX(Inputs!$C:$C,MATCH("Refi Year",Inputs!$B:$B,0))*12+1,INDEX(Inputs!$C:$C,MATCH("*Refi Loan Amount*",Inputs!$B:$B,0)),0),0)</f>
        <v>0</v>
      </c>
      <c r="CN61" s="152">
        <f t="array" ref="CN61">IF(CN$3&lt;=INDEX(Inputs!$C:$C,MATCH("End Year",Inputs!$B:$B,0))*12,IF(CN$3=INDEX(Inputs!$C:$C,MATCH("Refi Year",Inputs!$B:$B,0))*12+1,INDEX(Inputs!$C:$C,MATCH("*Refi Loan Amount*",Inputs!$B:$B,0)),0),0)</f>
        <v>0</v>
      </c>
      <c r="CO61" s="152">
        <f t="array" ref="CO61">IF(CO$3&lt;=INDEX(Inputs!$C:$C,MATCH("End Year",Inputs!$B:$B,0))*12,IF(CO$3=INDEX(Inputs!$C:$C,MATCH("Refi Year",Inputs!$B:$B,0))*12+1,INDEX(Inputs!$C:$C,MATCH("*Refi Loan Amount*",Inputs!$B:$B,0)),0),0)</f>
        <v>0</v>
      </c>
      <c r="CP61" s="152">
        <f t="array" ref="CP61">IF(CP$3&lt;=INDEX(Inputs!$C:$C,MATCH("End Year",Inputs!$B:$B,0))*12,IF(CP$3=INDEX(Inputs!$C:$C,MATCH("Refi Year",Inputs!$B:$B,0))*12+1,INDEX(Inputs!$C:$C,MATCH("*Refi Loan Amount*",Inputs!$B:$B,0)),0),0)</f>
        <v>0</v>
      </c>
      <c r="CQ61" s="152">
        <f t="array" ref="CQ61">IF(CQ$3&lt;=INDEX(Inputs!$C:$C,MATCH("End Year",Inputs!$B:$B,0))*12,IF(CQ$3=INDEX(Inputs!$C:$C,MATCH("Refi Year",Inputs!$B:$B,0))*12+1,INDEX(Inputs!$C:$C,MATCH("*Refi Loan Amount*",Inputs!$B:$B,0)),0),0)</f>
        <v>0</v>
      </c>
      <c r="CR61" s="152">
        <f t="array" ref="CR61">IF(CR$3&lt;=INDEX(Inputs!$C:$C,MATCH("End Year",Inputs!$B:$B,0))*12,IF(CR$3=INDEX(Inputs!$C:$C,MATCH("Refi Year",Inputs!$B:$B,0))*12+1,INDEX(Inputs!$C:$C,MATCH("*Refi Loan Amount*",Inputs!$B:$B,0)),0),0)</f>
        <v>0</v>
      </c>
      <c r="CS61" s="152">
        <f t="array" ref="CS61">IF(CS$3&lt;=INDEX(Inputs!$C:$C,MATCH("End Year",Inputs!$B:$B,0))*12,IF(CS$3=INDEX(Inputs!$C:$C,MATCH("Refi Year",Inputs!$B:$B,0))*12+1,INDEX(Inputs!$C:$C,MATCH("*Refi Loan Amount*",Inputs!$B:$B,0)),0),0)</f>
        <v>0</v>
      </c>
      <c r="CT61" s="152">
        <f t="array" ref="CT61">IF(CT$3&lt;=INDEX(Inputs!$C:$C,MATCH("End Year",Inputs!$B:$B,0))*12,IF(CT$3=INDEX(Inputs!$C:$C,MATCH("Refi Year",Inputs!$B:$B,0))*12+1,INDEX(Inputs!$C:$C,MATCH("*Refi Loan Amount*",Inputs!$B:$B,0)),0),0)</f>
        <v>0</v>
      </c>
      <c r="CU61" s="152">
        <f t="array" ref="CU61">IF(CU$3&lt;=INDEX(Inputs!$C:$C,MATCH("End Year",Inputs!$B:$B,0))*12,IF(CU$3=INDEX(Inputs!$C:$C,MATCH("Refi Year",Inputs!$B:$B,0))*12+1,INDEX(Inputs!$C:$C,MATCH("*Refi Loan Amount*",Inputs!$B:$B,0)),0),0)</f>
        <v>0</v>
      </c>
      <c r="CV61" s="152">
        <f t="array" ref="CV61">IF(CV$3&lt;=INDEX(Inputs!$C:$C,MATCH("End Year",Inputs!$B:$B,0))*12,IF(CV$3=INDEX(Inputs!$C:$C,MATCH("Refi Year",Inputs!$B:$B,0))*12+1,INDEX(Inputs!$C:$C,MATCH("*Refi Loan Amount*",Inputs!$B:$B,0)),0),0)</f>
        <v>0</v>
      </c>
      <c r="CW61" s="152">
        <f t="array" ref="CW61">IF(CW$3&lt;=INDEX(Inputs!$C:$C,MATCH("End Year",Inputs!$B:$B,0))*12,IF(CW$3=INDEX(Inputs!$C:$C,MATCH("Refi Year",Inputs!$B:$B,0))*12+1,INDEX(Inputs!$C:$C,MATCH("*Refi Loan Amount*",Inputs!$B:$B,0)),0),0)</f>
        <v>0</v>
      </c>
      <c r="CX61" s="152">
        <f t="array" ref="CX61">IF(CX$3&lt;=INDEX(Inputs!$C:$C,MATCH("End Year",Inputs!$B:$B,0))*12,IF(CX$3=INDEX(Inputs!$C:$C,MATCH("Refi Year",Inputs!$B:$B,0))*12+1,INDEX(Inputs!$C:$C,MATCH("*Refi Loan Amount*",Inputs!$B:$B,0)),0),0)</f>
        <v>0</v>
      </c>
      <c r="CY61" s="152">
        <f t="array" ref="CY61">IF(CY$3&lt;=INDEX(Inputs!$C:$C,MATCH("End Year",Inputs!$B:$B,0))*12,IF(CY$3=INDEX(Inputs!$C:$C,MATCH("Refi Year",Inputs!$B:$B,0))*12+1,INDEX(Inputs!$C:$C,MATCH("*Refi Loan Amount*",Inputs!$B:$B,0)),0),0)</f>
        <v>0</v>
      </c>
      <c r="CZ61" s="152">
        <f t="array" ref="CZ61">IF(CZ$3&lt;=INDEX(Inputs!$C:$C,MATCH("End Year",Inputs!$B:$B,0))*12,IF(CZ$3=INDEX(Inputs!$C:$C,MATCH("Refi Year",Inputs!$B:$B,0))*12+1,INDEX(Inputs!$C:$C,MATCH("*Refi Loan Amount*",Inputs!$B:$B,0)),0),0)</f>
        <v>0</v>
      </c>
      <c r="DA61" s="152">
        <f t="array" ref="DA61">IF(DA$3&lt;=INDEX(Inputs!$C:$C,MATCH("End Year",Inputs!$B:$B,0))*12,IF(DA$3=INDEX(Inputs!$C:$C,MATCH("Refi Year",Inputs!$B:$B,0))*12+1,INDEX(Inputs!$C:$C,MATCH("*Refi Loan Amount*",Inputs!$B:$B,0)),0),0)</f>
        <v>0</v>
      </c>
      <c r="DB61" s="152">
        <f t="array" ref="DB61">IF(DB$3&lt;=INDEX(Inputs!$C:$C,MATCH("End Year",Inputs!$B:$B,0))*12,IF(DB$3=INDEX(Inputs!$C:$C,MATCH("Refi Year",Inputs!$B:$B,0))*12+1,INDEX(Inputs!$C:$C,MATCH("*Refi Loan Amount*",Inputs!$B:$B,0)),0),0)</f>
        <v>0</v>
      </c>
      <c r="DC61" s="152">
        <f t="array" ref="DC61">IF(DC$3&lt;=INDEX(Inputs!$C:$C,MATCH("End Year",Inputs!$B:$B,0))*12,IF(DC$3=INDEX(Inputs!$C:$C,MATCH("Refi Year",Inputs!$B:$B,0))*12+1,INDEX(Inputs!$C:$C,MATCH("*Refi Loan Amount*",Inputs!$B:$B,0)),0),0)</f>
        <v>0</v>
      </c>
      <c r="DD61" s="152">
        <f t="array" ref="DD61">IF(DD$3&lt;=INDEX(Inputs!$C:$C,MATCH("End Year",Inputs!$B:$B,0))*12,IF(DD$3=INDEX(Inputs!$C:$C,MATCH("Refi Year",Inputs!$B:$B,0))*12+1,INDEX(Inputs!$C:$C,MATCH("*Refi Loan Amount*",Inputs!$B:$B,0)),0),0)</f>
        <v>0</v>
      </c>
      <c r="DE61" s="152">
        <f t="array" ref="DE61">IF(DE$3&lt;=INDEX(Inputs!$C:$C,MATCH("End Year",Inputs!$B:$B,0))*12,IF(DE$3=INDEX(Inputs!$C:$C,MATCH("Refi Year",Inputs!$B:$B,0))*12+1,INDEX(Inputs!$C:$C,MATCH("*Refi Loan Amount*",Inputs!$B:$B,0)),0),0)</f>
        <v>0</v>
      </c>
      <c r="DF61" s="152">
        <f t="array" ref="DF61">IF(DF$3&lt;=INDEX(Inputs!$C:$C,MATCH("End Year",Inputs!$B:$B,0))*12,IF(DF$3=INDEX(Inputs!$C:$C,MATCH("Refi Year",Inputs!$B:$B,0))*12+1,INDEX(Inputs!$C:$C,MATCH("*Refi Loan Amount*",Inputs!$B:$B,0)),0),0)</f>
        <v>0</v>
      </c>
      <c r="DG61" s="152">
        <f t="array" ref="DG61">IF(DG$3&lt;=INDEX(Inputs!$C:$C,MATCH("End Year",Inputs!$B:$B,0))*12,IF(DG$3=INDEX(Inputs!$C:$C,MATCH("Refi Year",Inputs!$B:$B,0))*12+1,INDEX(Inputs!$C:$C,MATCH("*Refi Loan Amount*",Inputs!$B:$B,0)),0),0)</f>
        <v>0</v>
      </c>
      <c r="DH61" s="152">
        <f t="array" ref="DH61">IF(DH$3&lt;=INDEX(Inputs!$C:$C,MATCH("End Year",Inputs!$B:$B,0))*12,IF(DH$3=INDEX(Inputs!$C:$C,MATCH("Refi Year",Inputs!$B:$B,0))*12+1,INDEX(Inputs!$C:$C,MATCH("*Refi Loan Amount*",Inputs!$B:$B,0)),0),0)</f>
        <v>0</v>
      </c>
      <c r="DI61" s="152">
        <f t="array" ref="DI61">IF(DI$3&lt;=INDEX(Inputs!$C:$C,MATCH("End Year",Inputs!$B:$B,0))*12,IF(DI$3=INDEX(Inputs!$C:$C,MATCH("Refi Year",Inputs!$B:$B,0))*12+1,INDEX(Inputs!$C:$C,MATCH("*Refi Loan Amount*",Inputs!$B:$B,0)),0),0)</f>
        <v>0</v>
      </c>
      <c r="DJ61" s="152">
        <f t="array" ref="DJ61">IF(DJ$3&lt;=INDEX(Inputs!$C:$C,MATCH("End Year",Inputs!$B:$B,0))*12,IF(DJ$3=INDEX(Inputs!$C:$C,MATCH("Refi Year",Inputs!$B:$B,0))*12+1,INDEX(Inputs!$C:$C,MATCH("*Refi Loan Amount*",Inputs!$B:$B,0)),0),0)</f>
        <v>0</v>
      </c>
      <c r="DK61" s="152">
        <f t="array" ref="DK61">IF(DK$3&lt;=INDEX(Inputs!$C:$C,MATCH("End Year",Inputs!$B:$B,0))*12,IF(DK$3=INDEX(Inputs!$C:$C,MATCH("Refi Year",Inputs!$B:$B,0))*12+1,INDEX(Inputs!$C:$C,MATCH("*Refi Loan Amount*",Inputs!$B:$B,0)),0),0)</f>
        <v>0</v>
      </c>
      <c r="DL61" s="152">
        <f t="array" ref="DL61">IF(DL$3&lt;=INDEX(Inputs!$C:$C,MATCH("End Year",Inputs!$B:$B,0))*12,IF(DL$3=INDEX(Inputs!$C:$C,MATCH("Refi Year",Inputs!$B:$B,0))*12+1,INDEX(Inputs!$C:$C,MATCH("*Refi Loan Amount*",Inputs!$B:$B,0)),0),0)</f>
        <v>0</v>
      </c>
      <c r="DM61" s="152">
        <f t="array" ref="DM61">IF(DM$3&lt;=INDEX(Inputs!$C:$C,MATCH("End Year",Inputs!$B:$B,0))*12,IF(DM$3=INDEX(Inputs!$C:$C,MATCH("Refi Year",Inputs!$B:$B,0))*12+1,INDEX(Inputs!$C:$C,MATCH("*Refi Loan Amount*",Inputs!$B:$B,0)),0),0)</f>
        <v>0</v>
      </c>
      <c r="DN61" s="152">
        <f t="array" ref="DN61">IF(DN$3&lt;=INDEX(Inputs!$C:$C,MATCH("End Year",Inputs!$B:$B,0))*12,IF(DN$3=INDEX(Inputs!$C:$C,MATCH("Refi Year",Inputs!$B:$B,0))*12+1,INDEX(Inputs!$C:$C,MATCH("*Refi Loan Amount*",Inputs!$B:$B,0)),0),0)</f>
        <v>0</v>
      </c>
      <c r="DO61" s="152">
        <f t="array" ref="DO61">IF(DO$3&lt;=INDEX(Inputs!$C:$C,MATCH("End Year",Inputs!$B:$B,0))*12,IF(DO$3=INDEX(Inputs!$C:$C,MATCH("Refi Year",Inputs!$B:$B,0))*12+1,INDEX(Inputs!$C:$C,MATCH("*Refi Loan Amount*",Inputs!$B:$B,0)),0),0)</f>
        <v>0</v>
      </c>
      <c r="DP61" s="152">
        <f t="array" ref="DP61">IF(DP$3&lt;=INDEX(Inputs!$C:$C,MATCH("End Year",Inputs!$B:$B,0))*12,IF(DP$3=INDEX(Inputs!$C:$C,MATCH("Refi Year",Inputs!$B:$B,0))*12+1,INDEX(Inputs!$C:$C,MATCH("*Refi Loan Amount*",Inputs!$B:$B,0)),0),0)</f>
        <v>0</v>
      </c>
      <c r="DQ61" s="152">
        <f t="array" ref="DQ61">IF(DQ$3&lt;=INDEX(Inputs!$C:$C,MATCH("End Year",Inputs!$B:$B,0))*12,IF(DQ$3=INDEX(Inputs!$C:$C,MATCH("Refi Year",Inputs!$B:$B,0))*12+1,INDEX(Inputs!$C:$C,MATCH("*Refi Loan Amount*",Inputs!$B:$B,0)),0),0)</f>
        <v>0</v>
      </c>
      <c r="DR61" s="152">
        <f t="array" ref="DR61">IF(DR$3&lt;=INDEX(Inputs!$C:$C,MATCH("End Year",Inputs!$B:$B,0))*12,IF(DR$3=INDEX(Inputs!$C:$C,MATCH("Refi Year",Inputs!$B:$B,0))*12+1,INDEX(Inputs!$C:$C,MATCH("*Refi Loan Amount*",Inputs!$B:$B,0)),0),0)</f>
        <v>0</v>
      </c>
      <c r="DS61" s="44">
        <f t="array" ref="DS61">IF(DS$3&lt;=INDEX(Inputs!$C:$C,MATCH("End Year",Inputs!$B:$B,0))*12,IF(DS$3=INDEX(Inputs!$C:$C,MATCH("Refi Year",Inputs!$B:$B,0))*12+1,INDEX(Inputs!$C:$C,MATCH("*Refi Loan Amount*",Inputs!$B:$B,0)),0),0)</f>
        <v>0</v>
      </c>
    </row>
    <row r="62" ht="15.0" customHeight="1">
      <c r="A62" s="44"/>
      <c r="B62" s="46" t="s">
        <v>341</v>
      </c>
      <c r="C62" s="152">
        <f t="array" ref="C62">IF(C$3&lt;=INDEX(Inputs!$C:$C,MATCH("End Year",Inputs!$B:$B,0))*12,IF(C60=0,0,-C60*INDEX(Inputs!$C:$C,MATCH("*Refi Interest Rate*",Inputs!$B:$B,0))/12),0)</f>
        <v>0</v>
      </c>
      <c r="D62" s="152">
        <f t="array" ref="D62">IF(D$3&lt;=INDEX(Inputs!$C:$C,MATCH("End Year",Inputs!$B:$B,0))*12,IF(D60=0,0,-D60*INDEX(Inputs!$C:$C,MATCH("*Refi Interest Rate*",Inputs!$B:$B,0))/12),0)</f>
        <v>0</v>
      </c>
      <c r="E62" s="152">
        <f t="array" ref="E62">IF(E$3&lt;=INDEX(Inputs!$C:$C,MATCH("End Year",Inputs!$B:$B,0))*12,IF(E60=0,0,-E60*INDEX(Inputs!$C:$C,MATCH("*Refi Interest Rate*",Inputs!$B:$B,0))/12),0)</f>
        <v>0</v>
      </c>
      <c r="F62" s="152">
        <f t="array" ref="F62">IF(F$3&lt;=INDEX(Inputs!$C:$C,MATCH("End Year",Inputs!$B:$B,0))*12,IF(F60=0,0,-F60*INDEX(Inputs!$C:$C,MATCH("*Refi Interest Rate*",Inputs!$B:$B,0))/12),0)</f>
        <v>0</v>
      </c>
      <c r="G62" s="152">
        <f t="array" ref="G62">IF(G$3&lt;=INDEX(Inputs!$C:$C,MATCH("End Year",Inputs!$B:$B,0))*12,IF(G60=0,0,-G60*INDEX(Inputs!$C:$C,MATCH("*Refi Interest Rate*",Inputs!$B:$B,0))/12),0)</f>
        <v>0</v>
      </c>
      <c r="H62" s="152">
        <f t="array" ref="H62">IF(H$3&lt;=INDEX(Inputs!$C:$C,MATCH("End Year",Inputs!$B:$B,0))*12,IF(H60=0,0,-H60*INDEX(Inputs!$C:$C,MATCH("*Refi Interest Rate*",Inputs!$B:$B,0))/12),0)</f>
        <v>0</v>
      </c>
      <c r="I62" s="152">
        <f t="array" ref="I62">IF(I$3&lt;=INDEX(Inputs!$C:$C,MATCH("End Year",Inputs!$B:$B,0))*12,IF(I60=0,0,-I60*INDEX(Inputs!$C:$C,MATCH("*Refi Interest Rate*",Inputs!$B:$B,0))/12),0)</f>
        <v>0</v>
      </c>
      <c r="J62" s="152">
        <f t="array" ref="J62">IF(J$3&lt;=INDEX(Inputs!$C:$C,MATCH("End Year",Inputs!$B:$B,0))*12,IF(J60=0,0,-J60*INDEX(Inputs!$C:$C,MATCH("*Refi Interest Rate*",Inputs!$B:$B,0))/12),0)</f>
        <v>0</v>
      </c>
      <c r="K62" s="152">
        <f t="array" ref="K62">IF(K$3&lt;=INDEX(Inputs!$C:$C,MATCH("End Year",Inputs!$B:$B,0))*12,IF(K60=0,0,-K60*INDEX(Inputs!$C:$C,MATCH("*Refi Interest Rate*",Inputs!$B:$B,0))/12),0)</f>
        <v>0</v>
      </c>
      <c r="L62" s="152">
        <f t="array" ref="L62">IF(L$3&lt;=INDEX(Inputs!$C:$C,MATCH("End Year",Inputs!$B:$B,0))*12,IF(L60=0,0,-L60*INDEX(Inputs!$C:$C,MATCH("*Refi Interest Rate*",Inputs!$B:$B,0))/12),0)</f>
        <v>0</v>
      </c>
      <c r="M62" s="152">
        <f t="array" ref="M62">IF(M$3&lt;=INDEX(Inputs!$C:$C,MATCH("End Year",Inputs!$B:$B,0))*12,IF(M60=0,0,-M60*INDEX(Inputs!$C:$C,MATCH("*Refi Interest Rate*",Inputs!$B:$B,0))/12),0)</f>
        <v>0</v>
      </c>
      <c r="N62" s="152">
        <f t="array" ref="N62">IF(N$3&lt;=INDEX(Inputs!$C:$C,MATCH("End Year",Inputs!$B:$B,0))*12,IF(N60=0,0,-N60*INDEX(Inputs!$C:$C,MATCH("*Refi Interest Rate*",Inputs!$B:$B,0))/12),0)</f>
        <v>0</v>
      </c>
      <c r="O62" s="152">
        <f t="array" ref="O62">IF(O$3&lt;=INDEX(Inputs!$C:$C,MATCH("End Year",Inputs!$B:$B,0))*12,IF(O60=0,0,-O60*INDEX(Inputs!$C:$C,MATCH("*Refi Interest Rate*",Inputs!$B:$B,0))/12),0)</f>
        <v>0</v>
      </c>
      <c r="P62" s="152">
        <f t="array" ref="P62">IF(P$3&lt;=INDEX(Inputs!$C:$C,MATCH("End Year",Inputs!$B:$B,0))*12,IF(P60=0,0,-P60*INDEX(Inputs!$C:$C,MATCH("*Refi Interest Rate*",Inputs!$B:$B,0))/12),0)</f>
        <v>0</v>
      </c>
      <c r="Q62" s="152">
        <f t="array" ref="Q62">IF(Q$3&lt;=INDEX(Inputs!$C:$C,MATCH("End Year",Inputs!$B:$B,0))*12,IF(Q60=0,0,-Q60*INDEX(Inputs!$C:$C,MATCH("*Refi Interest Rate*",Inputs!$B:$B,0))/12),0)</f>
        <v>0</v>
      </c>
      <c r="R62" s="152">
        <f t="array" ref="R62">IF(R$3&lt;=INDEX(Inputs!$C:$C,MATCH("End Year",Inputs!$B:$B,0))*12,IF(R60=0,0,-R60*INDEX(Inputs!$C:$C,MATCH("*Refi Interest Rate*",Inputs!$B:$B,0))/12),0)</f>
        <v>0</v>
      </c>
      <c r="S62" s="152">
        <f t="array" ref="S62">IF(S$3&lt;=INDEX(Inputs!$C:$C,MATCH("End Year",Inputs!$B:$B,0))*12,IF(S60=0,0,-S60*INDEX(Inputs!$C:$C,MATCH("*Refi Interest Rate*",Inputs!$B:$B,0))/12),0)</f>
        <v>0</v>
      </c>
      <c r="T62" s="152">
        <f t="array" ref="T62">IF(T$3&lt;=INDEX(Inputs!$C:$C,MATCH("End Year",Inputs!$B:$B,0))*12,IF(T60=0,0,-T60*INDEX(Inputs!$C:$C,MATCH("*Refi Interest Rate*",Inputs!$B:$B,0))/12),0)</f>
        <v>0</v>
      </c>
      <c r="U62" s="152">
        <f t="array" ref="U62">IF(U$3&lt;=INDEX(Inputs!$C:$C,MATCH("End Year",Inputs!$B:$B,0))*12,IF(U60=0,0,-U60*INDEX(Inputs!$C:$C,MATCH("*Refi Interest Rate*",Inputs!$B:$B,0))/12),0)</f>
        <v>0</v>
      </c>
      <c r="V62" s="152">
        <f t="array" ref="V62">IF(V$3&lt;=INDEX(Inputs!$C:$C,MATCH("End Year",Inputs!$B:$B,0))*12,IF(V60=0,0,-V60*INDEX(Inputs!$C:$C,MATCH("*Refi Interest Rate*",Inputs!$B:$B,0))/12),0)</f>
        <v>0</v>
      </c>
      <c r="W62" s="152">
        <f t="array" ref="W62">IF(W$3&lt;=INDEX(Inputs!$C:$C,MATCH("End Year",Inputs!$B:$B,0))*12,IF(W60=0,0,-W60*INDEX(Inputs!$C:$C,MATCH("*Refi Interest Rate*",Inputs!$B:$B,0))/12),0)</f>
        <v>0</v>
      </c>
      <c r="X62" s="152">
        <f t="array" ref="X62">IF(X$3&lt;=INDEX(Inputs!$C:$C,MATCH("End Year",Inputs!$B:$B,0))*12,IF(X60=0,0,-X60*INDEX(Inputs!$C:$C,MATCH("*Refi Interest Rate*",Inputs!$B:$B,0))/12),0)</f>
        <v>0</v>
      </c>
      <c r="Y62" s="152">
        <f t="array" ref="Y62">IF(Y$3&lt;=INDEX(Inputs!$C:$C,MATCH("End Year",Inputs!$B:$B,0))*12,IF(Y60=0,0,-Y60*INDEX(Inputs!$C:$C,MATCH("*Refi Interest Rate*",Inputs!$B:$B,0))/12),0)</f>
        <v>0</v>
      </c>
      <c r="Z62" s="152">
        <f t="array" ref="Z62">IF(Z$3&lt;=INDEX(Inputs!$C:$C,MATCH("End Year",Inputs!$B:$B,0))*12,IF(Z60=0,0,-Z60*INDEX(Inputs!$C:$C,MATCH("*Refi Interest Rate*",Inputs!$B:$B,0))/12),0)</f>
        <v>0</v>
      </c>
      <c r="AA62" s="152">
        <f t="array" ref="AA62">IF(AA$3&lt;=INDEX(Inputs!$C:$C,MATCH("End Year",Inputs!$B:$B,0))*12,IF(AA60=0,0,-AA60*INDEX(Inputs!$C:$C,MATCH("*Refi Interest Rate*",Inputs!$B:$B,0))/12),0)</f>
        <v>0</v>
      </c>
      <c r="AB62" s="152">
        <f t="array" ref="AB62">IF(AB$3&lt;=INDEX(Inputs!$C:$C,MATCH("End Year",Inputs!$B:$B,0))*12,IF(AB60=0,0,-AB60*INDEX(Inputs!$C:$C,MATCH("*Refi Interest Rate*",Inputs!$B:$B,0))/12),0)</f>
        <v>0</v>
      </c>
      <c r="AC62" s="152">
        <f t="array" ref="AC62">IF(AC$3&lt;=INDEX(Inputs!$C:$C,MATCH("End Year",Inputs!$B:$B,0))*12,IF(AC60=0,0,-AC60*INDEX(Inputs!$C:$C,MATCH("*Refi Interest Rate*",Inputs!$B:$B,0))/12),0)</f>
        <v>0</v>
      </c>
      <c r="AD62" s="152">
        <f t="array" ref="AD62">IF(AD$3&lt;=INDEX(Inputs!$C:$C,MATCH("End Year",Inputs!$B:$B,0))*12,IF(AD60=0,0,-AD60*INDEX(Inputs!$C:$C,MATCH("*Refi Interest Rate*",Inputs!$B:$B,0))/12),0)</f>
        <v>0</v>
      </c>
      <c r="AE62" s="152">
        <f t="array" ref="AE62">IF(AE$3&lt;=INDEX(Inputs!$C:$C,MATCH("End Year",Inputs!$B:$B,0))*12,IF(AE60=0,0,-AE60*INDEX(Inputs!$C:$C,MATCH("*Refi Interest Rate*",Inputs!$B:$B,0))/12),0)</f>
        <v>0</v>
      </c>
      <c r="AF62" s="152">
        <f t="array" ref="AF62">IF(AF$3&lt;=INDEX(Inputs!$C:$C,MATCH("End Year",Inputs!$B:$B,0))*12,IF(AF60=0,0,-AF60*INDEX(Inputs!$C:$C,MATCH("*Refi Interest Rate*",Inputs!$B:$B,0))/12),0)</f>
        <v>0</v>
      </c>
      <c r="AG62" s="152">
        <f t="array" ref="AG62">IF(AG$3&lt;=INDEX(Inputs!$C:$C,MATCH("End Year",Inputs!$B:$B,0))*12,IF(AG60=0,0,-AG60*INDEX(Inputs!$C:$C,MATCH("*Refi Interest Rate*",Inputs!$B:$B,0))/12),0)</f>
        <v>0</v>
      </c>
      <c r="AH62" s="152">
        <f t="array" ref="AH62">IF(AH$3&lt;=INDEX(Inputs!$C:$C,MATCH("End Year",Inputs!$B:$B,0))*12,IF(AH60=0,0,-AH60*INDEX(Inputs!$C:$C,MATCH("*Refi Interest Rate*",Inputs!$B:$B,0))/12),0)</f>
        <v>0</v>
      </c>
      <c r="AI62" s="152">
        <f t="array" ref="AI62">IF(AI$3&lt;=INDEX(Inputs!$C:$C,MATCH("End Year",Inputs!$B:$B,0))*12,IF(AI60=0,0,-AI60*INDEX(Inputs!$C:$C,MATCH("*Refi Interest Rate*",Inputs!$B:$B,0))/12),0)</f>
        <v>0</v>
      </c>
      <c r="AJ62" s="152">
        <f t="array" ref="AJ62">IF(AJ$3&lt;=INDEX(Inputs!$C:$C,MATCH("End Year",Inputs!$B:$B,0))*12,IF(AJ60=0,0,-AJ60*INDEX(Inputs!$C:$C,MATCH("*Refi Interest Rate*",Inputs!$B:$B,0))/12),0)</f>
        <v>0</v>
      </c>
      <c r="AK62" s="152">
        <f t="array" ref="AK62">IF(AK$3&lt;=INDEX(Inputs!$C:$C,MATCH("End Year",Inputs!$B:$B,0))*12,IF(AK60=0,0,-AK60*INDEX(Inputs!$C:$C,MATCH("*Refi Interest Rate*",Inputs!$B:$B,0))/12),0)</f>
        <v>0</v>
      </c>
      <c r="AL62" s="152">
        <f t="array" ref="AL62">IF(AL$3&lt;=INDEX(Inputs!$C:$C,MATCH("End Year",Inputs!$B:$B,0))*12,IF(AL60=0,0,-AL60*INDEX(Inputs!$C:$C,MATCH("*Refi Interest Rate*",Inputs!$B:$B,0))/12),0)</f>
        <v>0</v>
      </c>
      <c r="AM62" s="152">
        <f t="array" ref="AM62">IF(AM$3&lt;=INDEX(Inputs!$C:$C,MATCH("End Year",Inputs!$B:$B,0))*12,IF(AM60=0,0,-AM60*INDEX(Inputs!$C:$C,MATCH("*Refi Interest Rate*",Inputs!$B:$B,0))/12),0)</f>
        <v>0</v>
      </c>
      <c r="AN62" s="152">
        <f t="array" ref="AN62">IF(AN$3&lt;=INDEX(Inputs!$C:$C,MATCH("End Year",Inputs!$B:$B,0))*12,IF(AN60=0,0,-AN60*INDEX(Inputs!$C:$C,MATCH("*Refi Interest Rate*",Inputs!$B:$B,0))/12),0)</f>
        <v>0</v>
      </c>
      <c r="AO62" s="152">
        <f t="array" ref="AO62">IF(AO$3&lt;=INDEX(Inputs!$C:$C,MATCH("End Year",Inputs!$B:$B,0))*12,IF(AO60=0,0,-AO60*INDEX(Inputs!$C:$C,MATCH("*Refi Interest Rate*",Inputs!$B:$B,0))/12),0)</f>
        <v>0</v>
      </c>
      <c r="AP62" s="152">
        <f t="array" ref="AP62">IF(AP$3&lt;=INDEX(Inputs!$C:$C,MATCH("End Year",Inputs!$B:$B,0))*12,IF(AP60=0,0,-AP60*INDEX(Inputs!$C:$C,MATCH("*Refi Interest Rate*",Inputs!$B:$B,0))/12),0)</f>
        <v>0</v>
      </c>
      <c r="AQ62" s="152">
        <f t="array" ref="AQ62">IF(AQ$3&lt;=INDEX(Inputs!$C:$C,MATCH("End Year",Inputs!$B:$B,0))*12,IF(AQ60=0,0,-AQ60*INDEX(Inputs!$C:$C,MATCH("*Refi Interest Rate*",Inputs!$B:$B,0))/12),0)</f>
        <v>0</v>
      </c>
      <c r="AR62" s="152">
        <f t="array" ref="AR62">IF(AR$3&lt;=INDEX(Inputs!$C:$C,MATCH("End Year",Inputs!$B:$B,0))*12,IF(AR60=0,0,-AR60*INDEX(Inputs!$C:$C,MATCH("*Refi Interest Rate*",Inputs!$B:$B,0))/12),0)</f>
        <v>0</v>
      </c>
      <c r="AS62" s="152">
        <f t="array" ref="AS62">IF(AS$3&lt;=INDEX(Inputs!$C:$C,MATCH("End Year",Inputs!$B:$B,0))*12,IF(AS60=0,0,-AS60*INDEX(Inputs!$C:$C,MATCH("*Refi Interest Rate*",Inputs!$B:$B,0))/12),0)</f>
        <v>0</v>
      </c>
      <c r="AT62" s="152">
        <f t="array" ref="AT62">IF(AT$3&lt;=INDEX(Inputs!$C:$C,MATCH("End Year",Inputs!$B:$B,0))*12,IF(AT60=0,0,-AT60*INDEX(Inputs!$C:$C,MATCH("*Refi Interest Rate*",Inputs!$B:$B,0))/12),0)</f>
        <v>0</v>
      </c>
      <c r="AU62" s="152">
        <f t="array" ref="AU62">IF(AU$3&lt;=INDEX(Inputs!$C:$C,MATCH("End Year",Inputs!$B:$B,0))*12,IF(AU60=0,0,-AU60*INDEX(Inputs!$C:$C,MATCH("*Refi Interest Rate*",Inputs!$B:$B,0))/12),0)</f>
        <v>0</v>
      </c>
      <c r="AV62" s="152">
        <f t="array" ref="AV62">IF(AV$3&lt;=INDEX(Inputs!$C:$C,MATCH("End Year",Inputs!$B:$B,0))*12,IF(AV60=0,0,-AV60*INDEX(Inputs!$C:$C,MATCH("*Refi Interest Rate*",Inputs!$B:$B,0))/12),0)</f>
        <v>0</v>
      </c>
      <c r="AW62" s="152">
        <f t="array" ref="AW62">IF(AW$3&lt;=INDEX(Inputs!$C:$C,MATCH("End Year",Inputs!$B:$B,0))*12,IF(AW60=0,0,-AW60*INDEX(Inputs!$C:$C,MATCH("*Refi Interest Rate*",Inputs!$B:$B,0))/12),0)</f>
        <v>0</v>
      </c>
      <c r="AX62" s="152">
        <f t="array" ref="AX62">IF(AX$3&lt;=INDEX(Inputs!$C:$C,MATCH("End Year",Inputs!$B:$B,0))*12,IF(AX60=0,0,-AX60*INDEX(Inputs!$C:$C,MATCH("*Refi Interest Rate*",Inputs!$B:$B,0))/12),0)</f>
        <v>0</v>
      </c>
      <c r="AY62" s="152">
        <f t="array" ref="AY62">IF(AY$3&lt;=INDEX(Inputs!$C:$C,MATCH("End Year",Inputs!$B:$B,0))*12,IF(AY60=0,0,-AY60*INDEX(Inputs!$C:$C,MATCH("*Refi Interest Rate*",Inputs!$B:$B,0))/12),0)</f>
        <v>0</v>
      </c>
      <c r="AZ62" s="152">
        <f t="array" ref="AZ62">IF(AZ$3&lt;=INDEX(Inputs!$C:$C,MATCH("End Year",Inputs!$B:$B,0))*12,IF(AZ60=0,0,-AZ60*INDEX(Inputs!$C:$C,MATCH("*Refi Interest Rate*",Inputs!$B:$B,0))/12),0)</f>
        <v>0</v>
      </c>
      <c r="BA62" s="152">
        <f t="array" ref="BA62">IF(BA$3&lt;=INDEX(Inputs!$C:$C,MATCH("End Year",Inputs!$B:$B,0))*12,IF(BA60=0,0,-BA60*INDEX(Inputs!$C:$C,MATCH("*Refi Interest Rate*",Inputs!$B:$B,0))/12),0)</f>
        <v>0</v>
      </c>
      <c r="BB62" s="152">
        <f t="array" ref="BB62">IF(BB$3&lt;=INDEX(Inputs!$C:$C,MATCH("End Year",Inputs!$B:$B,0))*12,IF(BB60=0,0,-BB60*INDEX(Inputs!$C:$C,MATCH("*Refi Interest Rate*",Inputs!$B:$B,0))/12),0)</f>
        <v>0</v>
      </c>
      <c r="BC62" s="152">
        <f t="array" ref="BC62">IF(BC$3&lt;=INDEX(Inputs!$C:$C,MATCH("End Year",Inputs!$B:$B,0))*12,IF(BC60=0,0,-BC60*INDEX(Inputs!$C:$C,MATCH("*Refi Interest Rate*",Inputs!$B:$B,0))/12),0)</f>
        <v>0</v>
      </c>
      <c r="BD62" s="152">
        <f t="array" ref="BD62">IF(BD$3&lt;=INDEX(Inputs!$C:$C,MATCH("End Year",Inputs!$B:$B,0))*12,IF(BD60=0,0,-BD60*INDEX(Inputs!$C:$C,MATCH("*Refi Interest Rate*",Inputs!$B:$B,0))/12),0)</f>
        <v>0</v>
      </c>
      <c r="BE62" s="152">
        <f t="array" ref="BE62">IF(BE$3&lt;=INDEX(Inputs!$C:$C,MATCH("End Year",Inputs!$B:$B,0))*12,IF(BE60=0,0,-BE60*INDEX(Inputs!$C:$C,MATCH("*Refi Interest Rate*",Inputs!$B:$B,0))/12),0)</f>
        <v>0</v>
      </c>
      <c r="BF62" s="152">
        <f t="array" ref="BF62">IF(BF$3&lt;=INDEX(Inputs!$C:$C,MATCH("End Year",Inputs!$B:$B,0))*12,IF(BF60=0,0,-BF60*INDEX(Inputs!$C:$C,MATCH("*Refi Interest Rate*",Inputs!$B:$B,0))/12),0)</f>
        <v>0</v>
      </c>
      <c r="BG62" s="152">
        <f t="array" ref="BG62">IF(BG$3&lt;=INDEX(Inputs!$C:$C,MATCH("End Year",Inputs!$B:$B,0))*12,IF(BG60=0,0,-BG60*INDEX(Inputs!$C:$C,MATCH("*Refi Interest Rate*",Inputs!$B:$B,0))/12),0)</f>
        <v>0</v>
      </c>
      <c r="BH62" s="152">
        <f t="array" ref="BH62">IF(BH$3&lt;=INDEX(Inputs!$C:$C,MATCH("End Year",Inputs!$B:$B,0))*12,IF(BH60=0,0,-BH60*INDEX(Inputs!$C:$C,MATCH("*Refi Interest Rate*",Inputs!$B:$B,0))/12),0)</f>
        <v>0</v>
      </c>
      <c r="BI62" s="152">
        <f t="array" ref="BI62">IF(BI$3&lt;=INDEX(Inputs!$C:$C,MATCH("End Year",Inputs!$B:$B,0))*12,IF(BI60=0,0,-BI60*INDEX(Inputs!$C:$C,MATCH("*Refi Interest Rate*",Inputs!$B:$B,0))/12),0)</f>
        <v>0</v>
      </c>
      <c r="BJ62" s="152">
        <f t="array" ref="BJ62">IF(BJ$3&lt;=INDEX(Inputs!$C:$C,MATCH("End Year",Inputs!$B:$B,0))*12,IF(BJ60=0,0,-BJ60*INDEX(Inputs!$C:$C,MATCH("*Refi Interest Rate*",Inputs!$B:$B,0))/12),0)</f>
        <v>0</v>
      </c>
      <c r="BK62" s="152">
        <f t="array" ref="BK62">IF(BK$3&lt;=INDEX(Inputs!$C:$C,MATCH("End Year",Inputs!$B:$B,0))*12,IF(BK60=0,0,-BK60*INDEX(Inputs!$C:$C,MATCH("*Refi Interest Rate*",Inputs!$B:$B,0))/12),0)</f>
        <v>0</v>
      </c>
      <c r="BL62" s="152">
        <f t="array" ref="BL62">IF(BL$3&lt;=INDEX(Inputs!$C:$C,MATCH("End Year",Inputs!$B:$B,0))*12,IF(BL60=0,0,-BL60*INDEX(Inputs!$C:$C,MATCH("*Refi Interest Rate*",Inputs!$B:$B,0))/12),0)</f>
        <v>0</v>
      </c>
      <c r="BM62" s="152">
        <f t="array" ref="BM62">IF(BM$3&lt;=INDEX(Inputs!$C:$C,MATCH("End Year",Inputs!$B:$B,0))*12,IF(BM60=0,0,-BM60*INDEX(Inputs!$C:$C,MATCH("*Refi Interest Rate*",Inputs!$B:$B,0))/12),0)</f>
        <v>0</v>
      </c>
      <c r="BN62" s="152">
        <f t="array" ref="BN62">IF(BN$3&lt;=INDEX(Inputs!$C:$C,MATCH("End Year",Inputs!$B:$B,0))*12,IF(BN60=0,0,-BN60*INDEX(Inputs!$C:$C,MATCH("*Refi Interest Rate*",Inputs!$B:$B,0))/12),0)</f>
        <v>0</v>
      </c>
      <c r="BO62" s="152">
        <f t="array" ref="BO62">IF(BO$3&lt;=INDEX(Inputs!$C:$C,MATCH("End Year",Inputs!$B:$B,0))*12,IF(BO60=0,0,-BO60*INDEX(Inputs!$C:$C,MATCH("*Refi Interest Rate*",Inputs!$B:$B,0))/12),0)</f>
        <v>0</v>
      </c>
      <c r="BP62" s="152">
        <f t="array" ref="BP62">IF(BP$3&lt;=INDEX(Inputs!$C:$C,MATCH("End Year",Inputs!$B:$B,0))*12,IF(BP60=0,0,-BP60*INDEX(Inputs!$C:$C,MATCH("*Refi Interest Rate*",Inputs!$B:$B,0))/12),0)</f>
        <v>0</v>
      </c>
      <c r="BQ62" s="152">
        <f t="array" ref="BQ62">IF(BQ$3&lt;=INDEX(Inputs!$C:$C,MATCH("End Year",Inputs!$B:$B,0))*12,IF(BQ60=0,0,-BQ60*INDEX(Inputs!$C:$C,MATCH("*Refi Interest Rate*",Inputs!$B:$B,0))/12),0)</f>
        <v>0</v>
      </c>
      <c r="BR62" s="152">
        <f t="array" ref="BR62">IF(BR$3&lt;=INDEX(Inputs!$C:$C,MATCH("End Year",Inputs!$B:$B,0))*12,IF(BR60=0,0,-BR60*INDEX(Inputs!$C:$C,MATCH("*Refi Interest Rate*",Inputs!$B:$B,0))/12),0)</f>
        <v>0</v>
      </c>
      <c r="BS62" s="152">
        <f t="array" ref="BS62">IF(BS$3&lt;=INDEX(Inputs!$C:$C,MATCH("End Year",Inputs!$B:$B,0))*12,IF(BS60=0,0,-BS60*INDEX(Inputs!$C:$C,MATCH("*Refi Interest Rate*",Inputs!$B:$B,0))/12),0)</f>
        <v>0</v>
      </c>
      <c r="BT62" s="152">
        <f t="array" ref="BT62">IF(BT$3&lt;=INDEX(Inputs!$C:$C,MATCH("End Year",Inputs!$B:$B,0))*12,IF(BT60=0,0,-BT60*INDEX(Inputs!$C:$C,MATCH("*Refi Interest Rate*",Inputs!$B:$B,0))/12),0)</f>
        <v>0</v>
      </c>
      <c r="BU62" s="152">
        <f t="array" ref="BU62">IF(BU$3&lt;=INDEX(Inputs!$C:$C,MATCH("End Year",Inputs!$B:$B,0))*12,IF(BU60=0,0,-BU60*INDEX(Inputs!$C:$C,MATCH("*Refi Interest Rate*",Inputs!$B:$B,0))/12),0)</f>
        <v>0</v>
      </c>
      <c r="BV62" s="152">
        <f t="array" ref="BV62">IF(BV$3&lt;=INDEX(Inputs!$C:$C,MATCH("End Year",Inputs!$B:$B,0))*12,IF(BV60=0,0,-BV60*INDEX(Inputs!$C:$C,MATCH("*Refi Interest Rate*",Inputs!$B:$B,0))/12),0)</f>
        <v>0</v>
      </c>
      <c r="BW62" s="152">
        <f t="array" ref="BW62">IF(BW$3&lt;=INDEX(Inputs!$C:$C,MATCH("End Year",Inputs!$B:$B,0))*12,IF(BW60=0,0,-BW60*INDEX(Inputs!$C:$C,MATCH("*Refi Interest Rate*",Inputs!$B:$B,0))/12),0)</f>
        <v>0</v>
      </c>
      <c r="BX62" s="152">
        <f t="array" ref="BX62">IF(BX$3&lt;=INDEX(Inputs!$C:$C,MATCH("End Year",Inputs!$B:$B,0))*12,IF(BX60=0,0,-BX60*INDEX(Inputs!$C:$C,MATCH("*Refi Interest Rate*",Inputs!$B:$B,0))/12),0)</f>
        <v>0</v>
      </c>
      <c r="BY62" s="152">
        <f t="array" ref="BY62">IF(BY$3&lt;=INDEX(Inputs!$C:$C,MATCH("End Year",Inputs!$B:$B,0))*12,IF(BY60=0,0,-BY60*INDEX(Inputs!$C:$C,MATCH("*Refi Interest Rate*",Inputs!$B:$B,0))/12),0)</f>
        <v>0</v>
      </c>
      <c r="BZ62" s="152">
        <f t="array" ref="BZ62">IF(BZ$3&lt;=INDEX(Inputs!$C:$C,MATCH("End Year",Inputs!$B:$B,0))*12,IF(BZ60=0,0,-BZ60*INDEX(Inputs!$C:$C,MATCH("*Refi Interest Rate*",Inputs!$B:$B,0))/12),0)</f>
        <v>0</v>
      </c>
      <c r="CA62" s="152">
        <f t="array" ref="CA62">IF(CA$3&lt;=INDEX(Inputs!$C:$C,MATCH("End Year",Inputs!$B:$B,0))*12,IF(CA60=0,0,-CA60*INDEX(Inputs!$C:$C,MATCH("*Refi Interest Rate*",Inputs!$B:$B,0))/12),0)</f>
        <v>0</v>
      </c>
      <c r="CB62" s="152">
        <f t="array" ref="CB62">IF(CB$3&lt;=INDEX(Inputs!$C:$C,MATCH("End Year",Inputs!$B:$B,0))*12,IF(CB60=0,0,-CB60*INDEX(Inputs!$C:$C,MATCH("*Refi Interest Rate*",Inputs!$B:$B,0))/12),0)</f>
        <v>0</v>
      </c>
      <c r="CC62" s="152">
        <f t="array" ref="CC62">IF(CC$3&lt;=INDEX(Inputs!$C:$C,MATCH("End Year",Inputs!$B:$B,0))*12,IF(CC60=0,0,-CC60*INDEX(Inputs!$C:$C,MATCH("*Refi Interest Rate*",Inputs!$B:$B,0))/12),0)</f>
        <v>0</v>
      </c>
      <c r="CD62" s="152">
        <f t="array" ref="CD62">IF(CD$3&lt;=INDEX(Inputs!$C:$C,MATCH("End Year",Inputs!$B:$B,0))*12,IF(CD60=0,0,-CD60*INDEX(Inputs!$C:$C,MATCH("*Refi Interest Rate*",Inputs!$B:$B,0))/12),0)</f>
        <v>0</v>
      </c>
      <c r="CE62" s="152">
        <f t="array" ref="CE62">IF(CE$3&lt;=INDEX(Inputs!$C:$C,MATCH("End Year",Inputs!$B:$B,0))*12,IF(CE60=0,0,-CE60*INDEX(Inputs!$C:$C,MATCH("*Refi Interest Rate*",Inputs!$B:$B,0))/12),0)</f>
        <v>0</v>
      </c>
      <c r="CF62" s="152">
        <f t="array" ref="CF62">IF(CF$3&lt;=INDEX(Inputs!$C:$C,MATCH("End Year",Inputs!$B:$B,0))*12,IF(CF60=0,0,-CF60*INDEX(Inputs!$C:$C,MATCH("*Refi Interest Rate*",Inputs!$B:$B,0))/12),0)</f>
        <v>0</v>
      </c>
      <c r="CG62" s="152">
        <f t="array" ref="CG62">IF(CG$3&lt;=INDEX(Inputs!$C:$C,MATCH("End Year",Inputs!$B:$B,0))*12,IF(CG60=0,0,-CG60*INDEX(Inputs!$C:$C,MATCH("*Refi Interest Rate*",Inputs!$B:$B,0))/12),0)</f>
        <v>0</v>
      </c>
      <c r="CH62" s="152">
        <f t="array" ref="CH62">IF(CH$3&lt;=INDEX(Inputs!$C:$C,MATCH("End Year",Inputs!$B:$B,0))*12,IF(CH60=0,0,-CH60*INDEX(Inputs!$C:$C,MATCH("*Refi Interest Rate*",Inputs!$B:$B,0))/12),0)</f>
        <v>0</v>
      </c>
      <c r="CI62" s="152">
        <f t="array" ref="CI62">IF(CI$3&lt;=INDEX(Inputs!$C:$C,MATCH("End Year",Inputs!$B:$B,0))*12,IF(CI60=0,0,-CI60*INDEX(Inputs!$C:$C,MATCH("*Refi Interest Rate*",Inputs!$B:$B,0))/12),0)</f>
        <v>0</v>
      </c>
      <c r="CJ62" s="152">
        <f t="array" ref="CJ62">IF(CJ$3&lt;=INDEX(Inputs!$C:$C,MATCH("End Year",Inputs!$B:$B,0))*12,IF(CJ60=0,0,-CJ60*INDEX(Inputs!$C:$C,MATCH("*Refi Interest Rate*",Inputs!$B:$B,0))/12),0)</f>
        <v>0</v>
      </c>
      <c r="CK62" s="152">
        <f t="array" ref="CK62">IF(CK$3&lt;=INDEX(Inputs!$C:$C,MATCH("End Year",Inputs!$B:$B,0))*12,IF(CK60=0,0,-CK60*INDEX(Inputs!$C:$C,MATCH("*Refi Interest Rate*",Inputs!$B:$B,0))/12),0)</f>
        <v>0</v>
      </c>
      <c r="CL62" s="152">
        <f t="array" ref="CL62">IF(CL$3&lt;=INDEX(Inputs!$C:$C,MATCH("End Year",Inputs!$B:$B,0))*12,IF(CL60=0,0,-CL60*INDEX(Inputs!$C:$C,MATCH("*Refi Interest Rate*",Inputs!$B:$B,0))/12),0)</f>
        <v>0</v>
      </c>
      <c r="CM62" s="152">
        <f t="array" ref="CM62">IF(CM$3&lt;=INDEX(Inputs!$C:$C,MATCH("End Year",Inputs!$B:$B,0))*12,IF(CM60=0,0,-CM60*INDEX(Inputs!$C:$C,MATCH("*Refi Interest Rate*",Inputs!$B:$B,0))/12),0)</f>
        <v>0</v>
      </c>
      <c r="CN62" s="152">
        <f t="array" ref="CN62">IF(CN$3&lt;=INDEX(Inputs!$C:$C,MATCH("End Year",Inputs!$B:$B,0))*12,IF(CN60=0,0,-CN60*INDEX(Inputs!$C:$C,MATCH("*Refi Interest Rate*",Inputs!$B:$B,0))/12),0)</f>
        <v>0</v>
      </c>
      <c r="CO62" s="152">
        <f t="array" ref="CO62">IF(CO$3&lt;=INDEX(Inputs!$C:$C,MATCH("End Year",Inputs!$B:$B,0))*12,IF(CO60=0,0,-CO60*INDEX(Inputs!$C:$C,MATCH("*Refi Interest Rate*",Inputs!$B:$B,0))/12),0)</f>
        <v>0</v>
      </c>
      <c r="CP62" s="152">
        <f t="array" ref="CP62">IF(CP$3&lt;=INDEX(Inputs!$C:$C,MATCH("End Year",Inputs!$B:$B,0))*12,IF(CP60=0,0,-CP60*INDEX(Inputs!$C:$C,MATCH("*Refi Interest Rate*",Inputs!$B:$B,0))/12),0)</f>
        <v>0</v>
      </c>
      <c r="CQ62" s="152">
        <f t="array" ref="CQ62">IF(CQ$3&lt;=INDEX(Inputs!$C:$C,MATCH("End Year",Inputs!$B:$B,0))*12,IF(CQ60=0,0,-CQ60*INDEX(Inputs!$C:$C,MATCH("*Refi Interest Rate*",Inputs!$B:$B,0))/12),0)</f>
        <v>0</v>
      </c>
      <c r="CR62" s="152">
        <f t="array" ref="CR62">IF(CR$3&lt;=INDEX(Inputs!$C:$C,MATCH("End Year",Inputs!$B:$B,0))*12,IF(CR60=0,0,-CR60*INDEX(Inputs!$C:$C,MATCH("*Refi Interest Rate*",Inputs!$B:$B,0))/12),0)</f>
        <v>0</v>
      </c>
      <c r="CS62" s="152">
        <f t="array" ref="CS62">IF(CS$3&lt;=INDEX(Inputs!$C:$C,MATCH("End Year",Inputs!$B:$B,0))*12,IF(CS60=0,0,-CS60*INDEX(Inputs!$C:$C,MATCH("*Refi Interest Rate*",Inputs!$B:$B,0))/12),0)</f>
        <v>0</v>
      </c>
      <c r="CT62" s="152">
        <f t="array" ref="CT62">IF(CT$3&lt;=INDEX(Inputs!$C:$C,MATCH("End Year",Inputs!$B:$B,0))*12,IF(CT60=0,0,-CT60*INDEX(Inputs!$C:$C,MATCH("*Refi Interest Rate*",Inputs!$B:$B,0))/12),0)</f>
        <v>0</v>
      </c>
      <c r="CU62" s="152">
        <f t="array" ref="CU62">IF(CU$3&lt;=INDEX(Inputs!$C:$C,MATCH("End Year",Inputs!$B:$B,0))*12,IF(CU60=0,0,-CU60*INDEX(Inputs!$C:$C,MATCH("*Refi Interest Rate*",Inputs!$B:$B,0))/12),0)</f>
        <v>0</v>
      </c>
      <c r="CV62" s="152">
        <f t="array" ref="CV62">IF(CV$3&lt;=INDEX(Inputs!$C:$C,MATCH("End Year",Inputs!$B:$B,0))*12,IF(CV60=0,0,-CV60*INDEX(Inputs!$C:$C,MATCH("*Refi Interest Rate*",Inputs!$B:$B,0))/12),0)</f>
        <v>0</v>
      </c>
      <c r="CW62" s="152">
        <f t="array" ref="CW62">IF(CW$3&lt;=INDEX(Inputs!$C:$C,MATCH("End Year",Inputs!$B:$B,0))*12,IF(CW60=0,0,-CW60*INDEX(Inputs!$C:$C,MATCH("*Refi Interest Rate*",Inputs!$B:$B,0))/12),0)</f>
        <v>0</v>
      </c>
      <c r="CX62" s="152">
        <f t="array" ref="CX62">IF(CX$3&lt;=INDEX(Inputs!$C:$C,MATCH("End Year",Inputs!$B:$B,0))*12,IF(CX60=0,0,-CX60*INDEX(Inputs!$C:$C,MATCH("*Refi Interest Rate*",Inputs!$B:$B,0))/12),0)</f>
        <v>0</v>
      </c>
      <c r="CY62" s="152">
        <f t="array" ref="CY62">IF(CY$3&lt;=INDEX(Inputs!$C:$C,MATCH("End Year",Inputs!$B:$B,0))*12,IF(CY60=0,0,-CY60*INDEX(Inputs!$C:$C,MATCH("*Refi Interest Rate*",Inputs!$B:$B,0))/12),0)</f>
        <v>0</v>
      </c>
      <c r="CZ62" s="152">
        <f t="array" ref="CZ62">IF(CZ$3&lt;=INDEX(Inputs!$C:$C,MATCH("End Year",Inputs!$B:$B,0))*12,IF(CZ60=0,0,-CZ60*INDEX(Inputs!$C:$C,MATCH("*Refi Interest Rate*",Inputs!$B:$B,0))/12),0)</f>
        <v>0</v>
      </c>
      <c r="DA62" s="152">
        <f t="array" ref="DA62">IF(DA$3&lt;=INDEX(Inputs!$C:$C,MATCH("End Year",Inputs!$B:$B,0))*12,IF(DA60=0,0,-DA60*INDEX(Inputs!$C:$C,MATCH("*Refi Interest Rate*",Inputs!$B:$B,0))/12),0)</f>
        <v>0</v>
      </c>
      <c r="DB62" s="152">
        <f t="array" ref="DB62">IF(DB$3&lt;=INDEX(Inputs!$C:$C,MATCH("End Year",Inputs!$B:$B,0))*12,IF(DB60=0,0,-DB60*INDEX(Inputs!$C:$C,MATCH("*Refi Interest Rate*",Inputs!$B:$B,0))/12),0)</f>
        <v>0</v>
      </c>
      <c r="DC62" s="152">
        <f t="array" ref="DC62">IF(DC$3&lt;=INDEX(Inputs!$C:$C,MATCH("End Year",Inputs!$B:$B,0))*12,IF(DC60=0,0,-DC60*INDEX(Inputs!$C:$C,MATCH("*Refi Interest Rate*",Inputs!$B:$B,0))/12),0)</f>
        <v>0</v>
      </c>
      <c r="DD62" s="152">
        <f t="array" ref="DD62">IF(DD$3&lt;=INDEX(Inputs!$C:$C,MATCH("End Year",Inputs!$B:$B,0))*12,IF(DD60=0,0,-DD60*INDEX(Inputs!$C:$C,MATCH("*Refi Interest Rate*",Inputs!$B:$B,0))/12),0)</f>
        <v>0</v>
      </c>
      <c r="DE62" s="152">
        <f t="array" ref="DE62">IF(DE$3&lt;=INDEX(Inputs!$C:$C,MATCH("End Year",Inputs!$B:$B,0))*12,IF(DE60=0,0,-DE60*INDEX(Inputs!$C:$C,MATCH("*Refi Interest Rate*",Inputs!$B:$B,0))/12),0)</f>
        <v>0</v>
      </c>
      <c r="DF62" s="152">
        <f t="array" ref="DF62">IF(DF$3&lt;=INDEX(Inputs!$C:$C,MATCH("End Year",Inputs!$B:$B,0))*12,IF(DF60=0,0,-DF60*INDEX(Inputs!$C:$C,MATCH("*Refi Interest Rate*",Inputs!$B:$B,0))/12),0)</f>
        <v>0</v>
      </c>
      <c r="DG62" s="152">
        <f t="array" ref="DG62">IF(DG$3&lt;=INDEX(Inputs!$C:$C,MATCH("End Year",Inputs!$B:$B,0))*12,IF(DG60=0,0,-DG60*INDEX(Inputs!$C:$C,MATCH("*Refi Interest Rate*",Inputs!$B:$B,0))/12),0)</f>
        <v>0</v>
      </c>
      <c r="DH62" s="152">
        <f t="array" ref="DH62">IF(DH$3&lt;=INDEX(Inputs!$C:$C,MATCH("End Year",Inputs!$B:$B,0))*12,IF(DH60=0,0,-DH60*INDEX(Inputs!$C:$C,MATCH("*Refi Interest Rate*",Inputs!$B:$B,0))/12),0)</f>
        <v>0</v>
      </c>
      <c r="DI62" s="152">
        <f t="array" ref="DI62">IF(DI$3&lt;=INDEX(Inputs!$C:$C,MATCH("End Year",Inputs!$B:$B,0))*12,IF(DI60=0,0,-DI60*INDEX(Inputs!$C:$C,MATCH("*Refi Interest Rate*",Inputs!$B:$B,0))/12),0)</f>
        <v>0</v>
      </c>
      <c r="DJ62" s="152">
        <f t="array" ref="DJ62">IF(DJ$3&lt;=INDEX(Inputs!$C:$C,MATCH("End Year",Inputs!$B:$B,0))*12,IF(DJ60=0,0,-DJ60*INDEX(Inputs!$C:$C,MATCH("*Refi Interest Rate*",Inputs!$B:$B,0))/12),0)</f>
        <v>0</v>
      </c>
      <c r="DK62" s="152">
        <f t="array" ref="DK62">IF(DK$3&lt;=INDEX(Inputs!$C:$C,MATCH("End Year",Inputs!$B:$B,0))*12,IF(DK60=0,0,-DK60*INDEX(Inputs!$C:$C,MATCH("*Refi Interest Rate*",Inputs!$B:$B,0))/12),0)</f>
        <v>0</v>
      </c>
      <c r="DL62" s="152">
        <f t="array" ref="DL62">IF(DL$3&lt;=INDEX(Inputs!$C:$C,MATCH("End Year",Inputs!$B:$B,0))*12,IF(DL60=0,0,-DL60*INDEX(Inputs!$C:$C,MATCH("*Refi Interest Rate*",Inputs!$B:$B,0))/12),0)</f>
        <v>0</v>
      </c>
      <c r="DM62" s="152">
        <f t="array" ref="DM62">IF(DM$3&lt;=INDEX(Inputs!$C:$C,MATCH("End Year",Inputs!$B:$B,0))*12,IF(DM60=0,0,-DM60*INDEX(Inputs!$C:$C,MATCH("*Refi Interest Rate*",Inputs!$B:$B,0))/12),0)</f>
        <v>0</v>
      </c>
      <c r="DN62" s="152">
        <f t="array" ref="DN62">IF(DN$3&lt;=INDEX(Inputs!$C:$C,MATCH("End Year",Inputs!$B:$B,0))*12,IF(DN60=0,0,-DN60*INDEX(Inputs!$C:$C,MATCH("*Refi Interest Rate*",Inputs!$B:$B,0))/12),0)</f>
        <v>0</v>
      </c>
      <c r="DO62" s="152">
        <f t="array" ref="DO62">IF(DO$3&lt;=INDEX(Inputs!$C:$C,MATCH("End Year",Inputs!$B:$B,0))*12,IF(DO60=0,0,-DO60*INDEX(Inputs!$C:$C,MATCH("*Refi Interest Rate*",Inputs!$B:$B,0))/12),0)</f>
        <v>0</v>
      </c>
      <c r="DP62" s="152">
        <f t="array" ref="DP62">IF(DP$3&lt;=INDEX(Inputs!$C:$C,MATCH("End Year",Inputs!$B:$B,0))*12,IF(DP60=0,0,-DP60*INDEX(Inputs!$C:$C,MATCH("*Refi Interest Rate*",Inputs!$B:$B,0))/12),0)</f>
        <v>0</v>
      </c>
      <c r="DQ62" s="152">
        <f t="array" ref="DQ62">IF(DQ$3&lt;=INDEX(Inputs!$C:$C,MATCH("End Year",Inputs!$B:$B,0))*12,IF(DQ60=0,0,-DQ60*INDEX(Inputs!$C:$C,MATCH("*Refi Interest Rate*",Inputs!$B:$B,0))/12),0)</f>
        <v>0</v>
      </c>
      <c r="DR62" s="152">
        <f t="array" ref="DR62">IF(DR$3&lt;=INDEX(Inputs!$C:$C,MATCH("End Year",Inputs!$B:$B,0))*12,IF(DR60=0,0,-DR60*INDEX(Inputs!$C:$C,MATCH("*Refi Interest Rate*",Inputs!$B:$B,0))/12),0)</f>
        <v>0</v>
      </c>
      <c r="DS62" s="44">
        <f t="array" ref="DS62">IF(DS$3&lt;=INDEX(Inputs!$C:$C,MATCH("End Year",Inputs!$B:$B,0))*12,IF(DS60=0,0,-DS60*INDEX(Inputs!$C:$C,MATCH("*Refi Interest Rate*",Inputs!$B:$B,0))/12),0)</f>
        <v>0</v>
      </c>
    </row>
    <row r="63" ht="15.0" customHeight="1">
      <c r="A63" s="44"/>
      <c r="B63" s="46" t="s">
        <v>342</v>
      </c>
      <c r="C63" s="152">
        <f t="array" ref="C63">IF(C$3&lt;=INDEX(Inputs!$C:$C,MATCH("End Year",Inputs!$B:$B,0))*12,IF(C60=0,0,IF(C$3-INDEX(Inputs!$C:$C,MATCH("Refi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Amount*",Inputs!$B:$B,0))),0)-C60*INDEX(Inputs!$C:$C,MATCH("*Refi Interest Rate*",Inputs!$B:$B,0))/12,C60))),0)</f>
        <v>0</v>
      </c>
      <c r="D63" s="152">
        <f t="array" ref="D63">IF(D$3&lt;=INDEX(Inputs!$C:$C,MATCH("End Year",Inputs!$B:$B,0))*12,IF(D60=0,0,IF(D$3-INDEX(Inputs!$C:$C,MATCH("Refi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Amount*",Inputs!$B:$B,0))),0)-D60*INDEX(Inputs!$C:$C,MATCH("*Refi Interest Rate*",Inputs!$B:$B,0))/12,D60))),0)</f>
        <v>0</v>
      </c>
      <c r="E63" s="152">
        <f t="array" ref="E63">IF(E$3&lt;=INDEX(Inputs!$C:$C,MATCH("End Year",Inputs!$B:$B,0))*12,IF(E60=0,0,IF(E$3-INDEX(Inputs!$C:$C,MATCH("Refi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Amount*",Inputs!$B:$B,0))),0)-E60*INDEX(Inputs!$C:$C,MATCH("*Refi Interest Rate*",Inputs!$B:$B,0))/12,E60))),0)</f>
        <v>0</v>
      </c>
      <c r="F63" s="152">
        <f t="array" ref="F63">IF(F$3&lt;=INDEX(Inputs!$C:$C,MATCH("End Year",Inputs!$B:$B,0))*12,IF(F60=0,0,IF(F$3-INDEX(Inputs!$C:$C,MATCH("Refi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Amount*",Inputs!$B:$B,0))),0)-F60*INDEX(Inputs!$C:$C,MATCH("*Refi Interest Rate*",Inputs!$B:$B,0))/12,F60))),0)</f>
        <v>0</v>
      </c>
      <c r="G63" s="152">
        <f t="array" ref="G63">IF(G$3&lt;=INDEX(Inputs!$C:$C,MATCH("End Year",Inputs!$B:$B,0))*12,IF(G60=0,0,IF(G$3-INDEX(Inputs!$C:$C,MATCH("Refi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Amount*",Inputs!$B:$B,0))),0)-G60*INDEX(Inputs!$C:$C,MATCH("*Refi Interest Rate*",Inputs!$B:$B,0))/12,G60))),0)</f>
        <v>0</v>
      </c>
      <c r="H63" s="152">
        <f t="array" ref="H63">IF(H$3&lt;=INDEX(Inputs!$C:$C,MATCH("End Year",Inputs!$B:$B,0))*12,IF(H60=0,0,IF(H$3-INDEX(Inputs!$C:$C,MATCH("Refi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Amount*",Inputs!$B:$B,0))),0)-H60*INDEX(Inputs!$C:$C,MATCH("*Refi Interest Rate*",Inputs!$B:$B,0))/12,H60))),0)</f>
        <v>0</v>
      </c>
      <c r="I63" s="152">
        <f t="array" ref="I63">IF(I$3&lt;=INDEX(Inputs!$C:$C,MATCH("End Year",Inputs!$B:$B,0))*12,IF(I60=0,0,IF(I$3-INDEX(Inputs!$C:$C,MATCH("Refi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Amount*",Inputs!$B:$B,0))),0)-I60*INDEX(Inputs!$C:$C,MATCH("*Refi Interest Rate*",Inputs!$B:$B,0))/12,I60))),0)</f>
        <v>0</v>
      </c>
      <c r="J63" s="152">
        <f t="array" ref="J63">IF(J$3&lt;=INDEX(Inputs!$C:$C,MATCH("End Year",Inputs!$B:$B,0))*12,IF(J60=0,0,IF(J$3-INDEX(Inputs!$C:$C,MATCH("Refi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Amount*",Inputs!$B:$B,0))),0)-J60*INDEX(Inputs!$C:$C,MATCH("*Refi Interest Rate*",Inputs!$B:$B,0))/12,J60))),0)</f>
        <v>0</v>
      </c>
      <c r="K63" s="152">
        <f t="array" ref="K63">IF(K$3&lt;=INDEX(Inputs!$C:$C,MATCH("End Year",Inputs!$B:$B,0))*12,IF(K60=0,0,IF(K$3-INDEX(Inputs!$C:$C,MATCH("Refi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Amount*",Inputs!$B:$B,0))),0)-K60*INDEX(Inputs!$C:$C,MATCH("*Refi Interest Rate*",Inputs!$B:$B,0))/12,K60))),0)</f>
        <v>0</v>
      </c>
      <c r="L63" s="152">
        <f t="array" ref="L63">IF(L$3&lt;=INDEX(Inputs!$C:$C,MATCH("End Year",Inputs!$B:$B,0))*12,IF(L60=0,0,IF(L$3-INDEX(Inputs!$C:$C,MATCH("Refi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Amount*",Inputs!$B:$B,0))),0)-L60*INDEX(Inputs!$C:$C,MATCH("*Refi Interest Rate*",Inputs!$B:$B,0))/12,L60))),0)</f>
        <v>0</v>
      </c>
      <c r="M63" s="152">
        <f t="array" ref="M63">IF(M$3&lt;=INDEX(Inputs!$C:$C,MATCH("End Year",Inputs!$B:$B,0))*12,IF(M60=0,0,IF(M$3-INDEX(Inputs!$C:$C,MATCH("Refi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Amount*",Inputs!$B:$B,0))),0)-M60*INDEX(Inputs!$C:$C,MATCH("*Refi Interest Rate*",Inputs!$B:$B,0))/12,M60))),0)</f>
        <v>0</v>
      </c>
      <c r="N63" s="152">
        <f t="array" ref="N63">IF(N$3&lt;=INDEX(Inputs!$C:$C,MATCH("End Year",Inputs!$B:$B,0))*12,IF(N60=0,0,IF(N$3-INDEX(Inputs!$C:$C,MATCH("Refi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Amount*",Inputs!$B:$B,0))),0)-N60*INDEX(Inputs!$C:$C,MATCH("*Refi Interest Rate*",Inputs!$B:$B,0))/12,N60))),0)</f>
        <v>0</v>
      </c>
      <c r="O63" s="152">
        <f t="array" ref="O63">IF(O$3&lt;=INDEX(Inputs!$C:$C,MATCH("End Year",Inputs!$B:$B,0))*12,IF(O60=0,0,IF(O$3-INDEX(Inputs!$C:$C,MATCH("Refi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Amount*",Inputs!$B:$B,0))),0)-O60*INDEX(Inputs!$C:$C,MATCH("*Refi Interest Rate*",Inputs!$B:$B,0))/12,O60))),0)</f>
        <v>0</v>
      </c>
      <c r="P63" s="152">
        <f t="array" ref="P63">IF(P$3&lt;=INDEX(Inputs!$C:$C,MATCH("End Year",Inputs!$B:$B,0))*12,IF(P60=0,0,IF(P$3-INDEX(Inputs!$C:$C,MATCH("Refi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Amount*",Inputs!$B:$B,0))),0)-P60*INDEX(Inputs!$C:$C,MATCH("*Refi Interest Rate*",Inputs!$B:$B,0))/12,P60))),0)</f>
        <v>0</v>
      </c>
      <c r="Q63" s="152">
        <f t="array" ref="Q63">IF(Q$3&lt;=INDEX(Inputs!$C:$C,MATCH("End Year",Inputs!$B:$B,0))*12,IF(Q60=0,0,IF(Q$3-INDEX(Inputs!$C:$C,MATCH("Refi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Amount*",Inputs!$B:$B,0))),0)-Q60*INDEX(Inputs!$C:$C,MATCH("*Refi Interest Rate*",Inputs!$B:$B,0))/12,Q60))),0)</f>
        <v>0</v>
      </c>
      <c r="R63" s="152">
        <f t="array" ref="R63">IF(R$3&lt;=INDEX(Inputs!$C:$C,MATCH("End Year",Inputs!$B:$B,0))*12,IF(R60=0,0,IF(R$3-INDEX(Inputs!$C:$C,MATCH("Refi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Amount*",Inputs!$B:$B,0))),0)-R60*INDEX(Inputs!$C:$C,MATCH("*Refi Interest Rate*",Inputs!$B:$B,0))/12,R60))),0)</f>
        <v>0</v>
      </c>
      <c r="S63" s="152">
        <f t="array" ref="S63">IF(S$3&lt;=INDEX(Inputs!$C:$C,MATCH("End Year",Inputs!$B:$B,0))*12,IF(S60=0,0,IF(S$3-INDEX(Inputs!$C:$C,MATCH("Refi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Amount*",Inputs!$B:$B,0))),0)-S60*INDEX(Inputs!$C:$C,MATCH("*Refi Interest Rate*",Inputs!$B:$B,0))/12,S60))),0)</f>
        <v>0</v>
      </c>
      <c r="T63" s="152">
        <f t="array" ref="T63">IF(T$3&lt;=INDEX(Inputs!$C:$C,MATCH("End Year",Inputs!$B:$B,0))*12,IF(T60=0,0,IF(T$3-INDEX(Inputs!$C:$C,MATCH("Refi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Amount*",Inputs!$B:$B,0))),0)-T60*INDEX(Inputs!$C:$C,MATCH("*Refi Interest Rate*",Inputs!$B:$B,0))/12,T60))),0)</f>
        <v>0</v>
      </c>
      <c r="U63" s="152">
        <f t="array" ref="U63">IF(U$3&lt;=INDEX(Inputs!$C:$C,MATCH("End Year",Inputs!$B:$B,0))*12,IF(U60=0,0,IF(U$3-INDEX(Inputs!$C:$C,MATCH("Refi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Amount*",Inputs!$B:$B,0))),0)-U60*INDEX(Inputs!$C:$C,MATCH("*Refi Interest Rate*",Inputs!$B:$B,0))/12,U60))),0)</f>
        <v>0</v>
      </c>
      <c r="V63" s="152">
        <f t="array" ref="V63">IF(V$3&lt;=INDEX(Inputs!$C:$C,MATCH("End Year",Inputs!$B:$B,0))*12,IF(V60=0,0,IF(V$3-INDEX(Inputs!$C:$C,MATCH("Refi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Amount*",Inputs!$B:$B,0))),0)-V60*INDEX(Inputs!$C:$C,MATCH("*Refi Interest Rate*",Inputs!$B:$B,0))/12,V60))),0)</f>
        <v>0</v>
      </c>
      <c r="W63" s="152">
        <f t="array" ref="W63">IF(W$3&lt;=INDEX(Inputs!$C:$C,MATCH("End Year",Inputs!$B:$B,0))*12,IF(W60=0,0,IF(W$3-INDEX(Inputs!$C:$C,MATCH("Refi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Amount*",Inputs!$B:$B,0))),0)-W60*INDEX(Inputs!$C:$C,MATCH("*Refi Interest Rate*",Inputs!$B:$B,0))/12,W60))),0)</f>
        <v>0</v>
      </c>
      <c r="X63" s="152">
        <f t="array" ref="X63">IF(X$3&lt;=INDEX(Inputs!$C:$C,MATCH("End Year",Inputs!$B:$B,0))*12,IF(X60=0,0,IF(X$3-INDEX(Inputs!$C:$C,MATCH("Refi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Amount*",Inputs!$B:$B,0))),0)-X60*INDEX(Inputs!$C:$C,MATCH("*Refi Interest Rate*",Inputs!$B:$B,0))/12,X60))),0)</f>
        <v>0</v>
      </c>
      <c r="Y63" s="152">
        <f t="array" ref="Y63">IF(Y$3&lt;=INDEX(Inputs!$C:$C,MATCH("End Year",Inputs!$B:$B,0))*12,IF(Y60=0,0,IF(Y$3-INDEX(Inputs!$C:$C,MATCH("Refi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Amount*",Inputs!$B:$B,0))),0)-Y60*INDEX(Inputs!$C:$C,MATCH("*Refi Interest Rate*",Inputs!$B:$B,0))/12,Y60))),0)</f>
        <v>0</v>
      </c>
      <c r="Z63" s="152">
        <f t="array" ref="Z63">IF(Z$3&lt;=INDEX(Inputs!$C:$C,MATCH("End Year",Inputs!$B:$B,0))*12,IF(Z60=0,0,IF(Z$3-INDEX(Inputs!$C:$C,MATCH("Refi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Amount*",Inputs!$B:$B,0))),0)-Z60*INDEX(Inputs!$C:$C,MATCH("*Refi Interest Rate*",Inputs!$B:$B,0))/12,Z60))),0)</f>
        <v>0</v>
      </c>
      <c r="AA63" s="152">
        <f t="array" ref="AA63">IF(AA$3&lt;=INDEX(Inputs!$C:$C,MATCH("End Year",Inputs!$B:$B,0))*12,IF(AA60=0,0,IF(AA$3-INDEX(Inputs!$C:$C,MATCH("Refi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Amount*",Inputs!$B:$B,0))),0)-AA60*INDEX(Inputs!$C:$C,MATCH("*Refi Interest Rate*",Inputs!$B:$B,0))/12,AA60))),0)</f>
        <v>0</v>
      </c>
      <c r="AB63" s="152">
        <f t="array" ref="AB63">IF(AB$3&lt;=INDEX(Inputs!$C:$C,MATCH("End Year",Inputs!$B:$B,0))*12,IF(AB60=0,0,IF(AB$3-INDEX(Inputs!$C:$C,MATCH("Refi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Amount*",Inputs!$B:$B,0))),0)-AB60*INDEX(Inputs!$C:$C,MATCH("*Refi Interest Rate*",Inputs!$B:$B,0))/12,AB60))),0)</f>
        <v>0</v>
      </c>
      <c r="AC63" s="152">
        <f t="array" ref="AC63">IF(AC$3&lt;=INDEX(Inputs!$C:$C,MATCH("End Year",Inputs!$B:$B,0))*12,IF(AC60=0,0,IF(AC$3-INDEX(Inputs!$C:$C,MATCH("Refi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Amount*",Inputs!$B:$B,0))),0)-AC60*INDEX(Inputs!$C:$C,MATCH("*Refi Interest Rate*",Inputs!$B:$B,0))/12,AC60))),0)</f>
        <v>0</v>
      </c>
      <c r="AD63" s="152">
        <f t="array" ref="AD63">IF(AD$3&lt;=INDEX(Inputs!$C:$C,MATCH("End Year",Inputs!$B:$B,0))*12,IF(AD60=0,0,IF(AD$3-INDEX(Inputs!$C:$C,MATCH("Refi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Amount*",Inputs!$B:$B,0))),0)-AD60*INDEX(Inputs!$C:$C,MATCH("*Refi Interest Rate*",Inputs!$B:$B,0))/12,AD60))),0)</f>
        <v>0</v>
      </c>
      <c r="AE63" s="152">
        <f t="array" ref="AE63">IF(AE$3&lt;=INDEX(Inputs!$C:$C,MATCH("End Year",Inputs!$B:$B,0))*12,IF(AE60=0,0,IF(AE$3-INDEX(Inputs!$C:$C,MATCH("Refi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Amount*",Inputs!$B:$B,0))),0)-AE60*INDEX(Inputs!$C:$C,MATCH("*Refi Interest Rate*",Inputs!$B:$B,0))/12,AE60))),0)</f>
        <v>0</v>
      </c>
      <c r="AF63" s="152">
        <f t="array" ref="AF63">IF(AF$3&lt;=INDEX(Inputs!$C:$C,MATCH("End Year",Inputs!$B:$B,0))*12,IF(AF60=0,0,IF(AF$3-INDEX(Inputs!$C:$C,MATCH("Refi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Amount*",Inputs!$B:$B,0))),0)-AF60*INDEX(Inputs!$C:$C,MATCH("*Refi Interest Rate*",Inputs!$B:$B,0))/12,AF60))),0)</f>
        <v>0</v>
      </c>
      <c r="AG63" s="152">
        <f t="array" ref="AG63">IF(AG$3&lt;=INDEX(Inputs!$C:$C,MATCH("End Year",Inputs!$B:$B,0))*12,IF(AG60=0,0,IF(AG$3-INDEX(Inputs!$C:$C,MATCH("Refi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Amount*",Inputs!$B:$B,0))),0)-AG60*INDEX(Inputs!$C:$C,MATCH("*Refi Interest Rate*",Inputs!$B:$B,0))/12,AG60))),0)</f>
        <v>0</v>
      </c>
      <c r="AH63" s="152">
        <f t="array" ref="AH63">IF(AH$3&lt;=INDEX(Inputs!$C:$C,MATCH("End Year",Inputs!$B:$B,0))*12,IF(AH60=0,0,IF(AH$3-INDEX(Inputs!$C:$C,MATCH("Refi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Amount*",Inputs!$B:$B,0))),0)-AH60*INDEX(Inputs!$C:$C,MATCH("*Refi Interest Rate*",Inputs!$B:$B,0))/12,AH60))),0)</f>
        <v>0</v>
      </c>
      <c r="AI63" s="152">
        <f t="array" ref="AI63">IF(AI$3&lt;=INDEX(Inputs!$C:$C,MATCH("End Year",Inputs!$B:$B,0))*12,IF(AI60=0,0,IF(AI$3-INDEX(Inputs!$C:$C,MATCH("Refi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Amount*",Inputs!$B:$B,0))),0)-AI60*INDEX(Inputs!$C:$C,MATCH("*Refi Interest Rate*",Inputs!$B:$B,0))/12,AI60))),0)</f>
        <v>0</v>
      </c>
      <c r="AJ63" s="152">
        <f t="array" ref="AJ63">IF(AJ$3&lt;=INDEX(Inputs!$C:$C,MATCH("End Year",Inputs!$B:$B,0))*12,IF(AJ60=0,0,IF(AJ$3-INDEX(Inputs!$C:$C,MATCH("Refi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Amount*",Inputs!$B:$B,0))),0)-AJ60*INDEX(Inputs!$C:$C,MATCH("*Refi Interest Rate*",Inputs!$B:$B,0))/12,AJ60))),0)</f>
        <v>0</v>
      </c>
      <c r="AK63" s="152">
        <f t="array" ref="AK63">IF(AK$3&lt;=INDEX(Inputs!$C:$C,MATCH("End Year",Inputs!$B:$B,0))*12,IF(AK60=0,0,IF(AK$3-INDEX(Inputs!$C:$C,MATCH("Refi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Amount*",Inputs!$B:$B,0))),0)-AK60*INDEX(Inputs!$C:$C,MATCH("*Refi Interest Rate*",Inputs!$B:$B,0))/12,AK60))),0)</f>
        <v>0</v>
      </c>
      <c r="AL63" s="152">
        <f t="array" ref="AL63">IF(AL$3&lt;=INDEX(Inputs!$C:$C,MATCH("End Year",Inputs!$B:$B,0))*12,IF(AL60=0,0,IF(AL$3-INDEX(Inputs!$C:$C,MATCH("Refi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Amount*",Inputs!$B:$B,0))),0)-AL60*INDEX(Inputs!$C:$C,MATCH("*Refi Interest Rate*",Inputs!$B:$B,0))/12,AL60))),0)</f>
        <v>0</v>
      </c>
      <c r="AM63" s="152">
        <f t="array" ref="AM63">IF(AM$3&lt;=INDEX(Inputs!$C:$C,MATCH("End Year",Inputs!$B:$B,0))*12,IF(AM60=0,0,IF(AM$3-INDEX(Inputs!$C:$C,MATCH("Refi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Amount*",Inputs!$B:$B,0))),0)-AM60*INDEX(Inputs!$C:$C,MATCH("*Refi Interest Rate*",Inputs!$B:$B,0))/12,AM60))),0)</f>
        <v>0</v>
      </c>
      <c r="AN63" s="152">
        <f t="array" ref="AN63">IF(AN$3&lt;=INDEX(Inputs!$C:$C,MATCH("End Year",Inputs!$B:$B,0))*12,IF(AN60=0,0,IF(AN$3-INDEX(Inputs!$C:$C,MATCH("Refi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Amount*",Inputs!$B:$B,0))),0)-AN60*INDEX(Inputs!$C:$C,MATCH("*Refi Interest Rate*",Inputs!$B:$B,0))/12,AN60))),0)</f>
        <v>0</v>
      </c>
      <c r="AO63" s="152">
        <f t="array" ref="AO63">IF(AO$3&lt;=INDEX(Inputs!$C:$C,MATCH("End Year",Inputs!$B:$B,0))*12,IF(AO60=0,0,IF(AO$3-INDEX(Inputs!$C:$C,MATCH("Refi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Amount*",Inputs!$B:$B,0))),0)-AO60*INDEX(Inputs!$C:$C,MATCH("*Refi Interest Rate*",Inputs!$B:$B,0))/12,AO60))),0)</f>
        <v>0</v>
      </c>
      <c r="AP63" s="152">
        <f t="array" ref="AP63">IF(AP$3&lt;=INDEX(Inputs!$C:$C,MATCH("End Year",Inputs!$B:$B,0))*12,IF(AP60=0,0,IF(AP$3-INDEX(Inputs!$C:$C,MATCH("Refi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Amount*",Inputs!$B:$B,0))),0)-AP60*INDEX(Inputs!$C:$C,MATCH("*Refi Interest Rate*",Inputs!$B:$B,0))/12,AP60))),0)</f>
        <v>0</v>
      </c>
      <c r="AQ63" s="152">
        <f t="array" ref="AQ63">IF(AQ$3&lt;=INDEX(Inputs!$C:$C,MATCH("End Year",Inputs!$B:$B,0))*12,IF(AQ60=0,0,IF(AQ$3-INDEX(Inputs!$C:$C,MATCH("Refi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Amount*",Inputs!$B:$B,0))),0)-AQ60*INDEX(Inputs!$C:$C,MATCH("*Refi Interest Rate*",Inputs!$B:$B,0))/12,AQ60))),0)</f>
        <v>0</v>
      </c>
      <c r="AR63" s="152">
        <f t="array" ref="AR63">IF(AR$3&lt;=INDEX(Inputs!$C:$C,MATCH("End Year",Inputs!$B:$B,0))*12,IF(AR60=0,0,IF(AR$3-INDEX(Inputs!$C:$C,MATCH("Refi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Amount*",Inputs!$B:$B,0))),0)-AR60*INDEX(Inputs!$C:$C,MATCH("*Refi Interest Rate*",Inputs!$B:$B,0))/12,AR60))),0)</f>
        <v>0</v>
      </c>
      <c r="AS63" s="152">
        <f t="array" ref="AS63">IF(AS$3&lt;=INDEX(Inputs!$C:$C,MATCH("End Year",Inputs!$B:$B,0))*12,IF(AS60=0,0,IF(AS$3-INDEX(Inputs!$C:$C,MATCH("Refi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Amount*",Inputs!$B:$B,0))),0)-AS60*INDEX(Inputs!$C:$C,MATCH("*Refi Interest Rate*",Inputs!$B:$B,0))/12,AS60))),0)</f>
        <v>0</v>
      </c>
      <c r="AT63" s="152">
        <f t="array" ref="AT63">IF(AT$3&lt;=INDEX(Inputs!$C:$C,MATCH("End Year",Inputs!$B:$B,0))*12,IF(AT60=0,0,IF(AT$3-INDEX(Inputs!$C:$C,MATCH("Refi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Amount*",Inputs!$B:$B,0))),0)-AT60*INDEX(Inputs!$C:$C,MATCH("*Refi Interest Rate*",Inputs!$B:$B,0))/12,AT60))),0)</f>
        <v>0</v>
      </c>
      <c r="AU63" s="152">
        <f t="array" ref="AU63">IF(AU$3&lt;=INDEX(Inputs!$C:$C,MATCH("End Year",Inputs!$B:$B,0))*12,IF(AU60=0,0,IF(AU$3-INDEX(Inputs!$C:$C,MATCH("Refi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Amount*",Inputs!$B:$B,0))),0)-AU60*INDEX(Inputs!$C:$C,MATCH("*Refi Interest Rate*",Inputs!$B:$B,0))/12,AU60))),0)</f>
        <v>0</v>
      </c>
      <c r="AV63" s="152">
        <f t="array" ref="AV63">IF(AV$3&lt;=INDEX(Inputs!$C:$C,MATCH("End Year",Inputs!$B:$B,0))*12,IF(AV60=0,0,IF(AV$3-INDEX(Inputs!$C:$C,MATCH("Refi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Amount*",Inputs!$B:$B,0))),0)-AV60*INDEX(Inputs!$C:$C,MATCH("*Refi Interest Rate*",Inputs!$B:$B,0))/12,AV60))),0)</f>
        <v>0</v>
      </c>
      <c r="AW63" s="152">
        <f t="array" ref="AW63">IF(AW$3&lt;=INDEX(Inputs!$C:$C,MATCH("End Year",Inputs!$B:$B,0))*12,IF(AW60=0,0,IF(AW$3-INDEX(Inputs!$C:$C,MATCH("Refi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Amount*",Inputs!$B:$B,0))),0)-AW60*INDEX(Inputs!$C:$C,MATCH("*Refi Interest Rate*",Inputs!$B:$B,0))/12,AW60))),0)</f>
        <v>0</v>
      </c>
      <c r="AX63" s="152">
        <f t="array" ref="AX63">IF(AX$3&lt;=INDEX(Inputs!$C:$C,MATCH("End Year",Inputs!$B:$B,0))*12,IF(AX60=0,0,IF(AX$3-INDEX(Inputs!$C:$C,MATCH("Refi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Amount*",Inputs!$B:$B,0))),0)-AX60*INDEX(Inputs!$C:$C,MATCH("*Refi Interest Rate*",Inputs!$B:$B,0))/12,AX60))),0)</f>
        <v>0</v>
      </c>
      <c r="AY63" s="152">
        <f t="array" ref="AY63">IF(AY$3&lt;=INDEX(Inputs!$C:$C,MATCH("End Year",Inputs!$B:$B,0))*12,IF(AY60=0,0,IF(AY$3-INDEX(Inputs!$C:$C,MATCH("Refi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Amount*",Inputs!$B:$B,0))),0)-AY60*INDEX(Inputs!$C:$C,MATCH("*Refi Interest Rate*",Inputs!$B:$B,0))/12,AY60))),0)</f>
        <v>0</v>
      </c>
      <c r="AZ63" s="152">
        <f t="array" ref="AZ63">IF(AZ$3&lt;=INDEX(Inputs!$C:$C,MATCH("End Year",Inputs!$B:$B,0))*12,IF(AZ60=0,0,IF(AZ$3-INDEX(Inputs!$C:$C,MATCH("Refi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Amount*",Inputs!$B:$B,0))),0)-AZ60*INDEX(Inputs!$C:$C,MATCH("*Refi Interest Rate*",Inputs!$B:$B,0))/12,AZ60))),0)</f>
        <v>0</v>
      </c>
      <c r="BA63" s="152">
        <f t="array" ref="BA63">IF(BA$3&lt;=INDEX(Inputs!$C:$C,MATCH("End Year",Inputs!$B:$B,0))*12,IF(BA60=0,0,IF(BA$3-INDEX(Inputs!$C:$C,MATCH("Refi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Amount*",Inputs!$B:$B,0))),0)-BA60*INDEX(Inputs!$C:$C,MATCH("*Refi Interest Rate*",Inputs!$B:$B,0))/12,BA60))),0)</f>
        <v>0</v>
      </c>
      <c r="BB63" s="152">
        <f t="array" ref="BB63">IF(BB$3&lt;=INDEX(Inputs!$C:$C,MATCH("End Year",Inputs!$B:$B,0))*12,IF(BB60=0,0,IF(BB$3-INDEX(Inputs!$C:$C,MATCH("Refi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Amount*",Inputs!$B:$B,0))),0)-BB60*INDEX(Inputs!$C:$C,MATCH("*Refi Interest Rate*",Inputs!$B:$B,0))/12,BB60))),0)</f>
        <v>0</v>
      </c>
      <c r="BC63" s="152">
        <f t="array" ref="BC63">IF(BC$3&lt;=INDEX(Inputs!$C:$C,MATCH("End Year",Inputs!$B:$B,0))*12,IF(BC60=0,0,IF(BC$3-INDEX(Inputs!$C:$C,MATCH("Refi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Amount*",Inputs!$B:$B,0))),0)-BC60*INDEX(Inputs!$C:$C,MATCH("*Refi Interest Rate*",Inputs!$B:$B,0))/12,BC60))),0)</f>
        <v>0</v>
      </c>
      <c r="BD63" s="152">
        <f t="array" ref="BD63">IF(BD$3&lt;=INDEX(Inputs!$C:$C,MATCH("End Year",Inputs!$B:$B,0))*12,IF(BD60=0,0,IF(BD$3-INDEX(Inputs!$C:$C,MATCH("Refi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Amount*",Inputs!$B:$B,0))),0)-BD60*INDEX(Inputs!$C:$C,MATCH("*Refi Interest Rate*",Inputs!$B:$B,0))/12,BD60))),0)</f>
        <v>0</v>
      </c>
      <c r="BE63" s="152">
        <f t="array" ref="BE63">IF(BE$3&lt;=INDEX(Inputs!$C:$C,MATCH("End Year",Inputs!$B:$B,0))*12,IF(BE60=0,0,IF(BE$3-INDEX(Inputs!$C:$C,MATCH("Refi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Amount*",Inputs!$B:$B,0))),0)-BE60*INDEX(Inputs!$C:$C,MATCH("*Refi Interest Rate*",Inputs!$B:$B,0))/12,BE60))),0)</f>
        <v>0</v>
      </c>
      <c r="BF63" s="152">
        <f t="array" ref="BF63">IF(BF$3&lt;=INDEX(Inputs!$C:$C,MATCH("End Year",Inputs!$B:$B,0))*12,IF(BF60=0,0,IF(BF$3-INDEX(Inputs!$C:$C,MATCH("Refi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Amount*",Inputs!$B:$B,0))),0)-BF60*INDEX(Inputs!$C:$C,MATCH("*Refi Interest Rate*",Inputs!$B:$B,0))/12,BF60))),0)</f>
        <v>0</v>
      </c>
      <c r="BG63" s="152">
        <f t="array" ref="BG63">IF(BG$3&lt;=INDEX(Inputs!$C:$C,MATCH("End Year",Inputs!$B:$B,0))*12,IF(BG60=0,0,IF(BG$3-INDEX(Inputs!$C:$C,MATCH("Refi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Amount*",Inputs!$B:$B,0))),0)-BG60*INDEX(Inputs!$C:$C,MATCH("*Refi Interest Rate*",Inputs!$B:$B,0))/12,BG60))),0)</f>
        <v>0</v>
      </c>
      <c r="BH63" s="152">
        <f t="array" ref="BH63">IF(BH$3&lt;=INDEX(Inputs!$C:$C,MATCH("End Year",Inputs!$B:$B,0))*12,IF(BH60=0,0,IF(BH$3-INDEX(Inputs!$C:$C,MATCH("Refi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Amount*",Inputs!$B:$B,0))),0)-BH60*INDEX(Inputs!$C:$C,MATCH("*Refi Interest Rate*",Inputs!$B:$B,0))/12,BH60))),0)</f>
        <v>0</v>
      </c>
      <c r="BI63" s="152">
        <f t="array" ref="BI63">IF(BI$3&lt;=INDEX(Inputs!$C:$C,MATCH("End Year",Inputs!$B:$B,0))*12,IF(BI60=0,0,IF(BI$3-INDEX(Inputs!$C:$C,MATCH("Refi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Amount*",Inputs!$B:$B,0))),0)-BI60*INDEX(Inputs!$C:$C,MATCH("*Refi Interest Rate*",Inputs!$B:$B,0))/12,BI60))),0)</f>
        <v>0</v>
      </c>
      <c r="BJ63" s="152">
        <f t="array" ref="BJ63">IF(BJ$3&lt;=INDEX(Inputs!$C:$C,MATCH("End Year",Inputs!$B:$B,0))*12,IF(BJ60=0,0,IF(BJ$3-INDEX(Inputs!$C:$C,MATCH("Refi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Amount*",Inputs!$B:$B,0))),0)-BJ60*INDEX(Inputs!$C:$C,MATCH("*Refi Interest Rate*",Inputs!$B:$B,0))/12,BJ60))),0)</f>
        <v>0</v>
      </c>
      <c r="BK63" s="152">
        <f t="array" ref="BK63">IF(BK$3&lt;=INDEX(Inputs!$C:$C,MATCH("End Year",Inputs!$B:$B,0))*12,IF(BK60=0,0,IF(BK$3-INDEX(Inputs!$C:$C,MATCH("Refi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Amount*",Inputs!$B:$B,0))),0)-BK60*INDEX(Inputs!$C:$C,MATCH("*Refi Interest Rate*",Inputs!$B:$B,0))/12,BK60))),0)</f>
        <v>0</v>
      </c>
      <c r="BL63" s="152">
        <f t="array" ref="BL63">IF(BL$3&lt;=INDEX(Inputs!$C:$C,MATCH("End Year",Inputs!$B:$B,0))*12,IF(BL60=0,0,IF(BL$3-INDEX(Inputs!$C:$C,MATCH("Refi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Amount*",Inputs!$B:$B,0))),0)-BL60*INDEX(Inputs!$C:$C,MATCH("*Refi Interest Rate*",Inputs!$B:$B,0))/12,BL60))),0)</f>
        <v>0</v>
      </c>
      <c r="BM63" s="152">
        <f t="array" ref="BM63">IF(BM$3&lt;=INDEX(Inputs!$C:$C,MATCH("End Year",Inputs!$B:$B,0))*12,IF(BM60=0,0,IF(BM$3-INDEX(Inputs!$C:$C,MATCH("Refi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Amount*",Inputs!$B:$B,0))),0)-BM60*INDEX(Inputs!$C:$C,MATCH("*Refi Interest Rate*",Inputs!$B:$B,0))/12,BM60))),0)</f>
        <v>0</v>
      </c>
      <c r="BN63" s="152">
        <f t="array" ref="BN63">IF(BN$3&lt;=INDEX(Inputs!$C:$C,MATCH("End Year",Inputs!$B:$B,0))*12,IF(BN60=0,0,IF(BN$3-INDEX(Inputs!$C:$C,MATCH("Refi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Amount*",Inputs!$B:$B,0))),0)-BN60*INDEX(Inputs!$C:$C,MATCH("*Refi Interest Rate*",Inputs!$B:$B,0))/12,BN60))),0)</f>
        <v>0</v>
      </c>
      <c r="BO63" s="152">
        <f t="array" ref="BO63">IF(BO$3&lt;=INDEX(Inputs!$C:$C,MATCH("End Year",Inputs!$B:$B,0))*12,IF(BO60=0,0,IF(BO$3-INDEX(Inputs!$C:$C,MATCH("Refi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Amount*",Inputs!$B:$B,0))),0)-BO60*INDEX(Inputs!$C:$C,MATCH("*Refi Interest Rate*",Inputs!$B:$B,0))/12,BO60))),0)</f>
        <v>0</v>
      </c>
      <c r="BP63" s="152">
        <f t="array" ref="BP63">IF(BP$3&lt;=INDEX(Inputs!$C:$C,MATCH("End Year",Inputs!$B:$B,0))*12,IF(BP60=0,0,IF(BP$3-INDEX(Inputs!$C:$C,MATCH("Refi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Amount*",Inputs!$B:$B,0))),0)-BP60*INDEX(Inputs!$C:$C,MATCH("*Refi Interest Rate*",Inputs!$B:$B,0))/12,BP60))),0)</f>
        <v>0</v>
      </c>
      <c r="BQ63" s="152">
        <f t="array" ref="BQ63">IF(BQ$3&lt;=INDEX(Inputs!$C:$C,MATCH("End Year",Inputs!$B:$B,0))*12,IF(BQ60=0,0,IF(BQ$3-INDEX(Inputs!$C:$C,MATCH("Refi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Amount*",Inputs!$B:$B,0))),0)-BQ60*INDEX(Inputs!$C:$C,MATCH("*Refi Interest Rate*",Inputs!$B:$B,0))/12,BQ60))),0)</f>
        <v>0</v>
      </c>
      <c r="BR63" s="152">
        <f t="array" ref="BR63">IF(BR$3&lt;=INDEX(Inputs!$C:$C,MATCH("End Year",Inputs!$B:$B,0))*12,IF(BR60=0,0,IF(BR$3-INDEX(Inputs!$C:$C,MATCH("Refi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Amount*",Inputs!$B:$B,0))),0)-BR60*INDEX(Inputs!$C:$C,MATCH("*Refi Interest Rate*",Inputs!$B:$B,0))/12,BR60))),0)</f>
        <v>0</v>
      </c>
      <c r="BS63" s="152">
        <f t="array" ref="BS63">IF(BS$3&lt;=INDEX(Inputs!$C:$C,MATCH("End Year",Inputs!$B:$B,0))*12,IF(BS60=0,0,IF(BS$3-INDEX(Inputs!$C:$C,MATCH("Refi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Amount*",Inputs!$B:$B,0))),0)-BS60*INDEX(Inputs!$C:$C,MATCH("*Refi Interest Rate*",Inputs!$B:$B,0))/12,BS60))),0)</f>
        <v>0</v>
      </c>
      <c r="BT63" s="152">
        <f t="array" ref="BT63">IF(BT$3&lt;=INDEX(Inputs!$C:$C,MATCH("End Year",Inputs!$B:$B,0))*12,IF(BT60=0,0,IF(BT$3-INDEX(Inputs!$C:$C,MATCH("Refi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Amount*",Inputs!$B:$B,0))),0)-BT60*INDEX(Inputs!$C:$C,MATCH("*Refi Interest Rate*",Inputs!$B:$B,0))/12,BT60))),0)</f>
        <v>0</v>
      </c>
      <c r="BU63" s="152">
        <f t="array" ref="BU63">IF(BU$3&lt;=INDEX(Inputs!$C:$C,MATCH("End Year",Inputs!$B:$B,0))*12,IF(BU60=0,0,IF(BU$3-INDEX(Inputs!$C:$C,MATCH("Refi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Amount*",Inputs!$B:$B,0))),0)-BU60*INDEX(Inputs!$C:$C,MATCH("*Refi Interest Rate*",Inputs!$B:$B,0))/12,BU60))),0)</f>
        <v>0</v>
      </c>
      <c r="BV63" s="152">
        <f t="array" ref="BV63">IF(BV$3&lt;=INDEX(Inputs!$C:$C,MATCH("End Year",Inputs!$B:$B,0))*12,IF(BV60=0,0,IF(BV$3-INDEX(Inputs!$C:$C,MATCH("Refi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Amount*",Inputs!$B:$B,0))),0)-BV60*INDEX(Inputs!$C:$C,MATCH("*Refi Interest Rate*",Inputs!$B:$B,0))/12,BV60))),0)</f>
        <v>0</v>
      </c>
      <c r="BW63" s="152">
        <f t="array" ref="BW63">IF(BW$3&lt;=INDEX(Inputs!$C:$C,MATCH("End Year",Inputs!$B:$B,0))*12,IF(BW60=0,0,IF(BW$3-INDEX(Inputs!$C:$C,MATCH("Refi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Amount*",Inputs!$B:$B,0))),0)-BW60*INDEX(Inputs!$C:$C,MATCH("*Refi Interest Rate*",Inputs!$B:$B,0))/12,BW60))),0)</f>
        <v>0</v>
      </c>
      <c r="BX63" s="152">
        <f t="array" ref="BX63">IF(BX$3&lt;=INDEX(Inputs!$C:$C,MATCH("End Year",Inputs!$B:$B,0))*12,IF(BX60=0,0,IF(BX$3-INDEX(Inputs!$C:$C,MATCH("Refi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Amount*",Inputs!$B:$B,0))),0)-BX60*INDEX(Inputs!$C:$C,MATCH("*Refi Interest Rate*",Inputs!$B:$B,0))/12,BX60))),0)</f>
        <v>0</v>
      </c>
      <c r="BY63" s="152">
        <f t="array" ref="BY63">IF(BY$3&lt;=INDEX(Inputs!$C:$C,MATCH("End Year",Inputs!$B:$B,0))*12,IF(BY60=0,0,IF(BY$3-INDEX(Inputs!$C:$C,MATCH("Refi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Amount*",Inputs!$B:$B,0))),0)-BY60*INDEX(Inputs!$C:$C,MATCH("*Refi Interest Rate*",Inputs!$B:$B,0))/12,BY60))),0)</f>
        <v>0</v>
      </c>
      <c r="BZ63" s="152">
        <f t="array" ref="BZ63">IF(BZ$3&lt;=INDEX(Inputs!$C:$C,MATCH("End Year",Inputs!$B:$B,0))*12,IF(BZ60=0,0,IF(BZ$3-INDEX(Inputs!$C:$C,MATCH("Refi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Amount*",Inputs!$B:$B,0))),0)-BZ60*INDEX(Inputs!$C:$C,MATCH("*Refi Interest Rate*",Inputs!$B:$B,0))/12,BZ60))),0)</f>
        <v>0</v>
      </c>
      <c r="CA63" s="152">
        <f t="array" ref="CA63">IF(CA$3&lt;=INDEX(Inputs!$C:$C,MATCH("End Year",Inputs!$B:$B,0))*12,IF(CA60=0,0,IF(CA$3-INDEX(Inputs!$C:$C,MATCH("Refi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Amount*",Inputs!$B:$B,0))),0)-CA60*INDEX(Inputs!$C:$C,MATCH("*Refi Interest Rate*",Inputs!$B:$B,0))/12,CA60))),0)</f>
        <v>0</v>
      </c>
      <c r="CB63" s="152">
        <f t="array" ref="CB63">IF(CB$3&lt;=INDEX(Inputs!$C:$C,MATCH("End Year",Inputs!$B:$B,0))*12,IF(CB60=0,0,IF(CB$3-INDEX(Inputs!$C:$C,MATCH("Refi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Amount*",Inputs!$B:$B,0))),0)-CB60*INDEX(Inputs!$C:$C,MATCH("*Refi Interest Rate*",Inputs!$B:$B,0))/12,CB60))),0)</f>
        <v>0</v>
      </c>
      <c r="CC63" s="152">
        <f t="array" ref="CC63">IF(CC$3&lt;=INDEX(Inputs!$C:$C,MATCH("End Year",Inputs!$B:$B,0))*12,IF(CC60=0,0,IF(CC$3-INDEX(Inputs!$C:$C,MATCH("Refi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Amount*",Inputs!$B:$B,0))),0)-CC60*INDEX(Inputs!$C:$C,MATCH("*Refi Interest Rate*",Inputs!$B:$B,0))/12,CC60))),0)</f>
        <v>0</v>
      </c>
      <c r="CD63" s="152">
        <f t="array" ref="CD63">IF(CD$3&lt;=INDEX(Inputs!$C:$C,MATCH("End Year",Inputs!$B:$B,0))*12,IF(CD60=0,0,IF(CD$3-INDEX(Inputs!$C:$C,MATCH("Refi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Amount*",Inputs!$B:$B,0))),0)-CD60*INDEX(Inputs!$C:$C,MATCH("*Refi Interest Rate*",Inputs!$B:$B,0))/12,CD60))),0)</f>
        <v>0</v>
      </c>
      <c r="CE63" s="152">
        <f t="array" ref="CE63">IF(CE$3&lt;=INDEX(Inputs!$C:$C,MATCH("End Year",Inputs!$B:$B,0))*12,IF(CE60=0,0,IF(CE$3-INDEX(Inputs!$C:$C,MATCH("Refi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Amount*",Inputs!$B:$B,0))),0)-CE60*INDEX(Inputs!$C:$C,MATCH("*Refi Interest Rate*",Inputs!$B:$B,0))/12,CE60))),0)</f>
        <v>0</v>
      </c>
      <c r="CF63" s="152">
        <f t="array" ref="CF63">IF(CF$3&lt;=INDEX(Inputs!$C:$C,MATCH("End Year",Inputs!$B:$B,0))*12,IF(CF60=0,0,IF(CF$3-INDEX(Inputs!$C:$C,MATCH("Refi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Amount*",Inputs!$B:$B,0))),0)-CF60*INDEX(Inputs!$C:$C,MATCH("*Refi Interest Rate*",Inputs!$B:$B,0))/12,CF60))),0)</f>
        <v>0</v>
      </c>
      <c r="CG63" s="152">
        <f t="array" ref="CG63">IF(CG$3&lt;=INDEX(Inputs!$C:$C,MATCH("End Year",Inputs!$B:$B,0))*12,IF(CG60=0,0,IF(CG$3-INDEX(Inputs!$C:$C,MATCH("Refi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Amount*",Inputs!$B:$B,0))),0)-CG60*INDEX(Inputs!$C:$C,MATCH("*Refi Interest Rate*",Inputs!$B:$B,0))/12,CG60))),0)</f>
        <v>0</v>
      </c>
      <c r="CH63" s="152">
        <f t="array" ref="CH63">IF(CH$3&lt;=INDEX(Inputs!$C:$C,MATCH("End Year",Inputs!$B:$B,0))*12,IF(CH60=0,0,IF(CH$3-INDEX(Inputs!$C:$C,MATCH("Refi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Amount*",Inputs!$B:$B,0))),0)-CH60*INDEX(Inputs!$C:$C,MATCH("*Refi Interest Rate*",Inputs!$B:$B,0))/12,CH60))),0)</f>
        <v>0</v>
      </c>
      <c r="CI63" s="152">
        <f t="array" ref="CI63">IF(CI$3&lt;=INDEX(Inputs!$C:$C,MATCH("End Year",Inputs!$B:$B,0))*12,IF(CI60=0,0,IF(CI$3-INDEX(Inputs!$C:$C,MATCH("Refi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Amount*",Inputs!$B:$B,0))),0)-CI60*INDEX(Inputs!$C:$C,MATCH("*Refi Interest Rate*",Inputs!$B:$B,0))/12,CI60))),0)</f>
        <v>0</v>
      </c>
      <c r="CJ63" s="152">
        <f t="array" ref="CJ63">IF(CJ$3&lt;=INDEX(Inputs!$C:$C,MATCH("End Year",Inputs!$B:$B,0))*12,IF(CJ60=0,0,IF(CJ$3-INDEX(Inputs!$C:$C,MATCH("Refi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Amount*",Inputs!$B:$B,0))),0)-CJ60*INDEX(Inputs!$C:$C,MATCH("*Refi Interest Rate*",Inputs!$B:$B,0))/12,CJ60))),0)</f>
        <v>0</v>
      </c>
      <c r="CK63" s="152">
        <f t="array" ref="CK63">IF(CK$3&lt;=INDEX(Inputs!$C:$C,MATCH("End Year",Inputs!$B:$B,0))*12,IF(CK60=0,0,IF(CK$3-INDEX(Inputs!$C:$C,MATCH("Refi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Amount*",Inputs!$B:$B,0))),0)-CK60*INDEX(Inputs!$C:$C,MATCH("*Refi Interest Rate*",Inputs!$B:$B,0))/12,CK60))),0)</f>
        <v>0</v>
      </c>
      <c r="CL63" s="152">
        <f t="array" ref="CL63">IF(CL$3&lt;=INDEX(Inputs!$C:$C,MATCH("End Year",Inputs!$B:$B,0))*12,IF(CL60=0,0,IF(CL$3-INDEX(Inputs!$C:$C,MATCH("Refi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Amount*",Inputs!$B:$B,0))),0)-CL60*INDEX(Inputs!$C:$C,MATCH("*Refi Interest Rate*",Inputs!$B:$B,0))/12,CL60))),0)</f>
        <v>0</v>
      </c>
      <c r="CM63" s="152">
        <f t="array" ref="CM63">IF(CM$3&lt;=INDEX(Inputs!$C:$C,MATCH("End Year",Inputs!$B:$B,0))*12,IF(CM60=0,0,IF(CM$3-INDEX(Inputs!$C:$C,MATCH("Refi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Amount*",Inputs!$B:$B,0))),0)-CM60*INDEX(Inputs!$C:$C,MATCH("*Refi Interest Rate*",Inputs!$B:$B,0))/12,CM60))),0)</f>
        <v>0</v>
      </c>
      <c r="CN63" s="152">
        <f t="array" ref="CN63">IF(CN$3&lt;=INDEX(Inputs!$C:$C,MATCH("End Year",Inputs!$B:$B,0))*12,IF(CN60=0,0,IF(CN$3-INDEX(Inputs!$C:$C,MATCH("Refi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Amount*",Inputs!$B:$B,0))),0)-CN60*INDEX(Inputs!$C:$C,MATCH("*Refi Interest Rate*",Inputs!$B:$B,0))/12,CN60))),0)</f>
        <v>0</v>
      </c>
      <c r="CO63" s="152">
        <f t="array" ref="CO63">IF(CO$3&lt;=INDEX(Inputs!$C:$C,MATCH("End Year",Inputs!$B:$B,0))*12,IF(CO60=0,0,IF(CO$3-INDEX(Inputs!$C:$C,MATCH("Refi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Amount*",Inputs!$B:$B,0))),0)-CO60*INDEX(Inputs!$C:$C,MATCH("*Refi Interest Rate*",Inputs!$B:$B,0))/12,CO60))),0)</f>
        <v>0</v>
      </c>
      <c r="CP63" s="152">
        <f t="array" ref="CP63">IF(CP$3&lt;=INDEX(Inputs!$C:$C,MATCH("End Year",Inputs!$B:$B,0))*12,IF(CP60=0,0,IF(CP$3-INDEX(Inputs!$C:$C,MATCH("Refi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Amount*",Inputs!$B:$B,0))),0)-CP60*INDEX(Inputs!$C:$C,MATCH("*Refi Interest Rate*",Inputs!$B:$B,0))/12,CP60))),0)</f>
        <v>0</v>
      </c>
      <c r="CQ63" s="152">
        <f t="array" ref="CQ63">IF(CQ$3&lt;=INDEX(Inputs!$C:$C,MATCH("End Year",Inputs!$B:$B,0))*12,IF(CQ60=0,0,IF(CQ$3-INDEX(Inputs!$C:$C,MATCH("Refi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Amount*",Inputs!$B:$B,0))),0)-CQ60*INDEX(Inputs!$C:$C,MATCH("*Refi Interest Rate*",Inputs!$B:$B,0))/12,CQ60))),0)</f>
        <v>0</v>
      </c>
      <c r="CR63" s="152">
        <f t="array" ref="CR63">IF(CR$3&lt;=INDEX(Inputs!$C:$C,MATCH("End Year",Inputs!$B:$B,0))*12,IF(CR60=0,0,IF(CR$3-INDEX(Inputs!$C:$C,MATCH("Refi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Amount*",Inputs!$B:$B,0))),0)-CR60*INDEX(Inputs!$C:$C,MATCH("*Refi Interest Rate*",Inputs!$B:$B,0))/12,CR60))),0)</f>
        <v>0</v>
      </c>
      <c r="CS63" s="152">
        <f t="array" ref="CS63">IF(CS$3&lt;=INDEX(Inputs!$C:$C,MATCH("End Year",Inputs!$B:$B,0))*12,IF(CS60=0,0,IF(CS$3-INDEX(Inputs!$C:$C,MATCH("Refi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Amount*",Inputs!$B:$B,0))),0)-CS60*INDEX(Inputs!$C:$C,MATCH("*Refi Interest Rate*",Inputs!$B:$B,0))/12,CS60))),0)</f>
        <v>0</v>
      </c>
      <c r="CT63" s="152">
        <f t="array" ref="CT63">IF(CT$3&lt;=INDEX(Inputs!$C:$C,MATCH("End Year",Inputs!$B:$B,0))*12,IF(CT60=0,0,IF(CT$3-INDEX(Inputs!$C:$C,MATCH("Refi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Amount*",Inputs!$B:$B,0))),0)-CT60*INDEX(Inputs!$C:$C,MATCH("*Refi Interest Rate*",Inputs!$B:$B,0))/12,CT60))),0)</f>
        <v>0</v>
      </c>
      <c r="CU63" s="152">
        <f t="array" ref="CU63">IF(CU$3&lt;=INDEX(Inputs!$C:$C,MATCH("End Year",Inputs!$B:$B,0))*12,IF(CU60=0,0,IF(CU$3-INDEX(Inputs!$C:$C,MATCH("Refi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Amount*",Inputs!$B:$B,0))),0)-CU60*INDEX(Inputs!$C:$C,MATCH("*Refi Interest Rate*",Inputs!$B:$B,0))/12,CU60))),0)</f>
        <v>0</v>
      </c>
      <c r="CV63" s="152">
        <f t="array" ref="CV63">IF(CV$3&lt;=INDEX(Inputs!$C:$C,MATCH("End Year",Inputs!$B:$B,0))*12,IF(CV60=0,0,IF(CV$3-INDEX(Inputs!$C:$C,MATCH("Refi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Amount*",Inputs!$B:$B,0))),0)-CV60*INDEX(Inputs!$C:$C,MATCH("*Refi Interest Rate*",Inputs!$B:$B,0))/12,CV60))),0)</f>
        <v>0</v>
      </c>
      <c r="CW63" s="152">
        <f t="array" ref="CW63">IF(CW$3&lt;=INDEX(Inputs!$C:$C,MATCH("End Year",Inputs!$B:$B,0))*12,IF(CW60=0,0,IF(CW$3-INDEX(Inputs!$C:$C,MATCH("Refi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Amount*",Inputs!$B:$B,0))),0)-CW60*INDEX(Inputs!$C:$C,MATCH("*Refi Interest Rate*",Inputs!$B:$B,0))/12,CW60))),0)</f>
        <v>0</v>
      </c>
      <c r="CX63" s="152">
        <f t="array" ref="CX63">IF(CX$3&lt;=INDEX(Inputs!$C:$C,MATCH("End Year",Inputs!$B:$B,0))*12,IF(CX60=0,0,IF(CX$3-INDEX(Inputs!$C:$C,MATCH("Refi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Amount*",Inputs!$B:$B,0))),0)-CX60*INDEX(Inputs!$C:$C,MATCH("*Refi Interest Rate*",Inputs!$B:$B,0))/12,CX60))),0)</f>
        <v>0</v>
      </c>
      <c r="CY63" s="152">
        <f t="array" ref="CY63">IF(CY$3&lt;=INDEX(Inputs!$C:$C,MATCH("End Year",Inputs!$B:$B,0))*12,IF(CY60=0,0,IF(CY$3-INDEX(Inputs!$C:$C,MATCH("Refi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Amount*",Inputs!$B:$B,0))),0)-CY60*INDEX(Inputs!$C:$C,MATCH("*Refi Interest Rate*",Inputs!$B:$B,0))/12,CY60))),0)</f>
        <v>0</v>
      </c>
      <c r="CZ63" s="152">
        <f t="array" ref="CZ63">IF(CZ$3&lt;=INDEX(Inputs!$C:$C,MATCH("End Year",Inputs!$B:$B,0))*12,IF(CZ60=0,0,IF(CZ$3-INDEX(Inputs!$C:$C,MATCH("Refi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Amount*",Inputs!$B:$B,0))),0)-CZ60*INDEX(Inputs!$C:$C,MATCH("*Refi Interest Rate*",Inputs!$B:$B,0))/12,CZ60))),0)</f>
        <v>0</v>
      </c>
      <c r="DA63" s="152">
        <f t="array" ref="DA63">IF(DA$3&lt;=INDEX(Inputs!$C:$C,MATCH("End Year",Inputs!$B:$B,0))*12,IF(DA60=0,0,IF(DA$3-INDEX(Inputs!$C:$C,MATCH("Refi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Amount*",Inputs!$B:$B,0))),0)-DA60*INDEX(Inputs!$C:$C,MATCH("*Refi Interest Rate*",Inputs!$B:$B,0))/12,DA60))),0)</f>
        <v>0</v>
      </c>
      <c r="DB63" s="152">
        <f t="array" ref="DB63">IF(DB$3&lt;=INDEX(Inputs!$C:$C,MATCH("End Year",Inputs!$B:$B,0))*12,IF(DB60=0,0,IF(DB$3-INDEX(Inputs!$C:$C,MATCH("Refi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Amount*",Inputs!$B:$B,0))),0)-DB60*INDEX(Inputs!$C:$C,MATCH("*Refi Interest Rate*",Inputs!$B:$B,0))/12,DB60))),0)</f>
        <v>0</v>
      </c>
      <c r="DC63" s="152">
        <f t="array" ref="DC63">IF(DC$3&lt;=INDEX(Inputs!$C:$C,MATCH("End Year",Inputs!$B:$B,0))*12,IF(DC60=0,0,IF(DC$3-INDEX(Inputs!$C:$C,MATCH("Refi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Amount*",Inputs!$B:$B,0))),0)-DC60*INDEX(Inputs!$C:$C,MATCH("*Refi Interest Rate*",Inputs!$B:$B,0))/12,DC60))),0)</f>
        <v>0</v>
      </c>
      <c r="DD63" s="152">
        <f t="array" ref="DD63">IF(DD$3&lt;=INDEX(Inputs!$C:$C,MATCH("End Year",Inputs!$B:$B,0))*12,IF(DD60=0,0,IF(DD$3-INDEX(Inputs!$C:$C,MATCH("Refi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Amount*",Inputs!$B:$B,0))),0)-DD60*INDEX(Inputs!$C:$C,MATCH("*Refi Interest Rate*",Inputs!$B:$B,0))/12,DD60))),0)</f>
        <v>0</v>
      </c>
      <c r="DE63" s="152">
        <f t="array" ref="DE63">IF(DE$3&lt;=INDEX(Inputs!$C:$C,MATCH("End Year",Inputs!$B:$B,0))*12,IF(DE60=0,0,IF(DE$3-INDEX(Inputs!$C:$C,MATCH("Refi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Amount*",Inputs!$B:$B,0))),0)-DE60*INDEX(Inputs!$C:$C,MATCH("*Refi Interest Rate*",Inputs!$B:$B,0))/12,DE60))),0)</f>
        <v>0</v>
      </c>
      <c r="DF63" s="152">
        <f t="array" ref="DF63">IF(DF$3&lt;=INDEX(Inputs!$C:$C,MATCH("End Year",Inputs!$B:$B,0))*12,IF(DF60=0,0,IF(DF$3-INDEX(Inputs!$C:$C,MATCH("Refi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Amount*",Inputs!$B:$B,0))),0)-DF60*INDEX(Inputs!$C:$C,MATCH("*Refi Interest Rate*",Inputs!$B:$B,0))/12,DF60))),0)</f>
        <v>0</v>
      </c>
      <c r="DG63" s="152">
        <f t="array" ref="DG63">IF(DG$3&lt;=INDEX(Inputs!$C:$C,MATCH("End Year",Inputs!$B:$B,0))*12,IF(DG60=0,0,IF(DG$3-INDEX(Inputs!$C:$C,MATCH("Refi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Amount*",Inputs!$B:$B,0))),0)-DG60*INDEX(Inputs!$C:$C,MATCH("*Refi Interest Rate*",Inputs!$B:$B,0))/12,DG60))),0)</f>
        <v>0</v>
      </c>
      <c r="DH63" s="152">
        <f t="array" ref="DH63">IF(DH$3&lt;=INDEX(Inputs!$C:$C,MATCH("End Year",Inputs!$B:$B,0))*12,IF(DH60=0,0,IF(DH$3-INDEX(Inputs!$C:$C,MATCH("Refi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Amount*",Inputs!$B:$B,0))),0)-DH60*INDEX(Inputs!$C:$C,MATCH("*Refi Interest Rate*",Inputs!$B:$B,0))/12,DH60))),0)</f>
        <v>0</v>
      </c>
      <c r="DI63" s="152">
        <f t="array" ref="DI63">IF(DI$3&lt;=INDEX(Inputs!$C:$C,MATCH("End Year",Inputs!$B:$B,0))*12,IF(DI60=0,0,IF(DI$3-INDEX(Inputs!$C:$C,MATCH("Refi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Amount*",Inputs!$B:$B,0))),0)-DI60*INDEX(Inputs!$C:$C,MATCH("*Refi Interest Rate*",Inputs!$B:$B,0))/12,DI60))),0)</f>
        <v>0</v>
      </c>
      <c r="DJ63" s="152">
        <f t="array" ref="DJ63">IF(DJ$3&lt;=INDEX(Inputs!$C:$C,MATCH("End Year",Inputs!$B:$B,0))*12,IF(DJ60=0,0,IF(DJ$3-INDEX(Inputs!$C:$C,MATCH("Refi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Amount*",Inputs!$B:$B,0))),0)-DJ60*INDEX(Inputs!$C:$C,MATCH("*Refi Interest Rate*",Inputs!$B:$B,0))/12,DJ60))),0)</f>
        <v>0</v>
      </c>
      <c r="DK63" s="152">
        <f t="array" ref="DK63">IF(DK$3&lt;=INDEX(Inputs!$C:$C,MATCH("End Year",Inputs!$B:$B,0))*12,IF(DK60=0,0,IF(DK$3-INDEX(Inputs!$C:$C,MATCH("Refi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Amount*",Inputs!$B:$B,0))),0)-DK60*INDEX(Inputs!$C:$C,MATCH("*Refi Interest Rate*",Inputs!$B:$B,0))/12,DK60))),0)</f>
        <v>0</v>
      </c>
      <c r="DL63" s="152">
        <f t="array" ref="DL63">IF(DL$3&lt;=INDEX(Inputs!$C:$C,MATCH("End Year",Inputs!$B:$B,0))*12,IF(DL60=0,0,IF(DL$3-INDEX(Inputs!$C:$C,MATCH("Refi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Amount*",Inputs!$B:$B,0))),0)-DL60*INDEX(Inputs!$C:$C,MATCH("*Refi Interest Rate*",Inputs!$B:$B,0))/12,DL60))),0)</f>
        <v>0</v>
      </c>
      <c r="DM63" s="152">
        <f t="array" ref="DM63">IF(DM$3&lt;=INDEX(Inputs!$C:$C,MATCH("End Year",Inputs!$B:$B,0))*12,IF(DM60=0,0,IF(DM$3-INDEX(Inputs!$C:$C,MATCH("Refi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Amount*",Inputs!$B:$B,0))),0)-DM60*INDEX(Inputs!$C:$C,MATCH("*Refi Interest Rate*",Inputs!$B:$B,0))/12,DM60))),0)</f>
        <v>0</v>
      </c>
      <c r="DN63" s="152">
        <f t="array" ref="DN63">IF(DN$3&lt;=INDEX(Inputs!$C:$C,MATCH("End Year",Inputs!$B:$B,0))*12,IF(DN60=0,0,IF(DN$3-INDEX(Inputs!$C:$C,MATCH("Refi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Amount*",Inputs!$B:$B,0))),0)-DN60*INDEX(Inputs!$C:$C,MATCH("*Refi Interest Rate*",Inputs!$B:$B,0))/12,DN60))),0)</f>
        <v>0</v>
      </c>
      <c r="DO63" s="152">
        <f t="array" ref="DO63">IF(DO$3&lt;=INDEX(Inputs!$C:$C,MATCH("End Year",Inputs!$B:$B,0))*12,IF(DO60=0,0,IF(DO$3-INDEX(Inputs!$C:$C,MATCH("Refi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Amount*",Inputs!$B:$B,0))),0)-DO60*INDEX(Inputs!$C:$C,MATCH("*Refi Interest Rate*",Inputs!$B:$B,0))/12,DO60))),0)</f>
        <v>0</v>
      </c>
      <c r="DP63" s="152">
        <f t="array" ref="DP63">IF(DP$3&lt;=INDEX(Inputs!$C:$C,MATCH("End Year",Inputs!$B:$B,0))*12,IF(DP60=0,0,IF(DP$3-INDEX(Inputs!$C:$C,MATCH("Refi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Amount*",Inputs!$B:$B,0))),0)-DP60*INDEX(Inputs!$C:$C,MATCH("*Refi Interest Rate*",Inputs!$B:$B,0))/12,DP60))),0)</f>
        <v>0</v>
      </c>
      <c r="DQ63" s="152">
        <f t="array" ref="DQ63">IF(DQ$3&lt;=INDEX(Inputs!$C:$C,MATCH("End Year",Inputs!$B:$B,0))*12,IF(DQ60=0,0,IF(DQ$3-INDEX(Inputs!$C:$C,MATCH("Refi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Amount*",Inputs!$B:$B,0))),0)-DQ60*INDEX(Inputs!$C:$C,MATCH("*Refi Interest Rate*",Inputs!$B:$B,0))/12,DQ60))),0)</f>
        <v>0</v>
      </c>
      <c r="DR63" s="152">
        <f t="array" ref="DR63">IF(DR$3&lt;=INDEX(Inputs!$C:$C,MATCH("End Year",Inputs!$B:$B,0))*12,IF(DR60=0,0,IF(DR$3-INDEX(Inputs!$C:$C,MATCH("Refi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Amount*",Inputs!$B:$B,0))),0)-DR60*INDEX(Inputs!$C:$C,MATCH("*Refi Interest Rate*",Inputs!$B:$B,0))/12,DR60))),0)</f>
        <v>0</v>
      </c>
      <c r="DS63" s="44">
        <f t="array" ref="DS63">IF(DS$3&lt;=INDEX(Inputs!$C:$C,MATCH("End Year",Inputs!$B:$B,0))*12,IF(DS60=0,0,IF(DS$3-INDEX(Inputs!$C:$C,MATCH("Refi Year",Inputs!$B:$B,0))*12&lt;=INDEX(Inputs!$C:$C,MATCH("*Refi IO Period*",Inputs!$B:$B,0)),0,MIN(IFERROR(PMT(INDEX(Inputs!$C:$C,MATCH("*Refi Interest Rate*",Inputs!$B:$B,0))/12,INDEX(Inputs!$C:$C,MATCH("*Refi Amortization*",Inputs!$B:$B,0))*12,-INDEX(Inputs!$C:$C,MATCH("*Refi Loan Amount*",Inputs!$B:$B,0))),0)-DS60*INDEX(Inputs!$C:$C,MATCH("*Refi Interest Rate*",Inputs!$B:$B,0))/12,DS60))),0)</f>
        <v>0</v>
      </c>
    </row>
    <row r="64" ht="15.0" customHeight="1">
      <c r="A64" s="44"/>
      <c r="B64" s="46" t="s">
        <v>343</v>
      </c>
      <c r="C64" s="152">
        <f t="array" ref="C64">IF(C$3&lt;=INDEX(Inputs!$C:$C,MATCH("End Year",Inputs!$B:$B,0))*12,IF(OR(C$3=(INDEX(Inputs!$C:$C,MATCH("Refi Year",Inputs!$B:$B,0))+INDEX(Inputs!$C:$C,MATCH("*Refi Term*",Inputs!$B:$B,0)))*12,C$3=INDEX(Inputs!$C:$C,MATCH("End Year",Inputs!$B:$B,0))*12),-MAX(C60+C61-C63,0),0),0)</f>
        <v>0</v>
      </c>
      <c r="D64" s="152">
        <f t="array" ref="D64">IF(D$3&lt;=INDEX(Inputs!$C:$C,MATCH("End Year",Inputs!$B:$B,0))*12,IF(OR(D$3=(INDEX(Inputs!$C:$C,MATCH("Refi Year",Inputs!$B:$B,0))+INDEX(Inputs!$C:$C,MATCH("*Refi Term*",Inputs!$B:$B,0)))*12,D$3=INDEX(Inputs!$C:$C,MATCH("End Year",Inputs!$B:$B,0))*12),-MAX(D60+D61-D63,0),0),0)</f>
        <v>0</v>
      </c>
      <c r="E64" s="152">
        <f t="array" ref="E64">IF(E$3&lt;=INDEX(Inputs!$C:$C,MATCH("End Year",Inputs!$B:$B,0))*12,IF(OR(E$3=(INDEX(Inputs!$C:$C,MATCH("Refi Year",Inputs!$B:$B,0))+INDEX(Inputs!$C:$C,MATCH("*Refi Term*",Inputs!$B:$B,0)))*12,E$3=INDEX(Inputs!$C:$C,MATCH("End Year",Inputs!$B:$B,0))*12),-MAX(E60+E61-E63,0),0),0)</f>
        <v>0</v>
      </c>
      <c r="F64" s="152">
        <f t="array" ref="F64">IF(F$3&lt;=INDEX(Inputs!$C:$C,MATCH("End Year",Inputs!$B:$B,0))*12,IF(OR(F$3=(INDEX(Inputs!$C:$C,MATCH("Refi Year",Inputs!$B:$B,0))+INDEX(Inputs!$C:$C,MATCH("*Refi Term*",Inputs!$B:$B,0)))*12,F$3=INDEX(Inputs!$C:$C,MATCH("End Year",Inputs!$B:$B,0))*12),-MAX(F60+F61-F63,0),0),0)</f>
        <v>0</v>
      </c>
      <c r="G64" s="152">
        <f t="array" ref="G64">IF(G$3&lt;=INDEX(Inputs!$C:$C,MATCH("End Year",Inputs!$B:$B,0))*12,IF(OR(G$3=(INDEX(Inputs!$C:$C,MATCH("Refi Year",Inputs!$B:$B,0))+INDEX(Inputs!$C:$C,MATCH("*Refi Term*",Inputs!$B:$B,0)))*12,G$3=INDEX(Inputs!$C:$C,MATCH("End Year",Inputs!$B:$B,0))*12),-MAX(G60+G61-G63,0),0),0)</f>
        <v>0</v>
      </c>
      <c r="H64" s="152">
        <f t="array" ref="H64">IF(H$3&lt;=INDEX(Inputs!$C:$C,MATCH("End Year",Inputs!$B:$B,0))*12,IF(OR(H$3=(INDEX(Inputs!$C:$C,MATCH("Refi Year",Inputs!$B:$B,0))+INDEX(Inputs!$C:$C,MATCH("*Refi Term*",Inputs!$B:$B,0)))*12,H$3=INDEX(Inputs!$C:$C,MATCH("End Year",Inputs!$B:$B,0))*12),-MAX(H60+H61-H63,0),0),0)</f>
        <v>0</v>
      </c>
      <c r="I64" s="152">
        <f t="array" ref="I64">IF(I$3&lt;=INDEX(Inputs!$C:$C,MATCH("End Year",Inputs!$B:$B,0))*12,IF(OR(I$3=(INDEX(Inputs!$C:$C,MATCH("Refi Year",Inputs!$B:$B,0))+INDEX(Inputs!$C:$C,MATCH("*Refi Term*",Inputs!$B:$B,0)))*12,I$3=INDEX(Inputs!$C:$C,MATCH("End Year",Inputs!$B:$B,0))*12),-MAX(I60+I61-I63,0),0),0)</f>
        <v>0</v>
      </c>
      <c r="J64" s="152">
        <f t="array" ref="J64">IF(J$3&lt;=INDEX(Inputs!$C:$C,MATCH("End Year",Inputs!$B:$B,0))*12,IF(OR(J$3=(INDEX(Inputs!$C:$C,MATCH("Refi Year",Inputs!$B:$B,0))+INDEX(Inputs!$C:$C,MATCH("*Refi Term*",Inputs!$B:$B,0)))*12,J$3=INDEX(Inputs!$C:$C,MATCH("End Year",Inputs!$B:$B,0))*12),-MAX(J60+J61-J63,0),0),0)</f>
        <v>0</v>
      </c>
      <c r="K64" s="152">
        <f t="array" ref="K64">IF(K$3&lt;=INDEX(Inputs!$C:$C,MATCH("End Year",Inputs!$B:$B,0))*12,IF(OR(K$3=(INDEX(Inputs!$C:$C,MATCH("Refi Year",Inputs!$B:$B,0))+INDEX(Inputs!$C:$C,MATCH("*Refi Term*",Inputs!$B:$B,0)))*12,K$3=INDEX(Inputs!$C:$C,MATCH("End Year",Inputs!$B:$B,0))*12),-MAX(K60+K61-K63,0),0),0)</f>
        <v>0</v>
      </c>
      <c r="L64" s="152">
        <f t="array" ref="L64">IF(L$3&lt;=INDEX(Inputs!$C:$C,MATCH("End Year",Inputs!$B:$B,0))*12,IF(OR(L$3=(INDEX(Inputs!$C:$C,MATCH("Refi Year",Inputs!$B:$B,0))+INDEX(Inputs!$C:$C,MATCH("*Refi Term*",Inputs!$B:$B,0)))*12,L$3=INDEX(Inputs!$C:$C,MATCH("End Year",Inputs!$B:$B,0))*12),-MAX(L60+L61-L63,0),0),0)</f>
        <v>0</v>
      </c>
      <c r="M64" s="152">
        <f t="array" ref="M64">IF(M$3&lt;=INDEX(Inputs!$C:$C,MATCH("End Year",Inputs!$B:$B,0))*12,IF(OR(M$3=(INDEX(Inputs!$C:$C,MATCH("Refi Year",Inputs!$B:$B,0))+INDEX(Inputs!$C:$C,MATCH("*Refi Term*",Inputs!$B:$B,0)))*12,M$3=INDEX(Inputs!$C:$C,MATCH("End Year",Inputs!$B:$B,0))*12),-MAX(M60+M61-M63,0),0),0)</f>
        <v>0</v>
      </c>
      <c r="N64" s="152">
        <f t="array" ref="N64">IF(N$3&lt;=INDEX(Inputs!$C:$C,MATCH("End Year",Inputs!$B:$B,0))*12,IF(OR(N$3=(INDEX(Inputs!$C:$C,MATCH("Refi Year",Inputs!$B:$B,0))+INDEX(Inputs!$C:$C,MATCH("*Refi Term*",Inputs!$B:$B,0)))*12,N$3=INDEX(Inputs!$C:$C,MATCH("End Year",Inputs!$B:$B,0))*12),-MAX(N60+N61-N63,0),0),0)</f>
        <v>0</v>
      </c>
      <c r="O64" s="152">
        <f t="array" ref="O64">IF(O$3&lt;=INDEX(Inputs!$C:$C,MATCH("End Year",Inputs!$B:$B,0))*12,IF(OR(O$3=(INDEX(Inputs!$C:$C,MATCH("Refi Year",Inputs!$B:$B,0))+INDEX(Inputs!$C:$C,MATCH("*Refi Term*",Inputs!$B:$B,0)))*12,O$3=INDEX(Inputs!$C:$C,MATCH("End Year",Inputs!$B:$B,0))*12),-MAX(O60+O61-O63,0),0),0)</f>
        <v>0</v>
      </c>
      <c r="P64" s="152">
        <f t="array" ref="P64">IF(P$3&lt;=INDEX(Inputs!$C:$C,MATCH("End Year",Inputs!$B:$B,0))*12,IF(OR(P$3=(INDEX(Inputs!$C:$C,MATCH("Refi Year",Inputs!$B:$B,0))+INDEX(Inputs!$C:$C,MATCH("*Refi Term*",Inputs!$B:$B,0)))*12,P$3=INDEX(Inputs!$C:$C,MATCH("End Year",Inputs!$B:$B,0))*12),-MAX(P60+P61-P63,0),0),0)</f>
        <v>0</v>
      </c>
      <c r="Q64" s="152">
        <f t="array" ref="Q64">IF(Q$3&lt;=INDEX(Inputs!$C:$C,MATCH("End Year",Inputs!$B:$B,0))*12,IF(OR(Q$3=(INDEX(Inputs!$C:$C,MATCH("Refi Year",Inputs!$B:$B,0))+INDEX(Inputs!$C:$C,MATCH("*Refi Term*",Inputs!$B:$B,0)))*12,Q$3=INDEX(Inputs!$C:$C,MATCH("End Year",Inputs!$B:$B,0))*12),-MAX(Q60+Q61-Q63,0),0),0)</f>
        <v>0</v>
      </c>
      <c r="R64" s="152">
        <f t="array" ref="R64">IF(R$3&lt;=INDEX(Inputs!$C:$C,MATCH("End Year",Inputs!$B:$B,0))*12,IF(OR(R$3=(INDEX(Inputs!$C:$C,MATCH("Refi Year",Inputs!$B:$B,0))+INDEX(Inputs!$C:$C,MATCH("*Refi Term*",Inputs!$B:$B,0)))*12,R$3=INDEX(Inputs!$C:$C,MATCH("End Year",Inputs!$B:$B,0))*12),-MAX(R60+R61-R63,0),0),0)</f>
        <v>0</v>
      </c>
      <c r="S64" s="152">
        <f t="array" ref="S64">IF(S$3&lt;=INDEX(Inputs!$C:$C,MATCH("End Year",Inputs!$B:$B,0))*12,IF(OR(S$3=(INDEX(Inputs!$C:$C,MATCH("Refi Year",Inputs!$B:$B,0))+INDEX(Inputs!$C:$C,MATCH("*Refi Term*",Inputs!$B:$B,0)))*12,S$3=INDEX(Inputs!$C:$C,MATCH("End Year",Inputs!$B:$B,0))*12),-MAX(S60+S61-S63,0),0),0)</f>
        <v>0</v>
      </c>
      <c r="T64" s="152">
        <f t="array" ref="T64">IF(T$3&lt;=INDEX(Inputs!$C:$C,MATCH("End Year",Inputs!$B:$B,0))*12,IF(OR(T$3=(INDEX(Inputs!$C:$C,MATCH("Refi Year",Inputs!$B:$B,0))+INDEX(Inputs!$C:$C,MATCH("*Refi Term*",Inputs!$B:$B,0)))*12,T$3=INDEX(Inputs!$C:$C,MATCH("End Year",Inputs!$B:$B,0))*12),-MAX(T60+T61-T63,0),0),0)</f>
        <v>0</v>
      </c>
      <c r="U64" s="152">
        <f t="array" ref="U64">IF(U$3&lt;=INDEX(Inputs!$C:$C,MATCH("End Year",Inputs!$B:$B,0))*12,IF(OR(U$3=(INDEX(Inputs!$C:$C,MATCH("Refi Year",Inputs!$B:$B,0))+INDEX(Inputs!$C:$C,MATCH("*Refi Term*",Inputs!$B:$B,0)))*12,U$3=INDEX(Inputs!$C:$C,MATCH("End Year",Inputs!$B:$B,0))*12),-MAX(U60+U61-U63,0),0),0)</f>
        <v>0</v>
      </c>
      <c r="V64" s="152">
        <f t="array" ref="V64">IF(V$3&lt;=INDEX(Inputs!$C:$C,MATCH("End Year",Inputs!$B:$B,0))*12,IF(OR(V$3=(INDEX(Inputs!$C:$C,MATCH("Refi Year",Inputs!$B:$B,0))+INDEX(Inputs!$C:$C,MATCH("*Refi Term*",Inputs!$B:$B,0)))*12,V$3=INDEX(Inputs!$C:$C,MATCH("End Year",Inputs!$B:$B,0))*12),-MAX(V60+V61-V63,0),0),0)</f>
        <v>0</v>
      </c>
      <c r="W64" s="152">
        <f t="array" ref="W64">IF(W$3&lt;=INDEX(Inputs!$C:$C,MATCH("End Year",Inputs!$B:$B,0))*12,IF(OR(W$3=(INDEX(Inputs!$C:$C,MATCH("Refi Year",Inputs!$B:$B,0))+INDEX(Inputs!$C:$C,MATCH("*Refi Term*",Inputs!$B:$B,0)))*12,W$3=INDEX(Inputs!$C:$C,MATCH("End Year",Inputs!$B:$B,0))*12),-MAX(W60+W61-W63,0),0),0)</f>
        <v>0</v>
      </c>
      <c r="X64" s="152">
        <f t="array" ref="X64">IF(X$3&lt;=INDEX(Inputs!$C:$C,MATCH("End Year",Inputs!$B:$B,0))*12,IF(OR(X$3=(INDEX(Inputs!$C:$C,MATCH("Refi Year",Inputs!$B:$B,0))+INDEX(Inputs!$C:$C,MATCH("*Refi Term*",Inputs!$B:$B,0)))*12,X$3=INDEX(Inputs!$C:$C,MATCH("End Year",Inputs!$B:$B,0))*12),-MAX(X60+X61-X63,0),0),0)</f>
        <v>0</v>
      </c>
      <c r="Y64" s="152">
        <f t="array" ref="Y64">IF(Y$3&lt;=INDEX(Inputs!$C:$C,MATCH("End Year",Inputs!$B:$B,0))*12,IF(OR(Y$3=(INDEX(Inputs!$C:$C,MATCH("Refi Year",Inputs!$B:$B,0))+INDEX(Inputs!$C:$C,MATCH("*Refi Term*",Inputs!$B:$B,0)))*12,Y$3=INDEX(Inputs!$C:$C,MATCH("End Year",Inputs!$B:$B,0))*12),-MAX(Y60+Y61-Y63,0),0),0)</f>
        <v>0</v>
      </c>
      <c r="Z64" s="152">
        <f t="array" ref="Z64">IF(Z$3&lt;=INDEX(Inputs!$C:$C,MATCH("End Year",Inputs!$B:$B,0))*12,IF(OR(Z$3=(INDEX(Inputs!$C:$C,MATCH("Refi Year",Inputs!$B:$B,0))+INDEX(Inputs!$C:$C,MATCH("*Refi Term*",Inputs!$B:$B,0)))*12,Z$3=INDEX(Inputs!$C:$C,MATCH("End Year",Inputs!$B:$B,0))*12),-MAX(Z60+Z61-Z63,0),0),0)</f>
        <v>0</v>
      </c>
      <c r="AA64" s="152">
        <f t="array" ref="AA64">IF(AA$3&lt;=INDEX(Inputs!$C:$C,MATCH("End Year",Inputs!$B:$B,0))*12,IF(OR(AA$3=(INDEX(Inputs!$C:$C,MATCH("Refi Year",Inputs!$B:$B,0))+INDEX(Inputs!$C:$C,MATCH("*Refi Term*",Inputs!$B:$B,0)))*12,AA$3=INDEX(Inputs!$C:$C,MATCH("End Year",Inputs!$B:$B,0))*12),-MAX(AA60+AA61-AA63,0),0),0)</f>
        <v>0</v>
      </c>
      <c r="AB64" s="152">
        <f t="array" ref="AB64">IF(AB$3&lt;=INDEX(Inputs!$C:$C,MATCH("End Year",Inputs!$B:$B,0))*12,IF(OR(AB$3=(INDEX(Inputs!$C:$C,MATCH("Refi Year",Inputs!$B:$B,0))+INDEX(Inputs!$C:$C,MATCH("*Refi Term*",Inputs!$B:$B,0)))*12,AB$3=INDEX(Inputs!$C:$C,MATCH("End Year",Inputs!$B:$B,0))*12),-MAX(AB60+AB61-AB63,0),0),0)</f>
        <v>0</v>
      </c>
      <c r="AC64" s="152">
        <f t="array" ref="AC64">IF(AC$3&lt;=INDEX(Inputs!$C:$C,MATCH("End Year",Inputs!$B:$B,0))*12,IF(OR(AC$3=(INDEX(Inputs!$C:$C,MATCH("Refi Year",Inputs!$B:$B,0))+INDEX(Inputs!$C:$C,MATCH("*Refi Term*",Inputs!$B:$B,0)))*12,AC$3=INDEX(Inputs!$C:$C,MATCH("End Year",Inputs!$B:$B,0))*12),-MAX(AC60+AC61-AC63,0),0),0)</f>
        <v>0</v>
      </c>
      <c r="AD64" s="152">
        <f t="array" ref="AD64">IF(AD$3&lt;=INDEX(Inputs!$C:$C,MATCH("End Year",Inputs!$B:$B,0))*12,IF(OR(AD$3=(INDEX(Inputs!$C:$C,MATCH("Refi Year",Inputs!$B:$B,0))+INDEX(Inputs!$C:$C,MATCH("*Refi Term*",Inputs!$B:$B,0)))*12,AD$3=INDEX(Inputs!$C:$C,MATCH("End Year",Inputs!$B:$B,0))*12),-MAX(AD60+AD61-AD63,0),0),0)</f>
        <v>0</v>
      </c>
      <c r="AE64" s="152">
        <f t="array" ref="AE64">IF(AE$3&lt;=INDEX(Inputs!$C:$C,MATCH("End Year",Inputs!$B:$B,0))*12,IF(OR(AE$3=(INDEX(Inputs!$C:$C,MATCH("Refi Year",Inputs!$B:$B,0))+INDEX(Inputs!$C:$C,MATCH("*Refi Term*",Inputs!$B:$B,0)))*12,AE$3=INDEX(Inputs!$C:$C,MATCH("End Year",Inputs!$B:$B,0))*12),-MAX(AE60+AE61-AE63,0),0),0)</f>
        <v>0</v>
      </c>
      <c r="AF64" s="152">
        <f t="array" ref="AF64">IF(AF$3&lt;=INDEX(Inputs!$C:$C,MATCH("End Year",Inputs!$B:$B,0))*12,IF(OR(AF$3=(INDEX(Inputs!$C:$C,MATCH("Refi Year",Inputs!$B:$B,0))+INDEX(Inputs!$C:$C,MATCH("*Refi Term*",Inputs!$B:$B,0)))*12,AF$3=INDEX(Inputs!$C:$C,MATCH("End Year",Inputs!$B:$B,0))*12),-MAX(AF60+AF61-AF63,0),0),0)</f>
        <v>0</v>
      </c>
      <c r="AG64" s="152">
        <f t="array" ref="AG64">IF(AG$3&lt;=INDEX(Inputs!$C:$C,MATCH("End Year",Inputs!$B:$B,0))*12,IF(OR(AG$3=(INDEX(Inputs!$C:$C,MATCH("Refi Year",Inputs!$B:$B,0))+INDEX(Inputs!$C:$C,MATCH("*Refi Term*",Inputs!$B:$B,0)))*12,AG$3=INDEX(Inputs!$C:$C,MATCH("End Year",Inputs!$B:$B,0))*12),-MAX(AG60+AG61-AG63,0),0),0)</f>
        <v>0</v>
      </c>
      <c r="AH64" s="152">
        <f t="array" ref="AH64">IF(AH$3&lt;=INDEX(Inputs!$C:$C,MATCH("End Year",Inputs!$B:$B,0))*12,IF(OR(AH$3=(INDEX(Inputs!$C:$C,MATCH("Refi Year",Inputs!$B:$B,0))+INDEX(Inputs!$C:$C,MATCH("*Refi Term*",Inputs!$B:$B,0)))*12,AH$3=INDEX(Inputs!$C:$C,MATCH("End Year",Inputs!$B:$B,0))*12),-MAX(AH60+AH61-AH63,0),0),0)</f>
        <v>0</v>
      </c>
      <c r="AI64" s="152">
        <f t="array" ref="AI64">IF(AI$3&lt;=INDEX(Inputs!$C:$C,MATCH("End Year",Inputs!$B:$B,0))*12,IF(OR(AI$3=(INDEX(Inputs!$C:$C,MATCH("Refi Year",Inputs!$B:$B,0))+INDEX(Inputs!$C:$C,MATCH("*Refi Term*",Inputs!$B:$B,0)))*12,AI$3=INDEX(Inputs!$C:$C,MATCH("End Year",Inputs!$B:$B,0))*12),-MAX(AI60+AI61-AI63,0),0),0)</f>
        <v>0</v>
      </c>
      <c r="AJ64" s="152">
        <f t="array" ref="AJ64">IF(AJ$3&lt;=INDEX(Inputs!$C:$C,MATCH("End Year",Inputs!$B:$B,0))*12,IF(OR(AJ$3=(INDEX(Inputs!$C:$C,MATCH("Refi Year",Inputs!$B:$B,0))+INDEX(Inputs!$C:$C,MATCH("*Refi Term*",Inputs!$B:$B,0)))*12,AJ$3=INDEX(Inputs!$C:$C,MATCH("End Year",Inputs!$B:$B,0))*12),-MAX(AJ60+AJ61-AJ63,0),0),0)</f>
        <v>0</v>
      </c>
      <c r="AK64" s="152">
        <f t="array" ref="AK64">IF(AK$3&lt;=INDEX(Inputs!$C:$C,MATCH("End Year",Inputs!$B:$B,0))*12,IF(OR(AK$3=(INDEX(Inputs!$C:$C,MATCH("Refi Year",Inputs!$B:$B,0))+INDEX(Inputs!$C:$C,MATCH("*Refi Term*",Inputs!$B:$B,0)))*12,AK$3=INDEX(Inputs!$C:$C,MATCH("End Year",Inputs!$B:$B,0))*12),-MAX(AK60+AK61-AK63,0),0),0)</f>
        <v>0</v>
      </c>
      <c r="AL64" s="152">
        <f t="array" ref="AL64">IF(AL$3&lt;=INDEX(Inputs!$C:$C,MATCH("End Year",Inputs!$B:$B,0))*12,IF(OR(AL$3=(INDEX(Inputs!$C:$C,MATCH("Refi Year",Inputs!$B:$B,0))+INDEX(Inputs!$C:$C,MATCH("*Refi Term*",Inputs!$B:$B,0)))*12,AL$3=INDEX(Inputs!$C:$C,MATCH("End Year",Inputs!$B:$B,0))*12),-MAX(AL60+AL61-AL63,0),0),0)</f>
        <v>0</v>
      </c>
      <c r="AM64" s="152">
        <f t="array" ref="AM64">IF(AM$3&lt;=INDEX(Inputs!$C:$C,MATCH("End Year",Inputs!$B:$B,0))*12,IF(OR(AM$3=(INDEX(Inputs!$C:$C,MATCH("Refi Year",Inputs!$B:$B,0))+INDEX(Inputs!$C:$C,MATCH("*Refi Term*",Inputs!$B:$B,0)))*12,AM$3=INDEX(Inputs!$C:$C,MATCH("End Year",Inputs!$B:$B,0))*12),-MAX(AM60+AM61-AM63,0),0),0)</f>
        <v>0</v>
      </c>
      <c r="AN64" s="152">
        <f t="array" ref="AN64">IF(AN$3&lt;=INDEX(Inputs!$C:$C,MATCH("End Year",Inputs!$B:$B,0))*12,IF(OR(AN$3=(INDEX(Inputs!$C:$C,MATCH("Refi Year",Inputs!$B:$B,0))+INDEX(Inputs!$C:$C,MATCH("*Refi Term*",Inputs!$B:$B,0)))*12,AN$3=INDEX(Inputs!$C:$C,MATCH("End Year",Inputs!$B:$B,0))*12),-MAX(AN60+AN61-AN63,0),0),0)</f>
        <v>0</v>
      </c>
      <c r="AO64" s="152">
        <f t="array" ref="AO64">IF(AO$3&lt;=INDEX(Inputs!$C:$C,MATCH("End Year",Inputs!$B:$B,0))*12,IF(OR(AO$3=(INDEX(Inputs!$C:$C,MATCH("Refi Year",Inputs!$B:$B,0))+INDEX(Inputs!$C:$C,MATCH("*Refi Term*",Inputs!$B:$B,0)))*12,AO$3=INDEX(Inputs!$C:$C,MATCH("End Year",Inputs!$B:$B,0))*12),-MAX(AO60+AO61-AO63,0),0),0)</f>
        <v>0</v>
      </c>
      <c r="AP64" s="152">
        <f t="array" ref="AP64">IF(AP$3&lt;=INDEX(Inputs!$C:$C,MATCH("End Year",Inputs!$B:$B,0))*12,IF(OR(AP$3=(INDEX(Inputs!$C:$C,MATCH("Refi Year",Inputs!$B:$B,0))+INDEX(Inputs!$C:$C,MATCH("*Refi Term*",Inputs!$B:$B,0)))*12,AP$3=INDEX(Inputs!$C:$C,MATCH("End Year",Inputs!$B:$B,0))*12),-MAX(AP60+AP61-AP63,0),0),0)</f>
        <v>0</v>
      </c>
      <c r="AQ64" s="152">
        <f t="array" ref="AQ64">IF(AQ$3&lt;=INDEX(Inputs!$C:$C,MATCH("End Year",Inputs!$B:$B,0))*12,IF(OR(AQ$3=(INDEX(Inputs!$C:$C,MATCH("Refi Year",Inputs!$B:$B,0))+INDEX(Inputs!$C:$C,MATCH("*Refi Term*",Inputs!$B:$B,0)))*12,AQ$3=INDEX(Inputs!$C:$C,MATCH("End Year",Inputs!$B:$B,0))*12),-MAX(AQ60+AQ61-AQ63,0),0),0)</f>
        <v>0</v>
      </c>
      <c r="AR64" s="152">
        <f t="array" ref="AR64">IF(AR$3&lt;=INDEX(Inputs!$C:$C,MATCH("End Year",Inputs!$B:$B,0))*12,IF(OR(AR$3=(INDEX(Inputs!$C:$C,MATCH("Refi Year",Inputs!$B:$B,0))+INDEX(Inputs!$C:$C,MATCH("*Refi Term*",Inputs!$B:$B,0)))*12,AR$3=INDEX(Inputs!$C:$C,MATCH("End Year",Inputs!$B:$B,0))*12),-MAX(AR60+AR61-AR63,0),0),0)</f>
        <v>0</v>
      </c>
      <c r="AS64" s="152">
        <f t="array" ref="AS64">IF(AS$3&lt;=INDEX(Inputs!$C:$C,MATCH("End Year",Inputs!$B:$B,0))*12,IF(OR(AS$3=(INDEX(Inputs!$C:$C,MATCH("Refi Year",Inputs!$B:$B,0))+INDEX(Inputs!$C:$C,MATCH("*Refi Term*",Inputs!$B:$B,0)))*12,AS$3=INDEX(Inputs!$C:$C,MATCH("End Year",Inputs!$B:$B,0))*12),-MAX(AS60+AS61-AS63,0),0),0)</f>
        <v>0</v>
      </c>
      <c r="AT64" s="152">
        <f t="array" ref="AT64">IF(AT$3&lt;=INDEX(Inputs!$C:$C,MATCH("End Year",Inputs!$B:$B,0))*12,IF(OR(AT$3=(INDEX(Inputs!$C:$C,MATCH("Refi Year",Inputs!$B:$B,0))+INDEX(Inputs!$C:$C,MATCH("*Refi Term*",Inputs!$B:$B,0)))*12,AT$3=INDEX(Inputs!$C:$C,MATCH("End Year",Inputs!$B:$B,0))*12),-MAX(AT60+AT61-AT63,0),0),0)</f>
        <v>0</v>
      </c>
      <c r="AU64" s="152">
        <f t="array" ref="AU64">IF(AU$3&lt;=INDEX(Inputs!$C:$C,MATCH("End Year",Inputs!$B:$B,0))*12,IF(OR(AU$3=(INDEX(Inputs!$C:$C,MATCH("Refi Year",Inputs!$B:$B,0))+INDEX(Inputs!$C:$C,MATCH("*Refi Term*",Inputs!$B:$B,0)))*12,AU$3=INDEX(Inputs!$C:$C,MATCH("End Year",Inputs!$B:$B,0))*12),-MAX(AU60+AU61-AU63,0),0),0)</f>
        <v>0</v>
      </c>
      <c r="AV64" s="152">
        <f t="array" ref="AV64">IF(AV$3&lt;=INDEX(Inputs!$C:$C,MATCH("End Year",Inputs!$B:$B,0))*12,IF(OR(AV$3=(INDEX(Inputs!$C:$C,MATCH("Refi Year",Inputs!$B:$B,0))+INDEX(Inputs!$C:$C,MATCH("*Refi Term*",Inputs!$B:$B,0)))*12,AV$3=INDEX(Inputs!$C:$C,MATCH("End Year",Inputs!$B:$B,0))*12),-MAX(AV60+AV61-AV63,0),0),0)</f>
        <v>0</v>
      </c>
      <c r="AW64" s="152">
        <f t="array" ref="AW64">IF(AW$3&lt;=INDEX(Inputs!$C:$C,MATCH("End Year",Inputs!$B:$B,0))*12,IF(OR(AW$3=(INDEX(Inputs!$C:$C,MATCH("Refi Year",Inputs!$B:$B,0))+INDEX(Inputs!$C:$C,MATCH("*Refi Term*",Inputs!$B:$B,0)))*12,AW$3=INDEX(Inputs!$C:$C,MATCH("End Year",Inputs!$B:$B,0))*12),-MAX(AW60+AW61-AW63,0),0),0)</f>
        <v>0</v>
      </c>
      <c r="AX64" s="152">
        <f t="array" ref="AX64">IF(AX$3&lt;=INDEX(Inputs!$C:$C,MATCH("End Year",Inputs!$B:$B,0))*12,IF(OR(AX$3=(INDEX(Inputs!$C:$C,MATCH("Refi Year",Inputs!$B:$B,0))+INDEX(Inputs!$C:$C,MATCH("*Refi Term*",Inputs!$B:$B,0)))*12,AX$3=INDEX(Inputs!$C:$C,MATCH("End Year",Inputs!$B:$B,0))*12),-MAX(AX60+AX61-AX63,0),0),0)</f>
        <v>0</v>
      </c>
      <c r="AY64" s="152">
        <f t="array" ref="AY64">IF(AY$3&lt;=INDEX(Inputs!$C:$C,MATCH("End Year",Inputs!$B:$B,0))*12,IF(OR(AY$3=(INDEX(Inputs!$C:$C,MATCH("Refi Year",Inputs!$B:$B,0))+INDEX(Inputs!$C:$C,MATCH("*Refi Term*",Inputs!$B:$B,0)))*12,AY$3=INDEX(Inputs!$C:$C,MATCH("End Year",Inputs!$B:$B,0))*12),-MAX(AY60+AY61-AY63,0),0),0)</f>
        <v>0</v>
      </c>
      <c r="AZ64" s="152">
        <f t="array" ref="AZ64">IF(AZ$3&lt;=INDEX(Inputs!$C:$C,MATCH("End Year",Inputs!$B:$B,0))*12,IF(OR(AZ$3=(INDEX(Inputs!$C:$C,MATCH("Refi Year",Inputs!$B:$B,0))+INDEX(Inputs!$C:$C,MATCH("*Refi Term*",Inputs!$B:$B,0)))*12,AZ$3=INDEX(Inputs!$C:$C,MATCH("End Year",Inputs!$B:$B,0))*12),-MAX(AZ60+AZ61-AZ63,0),0),0)</f>
        <v>0</v>
      </c>
      <c r="BA64" s="152">
        <f t="array" ref="BA64">IF(BA$3&lt;=INDEX(Inputs!$C:$C,MATCH("End Year",Inputs!$B:$B,0))*12,IF(OR(BA$3=(INDEX(Inputs!$C:$C,MATCH("Refi Year",Inputs!$B:$B,0))+INDEX(Inputs!$C:$C,MATCH("*Refi Term*",Inputs!$B:$B,0)))*12,BA$3=INDEX(Inputs!$C:$C,MATCH("End Year",Inputs!$B:$B,0))*12),-MAX(BA60+BA61-BA63,0),0),0)</f>
        <v>0</v>
      </c>
      <c r="BB64" s="152">
        <f t="array" ref="BB64">IF(BB$3&lt;=INDEX(Inputs!$C:$C,MATCH("End Year",Inputs!$B:$B,0))*12,IF(OR(BB$3=(INDEX(Inputs!$C:$C,MATCH("Refi Year",Inputs!$B:$B,0))+INDEX(Inputs!$C:$C,MATCH("*Refi Term*",Inputs!$B:$B,0)))*12,BB$3=INDEX(Inputs!$C:$C,MATCH("End Year",Inputs!$B:$B,0))*12),-MAX(BB60+BB61-BB63,0),0),0)</f>
        <v>0</v>
      </c>
      <c r="BC64" s="152">
        <f t="array" ref="BC64">IF(BC$3&lt;=INDEX(Inputs!$C:$C,MATCH("End Year",Inputs!$B:$B,0))*12,IF(OR(BC$3=(INDEX(Inputs!$C:$C,MATCH("Refi Year",Inputs!$B:$B,0))+INDEX(Inputs!$C:$C,MATCH("*Refi Term*",Inputs!$B:$B,0)))*12,BC$3=INDEX(Inputs!$C:$C,MATCH("End Year",Inputs!$B:$B,0))*12),-MAX(BC60+BC61-BC63,0),0),0)</f>
        <v>0</v>
      </c>
      <c r="BD64" s="152">
        <f t="array" ref="BD64">IF(BD$3&lt;=INDEX(Inputs!$C:$C,MATCH("End Year",Inputs!$B:$B,0))*12,IF(OR(BD$3=(INDEX(Inputs!$C:$C,MATCH("Refi Year",Inputs!$B:$B,0))+INDEX(Inputs!$C:$C,MATCH("*Refi Term*",Inputs!$B:$B,0)))*12,BD$3=INDEX(Inputs!$C:$C,MATCH("End Year",Inputs!$B:$B,0))*12),-MAX(BD60+BD61-BD63,0),0),0)</f>
        <v>0</v>
      </c>
      <c r="BE64" s="152">
        <f t="array" ref="BE64">IF(BE$3&lt;=INDEX(Inputs!$C:$C,MATCH("End Year",Inputs!$B:$B,0))*12,IF(OR(BE$3=(INDEX(Inputs!$C:$C,MATCH("Refi Year",Inputs!$B:$B,0))+INDEX(Inputs!$C:$C,MATCH("*Refi Term*",Inputs!$B:$B,0)))*12,BE$3=INDEX(Inputs!$C:$C,MATCH("End Year",Inputs!$B:$B,0))*12),-MAX(BE60+BE61-BE63,0),0),0)</f>
        <v>0</v>
      </c>
      <c r="BF64" s="152">
        <f t="array" ref="BF64">IF(BF$3&lt;=INDEX(Inputs!$C:$C,MATCH("End Year",Inputs!$B:$B,0))*12,IF(OR(BF$3=(INDEX(Inputs!$C:$C,MATCH("Refi Year",Inputs!$B:$B,0))+INDEX(Inputs!$C:$C,MATCH("*Refi Term*",Inputs!$B:$B,0)))*12,BF$3=INDEX(Inputs!$C:$C,MATCH("End Year",Inputs!$B:$B,0))*12),-MAX(BF60+BF61-BF63,0),0),0)</f>
        <v>0</v>
      </c>
      <c r="BG64" s="152">
        <f t="array" ref="BG64">IF(BG$3&lt;=INDEX(Inputs!$C:$C,MATCH("End Year",Inputs!$B:$B,0))*12,IF(OR(BG$3=(INDEX(Inputs!$C:$C,MATCH("Refi Year",Inputs!$B:$B,0))+INDEX(Inputs!$C:$C,MATCH("*Refi Term*",Inputs!$B:$B,0)))*12,BG$3=INDEX(Inputs!$C:$C,MATCH("End Year",Inputs!$B:$B,0))*12),-MAX(BG60+BG61-BG63,0),0),0)</f>
        <v>0</v>
      </c>
      <c r="BH64" s="152">
        <f t="array" ref="BH64">IF(BH$3&lt;=INDEX(Inputs!$C:$C,MATCH("End Year",Inputs!$B:$B,0))*12,IF(OR(BH$3=(INDEX(Inputs!$C:$C,MATCH("Refi Year",Inputs!$B:$B,0))+INDEX(Inputs!$C:$C,MATCH("*Refi Term*",Inputs!$B:$B,0)))*12,BH$3=INDEX(Inputs!$C:$C,MATCH("End Year",Inputs!$B:$B,0))*12),-MAX(BH60+BH61-BH63,0),0),0)</f>
        <v>0</v>
      </c>
      <c r="BI64" s="152">
        <f t="array" ref="BI64">IF(BI$3&lt;=INDEX(Inputs!$C:$C,MATCH("End Year",Inputs!$B:$B,0))*12,IF(OR(BI$3=(INDEX(Inputs!$C:$C,MATCH("Refi Year",Inputs!$B:$B,0))+INDEX(Inputs!$C:$C,MATCH("*Refi Term*",Inputs!$B:$B,0)))*12,BI$3=INDEX(Inputs!$C:$C,MATCH("End Year",Inputs!$B:$B,0))*12),-MAX(BI60+BI61-BI63,0),0),0)</f>
        <v>0</v>
      </c>
      <c r="BJ64" s="152">
        <f t="array" ref="BJ64">IF(BJ$3&lt;=INDEX(Inputs!$C:$C,MATCH("End Year",Inputs!$B:$B,0))*12,IF(OR(BJ$3=(INDEX(Inputs!$C:$C,MATCH("Refi Year",Inputs!$B:$B,0))+INDEX(Inputs!$C:$C,MATCH("*Refi Term*",Inputs!$B:$B,0)))*12,BJ$3=INDEX(Inputs!$C:$C,MATCH("End Year",Inputs!$B:$B,0))*12),-MAX(BJ60+BJ61-BJ63,0),0),0)</f>
        <v>0</v>
      </c>
      <c r="BK64" s="152">
        <f t="array" ref="BK64">IF(BK$3&lt;=INDEX(Inputs!$C:$C,MATCH("End Year",Inputs!$B:$B,0))*12,IF(OR(BK$3=(INDEX(Inputs!$C:$C,MATCH("Refi Year",Inputs!$B:$B,0))+INDEX(Inputs!$C:$C,MATCH("*Refi Term*",Inputs!$B:$B,0)))*12,BK$3=INDEX(Inputs!$C:$C,MATCH("End Year",Inputs!$B:$B,0))*12),-MAX(BK60+BK61-BK63,0),0),0)</f>
        <v>0</v>
      </c>
      <c r="BL64" s="152">
        <f t="array" ref="BL64">IF(BL$3&lt;=INDEX(Inputs!$C:$C,MATCH("End Year",Inputs!$B:$B,0))*12,IF(OR(BL$3=(INDEX(Inputs!$C:$C,MATCH("Refi Year",Inputs!$B:$B,0))+INDEX(Inputs!$C:$C,MATCH("*Refi Term*",Inputs!$B:$B,0)))*12,BL$3=INDEX(Inputs!$C:$C,MATCH("End Year",Inputs!$B:$B,0))*12),-MAX(BL60+BL61-BL63,0),0),0)</f>
        <v>0</v>
      </c>
      <c r="BM64" s="152">
        <f t="array" ref="BM64">IF(BM$3&lt;=INDEX(Inputs!$C:$C,MATCH("End Year",Inputs!$B:$B,0))*12,IF(OR(BM$3=(INDEX(Inputs!$C:$C,MATCH("Refi Year",Inputs!$B:$B,0))+INDEX(Inputs!$C:$C,MATCH("*Refi Term*",Inputs!$B:$B,0)))*12,BM$3=INDEX(Inputs!$C:$C,MATCH("End Year",Inputs!$B:$B,0))*12),-MAX(BM60+BM61-BM63,0),0),0)</f>
        <v>0</v>
      </c>
      <c r="BN64" s="152">
        <f t="array" ref="BN64">IF(BN$3&lt;=INDEX(Inputs!$C:$C,MATCH("End Year",Inputs!$B:$B,0))*12,IF(OR(BN$3=(INDEX(Inputs!$C:$C,MATCH("Refi Year",Inputs!$B:$B,0))+INDEX(Inputs!$C:$C,MATCH("*Refi Term*",Inputs!$B:$B,0)))*12,BN$3=INDEX(Inputs!$C:$C,MATCH("End Year",Inputs!$B:$B,0))*12),-MAX(BN60+BN61-BN63,0),0),0)</f>
        <v>0</v>
      </c>
      <c r="BO64" s="152">
        <f t="array" ref="BO64">IF(BO$3&lt;=INDEX(Inputs!$C:$C,MATCH("End Year",Inputs!$B:$B,0))*12,IF(OR(BO$3=(INDEX(Inputs!$C:$C,MATCH("Refi Year",Inputs!$B:$B,0))+INDEX(Inputs!$C:$C,MATCH("*Refi Term*",Inputs!$B:$B,0)))*12,BO$3=INDEX(Inputs!$C:$C,MATCH("End Year",Inputs!$B:$B,0))*12),-MAX(BO60+BO61-BO63,0),0),0)</f>
        <v>0</v>
      </c>
      <c r="BP64" s="152">
        <f t="array" ref="BP64">IF(BP$3&lt;=INDEX(Inputs!$C:$C,MATCH("End Year",Inputs!$B:$B,0))*12,IF(OR(BP$3=(INDEX(Inputs!$C:$C,MATCH("Refi Year",Inputs!$B:$B,0))+INDEX(Inputs!$C:$C,MATCH("*Refi Term*",Inputs!$B:$B,0)))*12,BP$3=INDEX(Inputs!$C:$C,MATCH("End Year",Inputs!$B:$B,0))*12),-MAX(BP60+BP61-BP63,0),0),0)</f>
        <v>0</v>
      </c>
      <c r="BQ64" s="152">
        <f t="array" ref="BQ64">IF(BQ$3&lt;=INDEX(Inputs!$C:$C,MATCH("End Year",Inputs!$B:$B,0))*12,IF(OR(BQ$3=(INDEX(Inputs!$C:$C,MATCH("Refi Year",Inputs!$B:$B,0))+INDEX(Inputs!$C:$C,MATCH("*Refi Term*",Inputs!$B:$B,0)))*12,BQ$3=INDEX(Inputs!$C:$C,MATCH("End Year",Inputs!$B:$B,0))*12),-MAX(BQ60+BQ61-BQ63,0),0),0)</f>
        <v>0</v>
      </c>
      <c r="BR64" s="152">
        <f t="array" ref="BR64">IF(BR$3&lt;=INDEX(Inputs!$C:$C,MATCH("End Year",Inputs!$B:$B,0))*12,IF(OR(BR$3=(INDEX(Inputs!$C:$C,MATCH("Refi Year",Inputs!$B:$B,0))+INDEX(Inputs!$C:$C,MATCH("*Refi Term*",Inputs!$B:$B,0)))*12,BR$3=INDEX(Inputs!$C:$C,MATCH("End Year",Inputs!$B:$B,0))*12),-MAX(BR60+BR61-BR63,0),0),0)</f>
        <v>0</v>
      </c>
      <c r="BS64" s="152">
        <f t="array" ref="BS64">IF(BS$3&lt;=INDEX(Inputs!$C:$C,MATCH("End Year",Inputs!$B:$B,0))*12,IF(OR(BS$3=(INDEX(Inputs!$C:$C,MATCH("Refi Year",Inputs!$B:$B,0))+INDEX(Inputs!$C:$C,MATCH("*Refi Term*",Inputs!$B:$B,0)))*12,BS$3=INDEX(Inputs!$C:$C,MATCH("End Year",Inputs!$B:$B,0))*12),-MAX(BS60+BS61-BS63,0),0),0)</f>
        <v>0</v>
      </c>
      <c r="BT64" s="152">
        <f t="array" ref="BT64">IF(BT$3&lt;=INDEX(Inputs!$C:$C,MATCH("End Year",Inputs!$B:$B,0))*12,IF(OR(BT$3=(INDEX(Inputs!$C:$C,MATCH("Refi Year",Inputs!$B:$B,0))+INDEX(Inputs!$C:$C,MATCH("*Refi Term*",Inputs!$B:$B,0)))*12,BT$3=INDEX(Inputs!$C:$C,MATCH("End Year",Inputs!$B:$B,0))*12),-MAX(BT60+BT61-BT63,0),0),0)</f>
        <v>0</v>
      </c>
      <c r="BU64" s="152">
        <f t="array" ref="BU64">IF(BU$3&lt;=INDEX(Inputs!$C:$C,MATCH("End Year",Inputs!$B:$B,0))*12,IF(OR(BU$3=(INDEX(Inputs!$C:$C,MATCH("Refi Year",Inputs!$B:$B,0))+INDEX(Inputs!$C:$C,MATCH("*Refi Term*",Inputs!$B:$B,0)))*12,BU$3=INDEX(Inputs!$C:$C,MATCH("End Year",Inputs!$B:$B,0))*12),-MAX(BU60+BU61-BU63,0),0),0)</f>
        <v>0</v>
      </c>
      <c r="BV64" s="152">
        <f t="array" ref="BV64">IF(BV$3&lt;=INDEX(Inputs!$C:$C,MATCH("End Year",Inputs!$B:$B,0))*12,IF(OR(BV$3=(INDEX(Inputs!$C:$C,MATCH("Refi Year",Inputs!$B:$B,0))+INDEX(Inputs!$C:$C,MATCH("*Refi Term*",Inputs!$B:$B,0)))*12,BV$3=INDEX(Inputs!$C:$C,MATCH("End Year",Inputs!$B:$B,0))*12),-MAX(BV60+BV61-BV63,0),0),0)</f>
        <v>0</v>
      </c>
      <c r="BW64" s="152">
        <f t="array" ref="BW64">IF(BW$3&lt;=INDEX(Inputs!$C:$C,MATCH("End Year",Inputs!$B:$B,0))*12,IF(OR(BW$3=(INDEX(Inputs!$C:$C,MATCH("Refi Year",Inputs!$B:$B,0))+INDEX(Inputs!$C:$C,MATCH("*Refi Term*",Inputs!$B:$B,0)))*12,BW$3=INDEX(Inputs!$C:$C,MATCH("End Year",Inputs!$B:$B,0))*12),-MAX(BW60+BW61-BW63,0),0),0)</f>
        <v>0</v>
      </c>
      <c r="BX64" s="152">
        <f t="array" ref="BX64">IF(BX$3&lt;=INDEX(Inputs!$C:$C,MATCH("End Year",Inputs!$B:$B,0))*12,IF(OR(BX$3=(INDEX(Inputs!$C:$C,MATCH("Refi Year",Inputs!$B:$B,0))+INDEX(Inputs!$C:$C,MATCH("*Refi Term*",Inputs!$B:$B,0)))*12,BX$3=INDEX(Inputs!$C:$C,MATCH("End Year",Inputs!$B:$B,0))*12),-MAX(BX60+BX61-BX63,0),0),0)</f>
        <v>0</v>
      </c>
      <c r="BY64" s="152">
        <f t="array" ref="BY64">IF(BY$3&lt;=INDEX(Inputs!$C:$C,MATCH("End Year",Inputs!$B:$B,0))*12,IF(OR(BY$3=(INDEX(Inputs!$C:$C,MATCH("Refi Year",Inputs!$B:$B,0))+INDEX(Inputs!$C:$C,MATCH("*Refi Term*",Inputs!$B:$B,0)))*12,BY$3=INDEX(Inputs!$C:$C,MATCH("End Year",Inputs!$B:$B,0))*12),-MAX(BY60+BY61-BY63,0),0),0)</f>
        <v>0</v>
      </c>
      <c r="BZ64" s="152">
        <f t="array" ref="BZ64">IF(BZ$3&lt;=INDEX(Inputs!$C:$C,MATCH("End Year",Inputs!$B:$B,0))*12,IF(OR(BZ$3=(INDEX(Inputs!$C:$C,MATCH("Refi Year",Inputs!$B:$B,0))+INDEX(Inputs!$C:$C,MATCH("*Refi Term*",Inputs!$B:$B,0)))*12,BZ$3=INDEX(Inputs!$C:$C,MATCH("End Year",Inputs!$B:$B,0))*12),-MAX(BZ60+BZ61-BZ63,0),0),0)</f>
        <v>0</v>
      </c>
      <c r="CA64" s="152">
        <f t="array" ref="CA64">IF(CA$3&lt;=INDEX(Inputs!$C:$C,MATCH("End Year",Inputs!$B:$B,0))*12,IF(OR(CA$3=(INDEX(Inputs!$C:$C,MATCH("Refi Year",Inputs!$B:$B,0))+INDEX(Inputs!$C:$C,MATCH("*Refi Term*",Inputs!$B:$B,0)))*12,CA$3=INDEX(Inputs!$C:$C,MATCH("End Year",Inputs!$B:$B,0))*12),-MAX(CA60+CA61-CA63,0),0),0)</f>
        <v>0</v>
      </c>
      <c r="CB64" s="152">
        <f t="array" ref="CB64">IF(CB$3&lt;=INDEX(Inputs!$C:$C,MATCH("End Year",Inputs!$B:$B,0))*12,IF(OR(CB$3=(INDEX(Inputs!$C:$C,MATCH("Refi Year",Inputs!$B:$B,0))+INDEX(Inputs!$C:$C,MATCH("*Refi Term*",Inputs!$B:$B,0)))*12,CB$3=INDEX(Inputs!$C:$C,MATCH("End Year",Inputs!$B:$B,0))*12),-MAX(CB60+CB61-CB63,0),0),0)</f>
        <v>0</v>
      </c>
      <c r="CC64" s="152">
        <f t="array" ref="CC64">IF(CC$3&lt;=INDEX(Inputs!$C:$C,MATCH("End Year",Inputs!$B:$B,0))*12,IF(OR(CC$3=(INDEX(Inputs!$C:$C,MATCH("Refi Year",Inputs!$B:$B,0))+INDEX(Inputs!$C:$C,MATCH("*Refi Term*",Inputs!$B:$B,0)))*12,CC$3=INDEX(Inputs!$C:$C,MATCH("End Year",Inputs!$B:$B,0))*12),-MAX(CC60+CC61-CC63,0),0),0)</f>
        <v>0</v>
      </c>
      <c r="CD64" s="152">
        <f t="array" ref="CD64">IF(CD$3&lt;=INDEX(Inputs!$C:$C,MATCH("End Year",Inputs!$B:$B,0))*12,IF(OR(CD$3=(INDEX(Inputs!$C:$C,MATCH("Refi Year",Inputs!$B:$B,0))+INDEX(Inputs!$C:$C,MATCH("*Refi Term*",Inputs!$B:$B,0)))*12,CD$3=INDEX(Inputs!$C:$C,MATCH("End Year",Inputs!$B:$B,0))*12),-MAX(CD60+CD61-CD63,0),0),0)</f>
        <v>0</v>
      </c>
      <c r="CE64" s="152">
        <f t="array" ref="CE64">IF(CE$3&lt;=INDEX(Inputs!$C:$C,MATCH("End Year",Inputs!$B:$B,0))*12,IF(OR(CE$3=(INDEX(Inputs!$C:$C,MATCH("Refi Year",Inputs!$B:$B,0))+INDEX(Inputs!$C:$C,MATCH("*Refi Term*",Inputs!$B:$B,0)))*12,CE$3=INDEX(Inputs!$C:$C,MATCH("End Year",Inputs!$B:$B,0))*12),-MAX(CE60+CE61-CE63,0),0),0)</f>
        <v>0</v>
      </c>
      <c r="CF64" s="152">
        <f t="array" ref="CF64">IF(CF$3&lt;=INDEX(Inputs!$C:$C,MATCH("End Year",Inputs!$B:$B,0))*12,IF(OR(CF$3=(INDEX(Inputs!$C:$C,MATCH("Refi Year",Inputs!$B:$B,0))+INDEX(Inputs!$C:$C,MATCH("*Refi Term*",Inputs!$B:$B,0)))*12,CF$3=INDEX(Inputs!$C:$C,MATCH("End Year",Inputs!$B:$B,0))*12),-MAX(CF60+CF61-CF63,0),0),0)</f>
        <v>0</v>
      </c>
      <c r="CG64" s="152">
        <f t="array" ref="CG64">IF(CG$3&lt;=INDEX(Inputs!$C:$C,MATCH("End Year",Inputs!$B:$B,0))*12,IF(OR(CG$3=(INDEX(Inputs!$C:$C,MATCH("Refi Year",Inputs!$B:$B,0))+INDEX(Inputs!$C:$C,MATCH("*Refi Term*",Inputs!$B:$B,0)))*12,CG$3=INDEX(Inputs!$C:$C,MATCH("End Year",Inputs!$B:$B,0))*12),-MAX(CG60+CG61-CG63,0),0),0)</f>
        <v>0</v>
      </c>
      <c r="CH64" s="152">
        <f t="array" ref="CH64">IF(CH$3&lt;=INDEX(Inputs!$C:$C,MATCH("End Year",Inputs!$B:$B,0))*12,IF(OR(CH$3=(INDEX(Inputs!$C:$C,MATCH("Refi Year",Inputs!$B:$B,0))+INDEX(Inputs!$C:$C,MATCH("*Refi Term*",Inputs!$B:$B,0)))*12,CH$3=INDEX(Inputs!$C:$C,MATCH("End Year",Inputs!$B:$B,0))*12),-MAX(CH60+CH61-CH63,0),0),0)</f>
        <v>0</v>
      </c>
      <c r="CI64" s="152">
        <f t="array" ref="CI64">IF(CI$3&lt;=INDEX(Inputs!$C:$C,MATCH("End Year",Inputs!$B:$B,0))*12,IF(OR(CI$3=(INDEX(Inputs!$C:$C,MATCH("Refi Year",Inputs!$B:$B,0))+INDEX(Inputs!$C:$C,MATCH("*Refi Term*",Inputs!$B:$B,0)))*12,CI$3=INDEX(Inputs!$C:$C,MATCH("End Year",Inputs!$B:$B,0))*12),-MAX(CI60+CI61-CI63,0),0),0)</f>
        <v>0</v>
      </c>
      <c r="CJ64" s="152">
        <f t="array" ref="CJ64">IF(CJ$3&lt;=INDEX(Inputs!$C:$C,MATCH("End Year",Inputs!$B:$B,0))*12,IF(OR(CJ$3=(INDEX(Inputs!$C:$C,MATCH("Refi Year",Inputs!$B:$B,0))+INDEX(Inputs!$C:$C,MATCH("*Refi Term*",Inputs!$B:$B,0)))*12,CJ$3=INDEX(Inputs!$C:$C,MATCH("End Year",Inputs!$B:$B,0))*12),-MAX(CJ60+CJ61-CJ63,0),0),0)</f>
        <v>0</v>
      </c>
      <c r="CK64" s="152">
        <f t="array" ref="CK64">IF(CK$3&lt;=INDEX(Inputs!$C:$C,MATCH("End Year",Inputs!$B:$B,0))*12,IF(OR(CK$3=(INDEX(Inputs!$C:$C,MATCH("Refi Year",Inputs!$B:$B,0))+INDEX(Inputs!$C:$C,MATCH("*Refi Term*",Inputs!$B:$B,0)))*12,CK$3=INDEX(Inputs!$C:$C,MATCH("End Year",Inputs!$B:$B,0))*12),-MAX(CK60+CK61-CK63,0),0),0)</f>
        <v>0</v>
      </c>
      <c r="CL64" s="152">
        <f t="array" ref="CL64">IF(CL$3&lt;=INDEX(Inputs!$C:$C,MATCH("End Year",Inputs!$B:$B,0))*12,IF(OR(CL$3=(INDEX(Inputs!$C:$C,MATCH("Refi Year",Inputs!$B:$B,0))+INDEX(Inputs!$C:$C,MATCH("*Refi Term*",Inputs!$B:$B,0)))*12,CL$3=INDEX(Inputs!$C:$C,MATCH("End Year",Inputs!$B:$B,0))*12),-MAX(CL60+CL61-CL63,0),0),0)</f>
        <v>0</v>
      </c>
      <c r="CM64" s="152">
        <f t="array" ref="CM64">IF(CM$3&lt;=INDEX(Inputs!$C:$C,MATCH("End Year",Inputs!$B:$B,0))*12,IF(OR(CM$3=(INDEX(Inputs!$C:$C,MATCH("Refi Year",Inputs!$B:$B,0))+INDEX(Inputs!$C:$C,MATCH("*Refi Term*",Inputs!$B:$B,0)))*12,CM$3=INDEX(Inputs!$C:$C,MATCH("End Year",Inputs!$B:$B,0))*12),-MAX(CM60+CM61-CM63,0),0),0)</f>
        <v>0</v>
      </c>
      <c r="CN64" s="152">
        <f t="array" ref="CN64">IF(CN$3&lt;=INDEX(Inputs!$C:$C,MATCH("End Year",Inputs!$B:$B,0))*12,IF(OR(CN$3=(INDEX(Inputs!$C:$C,MATCH("Refi Year",Inputs!$B:$B,0))+INDEX(Inputs!$C:$C,MATCH("*Refi Term*",Inputs!$B:$B,0)))*12,CN$3=INDEX(Inputs!$C:$C,MATCH("End Year",Inputs!$B:$B,0))*12),-MAX(CN60+CN61-CN63,0),0),0)</f>
        <v>0</v>
      </c>
      <c r="CO64" s="152">
        <f t="array" ref="CO64">IF(CO$3&lt;=INDEX(Inputs!$C:$C,MATCH("End Year",Inputs!$B:$B,0))*12,IF(OR(CO$3=(INDEX(Inputs!$C:$C,MATCH("Refi Year",Inputs!$B:$B,0))+INDEX(Inputs!$C:$C,MATCH("*Refi Term*",Inputs!$B:$B,0)))*12,CO$3=INDEX(Inputs!$C:$C,MATCH("End Year",Inputs!$B:$B,0))*12),-MAX(CO60+CO61-CO63,0),0),0)</f>
        <v>0</v>
      </c>
      <c r="CP64" s="152">
        <f t="array" ref="CP64">IF(CP$3&lt;=INDEX(Inputs!$C:$C,MATCH("End Year",Inputs!$B:$B,0))*12,IF(OR(CP$3=(INDEX(Inputs!$C:$C,MATCH("Refi Year",Inputs!$B:$B,0))+INDEX(Inputs!$C:$C,MATCH("*Refi Term*",Inputs!$B:$B,0)))*12,CP$3=INDEX(Inputs!$C:$C,MATCH("End Year",Inputs!$B:$B,0))*12),-MAX(CP60+CP61-CP63,0),0),0)</f>
        <v>0</v>
      </c>
      <c r="CQ64" s="152">
        <f t="array" ref="CQ64">IF(CQ$3&lt;=INDEX(Inputs!$C:$C,MATCH("End Year",Inputs!$B:$B,0))*12,IF(OR(CQ$3=(INDEX(Inputs!$C:$C,MATCH("Refi Year",Inputs!$B:$B,0))+INDEX(Inputs!$C:$C,MATCH("*Refi Term*",Inputs!$B:$B,0)))*12,CQ$3=INDEX(Inputs!$C:$C,MATCH("End Year",Inputs!$B:$B,0))*12),-MAX(CQ60+CQ61-CQ63,0),0),0)</f>
        <v>0</v>
      </c>
      <c r="CR64" s="152">
        <f t="array" ref="CR64">IF(CR$3&lt;=INDEX(Inputs!$C:$C,MATCH("End Year",Inputs!$B:$B,0))*12,IF(OR(CR$3=(INDEX(Inputs!$C:$C,MATCH("Refi Year",Inputs!$B:$B,0))+INDEX(Inputs!$C:$C,MATCH("*Refi Term*",Inputs!$B:$B,0)))*12,CR$3=INDEX(Inputs!$C:$C,MATCH("End Year",Inputs!$B:$B,0))*12),-MAX(CR60+CR61-CR63,0),0),0)</f>
        <v>0</v>
      </c>
      <c r="CS64" s="152">
        <f t="array" ref="CS64">IF(CS$3&lt;=INDEX(Inputs!$C:$C,MATCH("End Year",Inputs!$B:$B,0))*12,IF(OR(CS$3=(INDEX(Inputs!$C:$C,MATCH("Refi Year",Inputs!$B:$B,0))+INDEX(Inputs!$C:$C,MATCH("*Refi Term*",Inputs!$B:$B,0)))*12,CS$3=INDEX(Inputs!$C:$C,MATCH("End Year",Inputs!$B:$B,0))*12),-MAX(CS60+CS61-CS63,0),0),0)</f>
        <v>0</v>
      </c>
      <c r="CT64" s="152">
        <f t="array" ref="CT64">IF(CT$3&lt;=INDEX(Inputs!$C:$C,MATCH("End Year",Inputs!$B:$B,0))*12,IF(OR(CT$3=(INDEX(Inputs!$C:$C,MATCH("Refi Year",Inputs!$B:$B,0))+INDEX(Inputs!$C:$C,MATCH("*Refi Term*",Inputs!$B:$B,0)))*12,CT$3=INDEX(Inputs!$C:$C,MATCH("End Year",Inputs!$B:$B,0))*12),-MAX(CT60+CT61-CT63,0),0),0)</f>
        <v>0</v>
      </c>
      <c r="CU64" s="152">
        <f t="array" ref="CU64">IF(CU$3&lt;=INDEX(Inputs!$C:$C,MATCH("End Year",Inputs!$B:$B,0))*12,IF(OR(CU$3=(INDEX(Inputs!$C:$C,MATCH("Refi Year",Inputs!$B:$B,0))+INDEX(Inputs!$C:$C,MATCH("*Refi Term*",Inputs!$B:$B,0)))*12,CU$3=INDEX(Inputs!$C:$C,MATCH("End Year",Inputs!$B:$B,0))*12),-MAX(CU60+CU61-CU63,0),0),0)</f>
        <v>0</v>
      </c>
      <c r="CV64" s="152">
        <f t="array" ref="CV64">IF(CV$3&lt;=INDEX(Inputs!$C:$C,MATCH("End Year",Inputs!$B:$B,0))*12,IF(OR(CV$3=(INDEX(Inputs!$C:$C,MATCH("Refi Year",Inputs!$B:$B,0))+INDEX(Inputs!$C:$C,MATCH("*Refi Term*",Inputs!$B:$B,0)))*12,CV$3=INDEX(Inputs!$C:$C,MATCH("End Year",Inputs!$B:$B,0))*12),-MAX(CV60+CV61-CV63,0),0),0)</f>
        <v>0</v>
      </c>
      <c r="CW64" s="152">
        <f t="array" ref="CW64">IF(CW$3&lt;=INDEX(Inputs!$C:$C,MATCH("End Year",Inputs!$B:$B,0))*12,IF(OR(CW$3=(INDEX(Inputs!$C:$C,MATCH("Refi Year",Inputs!$B:$B,0))+INDEX(Inputs!$C:$C,MATCH("*Refi Term*",Inputs!$B:$B,0)))*12,CW$3=INDEX(Inputs!$C:$C,MATCH("End Year",Inputs!$B:$B,0))*12),-MAX(CW60+CW61-CW63,0),0),0)</f>
        <v>0</v>
      </c>
      <c r="CX64" s="152">
        <f t="array" ref="CX64">IF(CX$3&lt;=INDEX(Inputs!$C:$C,MATCH("End Year",Inputs!$B:$B,0))*12,IF(OR(CX$3=(INDEX(Inputs!$C:$C,MATCH("Refi Year",Inputs!$B:$B,0))+INDEX(Inputs!$C:$C,MATCH("*Refi Term*",Inputs!$B:$B,0)))*12,CX$3=INDEX(Inputs!$C:$C,MATCH("End Year",Inputs!$B:$B,0))*12),-MAX(CX60+CX61-CX63,0),0),0)</f>
        <v>0</v>
      </c>
      <c r="CY64" s="152">
        <f t="array" ref="CY64">IF(CY$3&lt;=INDEX(Inputs!$C:$C,MATCH("End Year",Inputs!$B:$B,0))*12,IF(OR(CY$3=(INDEX(Inputs!$C:$C,MATCH("Refi Year",Inputs!$B:$B,0))+INDEX(Inputs!$C:$C,MATCH("*Refi Term*",Inputs!$B:$B,0)))*12,CY$3=INDEX(Inputs!$C:$C,MATCH("End Year",Inputs!$B:$B,0))*12),-MAX(CY60+CY61-CY63,0),0),0)</f>
        <v>0</v>
      </c>
      <c r="CZ64" s="152">
        <f t="array" ref="CZ64">IF(CZ$3&lt;=INDEX(Inputs!$C:$C,MATCH("End Year",Inputs!$B:$B,0))*12,IF(OR(CZ$3=(INDEX(Inputs!$C:$C,MATCH("Refi Year",Inputs!$B:$B,0))+INDEX(Inputs!$C:$C,MATCH("*Refi Term*",Inputs!$B:$B,0)))*12,CZ$3=INDEX(Inputs!$C:$C,MATCH("End Year",Inputs!$B:$B,0))*12),-MAX(CZ60+CZ61-CZ63,0),0),0)</f>
        <v>0</v>
      </c>
      <c r="DA64" s="152">
        <f t="array" ref="DA64">IF(DA$3&lt;=INDEX(Inputs!$C:$C,MATCH("End Year",Inputs!$B:$B,0))*12,IF(OR(DA$3=(INDEX(Inputs!$C:$C,MATCH("Refi Year",Inputs!$B:$B,0))+INDEX(Inputs!$C:$C,MATCH("*Refi Term*",Inputs!$B:$B,0)))*12,DA$3=INDEX(Inputs!$C:$C,MATCH("End Year",Inputs!$B:$B,0))*12),-MAX(DA60+DA61-DA63,0),0),0)</f>
        <v>0</v>
      </c>
      <c r="DB64" s="152">
        <f t="array" ref="DB64">IF(DB$3&lt;=INDEX(Inputs!$C:$C,MATCH("End Year",Inputs!$B:$B,0))*12,IF(OR(DB$3=(INDEX(Inputs!$C:$C,MATCH("Refi Year",Inputs!$B:$B,0))+INDEX(Inputs!$C:$C,MATCH("*Refi Term*",Inputs!$B:$B,0)))*12,DB$3=INDEX(Inputs!$C:$C,MATCH("End Year",Inputs!$B:$B,0))*12),-MAX(DB60+DB61-DB63,0),0),0)</f>
        <v>0</v>
      </c>
      <c r="DC64" s="152">
        <f t="array" ref="DC64">IF(DC$3&lt;=INDEX(Inputs!$C:$C,MATCH("End Year",Inputs!$B:$B,0))*12,IF(OR(DC$3=(INDEX(Inputs!$C:$C,MATCH("Refi Year",Inputs!$B:$B,0))+INDEX(Inputs!$C:$C,MATCH("*Refi Term*",Inputs!$B:$B,0)))*12,DC$3=INDEX(Inputs!$C:$C,MATCH("End Year",Inputs!$B:$B,0))*12),-MAX(DC60+DC61-DC63,0),0),0)</f>
        <v>0</v>
      </c>
      <c r="DD64" s="152">
        <f t="array" ref="DD64">IF(DD$3&lt;=INDEX(Inputs!$C:$C,MATCH("End Year",Inputs!$B:$B,0))*12,IF(OR(DD$3=(INDEX(Inputs!$C:$C,MATCH("Refi Year",Inputs!$B:$B,0))+INDEX(Inputs!$C:$C,MATCH("*Refi Term*",Inputs!$B:$B,0)))*12,DD$3=INDEX(Inputs!$C:$C,MATCH("End Year",Inputs!$B:$B,0))*12),-MAX(DD60+DD61-DD63,0),0),0)</f>
        <v>0</v>
      </c>
      <c r="DE64" s="152">
        <f t="array" ref="DE64">IF(DE$3&lt;=INDEX(Inputs!$C:$C,MATCH("End Year",Inputs!$B:$B,0))*12,IF(OR(DE$3=(INDEX(Inputs!$C:$C,MATCH("Refi Year",Inputs!$B:$B,0))+INDEX(Inputs!$C:$C,MATCH("*Refi Term*",Inputs!$B:$B,0)))*12,DE$3=INDEX(Inputs!$C:$C,MATCH("End Year",Inputs!$B:$B,0))*12),-MAX(DE60+DE61-DE63,0),0),0)</f>
        <v>0</v>
      </c>
      <c r="DF64" s="152">
        <f t="array" ref="DF64">IF(DF$3&lt;=INDEX(Inputs!$C:$C,MATCH("End Year",Inputs!$B:$B,0))*12,IF(OR(DF$3=(INDEX(Inputs!$C:$C,MATCH("Refi Year",Inputs!$B:$B,0))+INDEX(Inputs!$C:$C,MATCH("*Refi Term*",Inputs!$B:$B,0)))*12,DF$3=INDEX(Inputs!$C:$C,MATCH("End Year",Inputs!$B:$B,0))*12),-MAX(DF60+DF61-DF63,0),0),0)</f>
        <v>0</v>
      </c>
      <c r="DG64" s="152">
        <f t="array" ref="DG64">IF(DG$3&lt;=INDEX(Inputs!$C:$C,MATCH("End Year",Inputs!$B:$B,0))*12,IF(OR(DG$3=(INDEX(Inputs!$C:$C,MATCH("Refi Year",Inputs!$B:$B,0))+INDEX(Inputs!$C:$C,MATCH("*Refi Term*",Inputs!$B:$B,0)))*12,DG$3=INDEX(Inputs!$C:$C,MATCH("End Year",Inputs!$B:$B,0))*12),-MAX(DG60+DG61-DG63,0),0),0)</f>
        <v>0</v>
      </c>
      <c r="DH64" s="152">
        <f t="array" ref="DH64">IF(DH$3&lt;=INDEX(Inputs!$C:$C,MATCH("End Year",Inputs!$B:$B,0))*12,IF(OR(DH$3=(INDEX(Inputs!$C:$C,MATCH("Refi Year",Inputs!$B:$B,0))+INDEX(Inputs!$C:$C,MATCH("*Refi Term*",Inputs!$B:$B,0)))*12,DH$3=INDEX(Inputs!$C:$C,MATCH("End Year",Inputs!$B:$B,0))*12),-MAX(DH60+DH61-DH63,0),0),0)</f>
        <v>0</v>
      </c>
      <c r="DI64" s="152">
        <f t="array" ref="DI64">IF(DI$3&lt;=INDEX(Inputs!$C:$C,MATCH("End Year",Inputs!$B:$B,0))*12,IF(OR(DI$3=(INDEX(Inputs!$C:$C,MATCH("Refi Year",Inputs!$B:$B,0))+INDEX(Inputs!$C:$C,MATCH("*Refi Term*",Inputs!$B:$B,0)))*12,DI$3=INDEX(Inputs!$C:$C,MATCH("End Year",Inputs!$B:$B,0))*12),-MAX(DI60+DI61-DI63,0),0),0)</f>
        <v>0</v>
      </c>
      <c r="DJ64" s="152">
        <f t="array" ref="DJ64">IF(DJ$3&lt;=INDEX(Inputs!$C:$C,MATCH("End Year",Inputs!$B:$B,0))*12,IF(OR(DJ$3=(INDEX(Inputs!$C:$C,MATCH("Refi Year",Inputs!$B:$B,0))+INDEX(Inputs!$C:$C,MATCH("*Refi Term*",Inputs!$B:$B,0)))*12,DJ$3=INDEX(Inputs!$C:$C,MATCH("End Year",Inputs!$B:$B,0))*12),-MAX(DJ60+DJ61-DJ63,0),0),0)</f>
        <v>0</v>
      </c>
      <c r="DK64" s="152">
        <f t="array" ref="DK64">IF(DK$3&lt;=INDEX(Inputs!$C:$C,MATCH("End Year",Inputs!$B:$B,0))*12,IF(OR(DK$3=(INDEX(Inputs!$C:$C,MATCH("Refi Year",Inputs!$B:$B,0))+INDEX(Inputs!$C:$C,MATCH("*Refi Term*",Inputs!$B:$B,0)))*12,DK$3=INDEX(Inputs!$C:$C,MATCH("End Year",Inputs!$B:$B,0))*12),-MAX(DK60+DK61-DK63,0),0),0)</f>
        <v>0</v>
      </c>
      <c r="DL64" s="152">
        <f t="array" ref="DL64">IF(DL$3&lt;=INDEX(Inputs!$C:$C,MATCH("End Year",Inputs!$B:$B,0))*12,IF(OR(DL$3=(INDEX(Inputs!$C:$C,MATCH("Refi Year",Inputs!$B:$B,0))+INDEX(Inputs!$C:$C,MATCH("*Refi Term*",Inputs!$B:$B,0)))*12,DL$3=INDEX(Inputs!$C:$C,MATCH("End Year",Inputs!$B:$B,0))*12),-MAX(DL60+DL61-DL63,0),0),0)</f>
        <v>0</v>
      </c>
      <c r="DM64" s="152">
        <f t="array" ref="DM64">IF(DM$3&lt;=INDEX(Inputs!$C:$C,MATCH("End Year",Inputs!$B:$B,0))*12,IF(OR(DM$3=(INDEX(Inputs!$C:$C,MATCH("Refi Year",Inputs!$B:$B,0))+INDEX(Inputs!$C:$C,MATCH("*Refi Term*",Inputs!$B:$B,0)))*12,DM$3=INDEX(Inputs!$C:$C,MATCH("End Year",Inputs!$B:$B,0))*12),-MAX(DM60+DM61-DM63,0),0),0)</f>
        <v>0</v>
      </c>
      <c r="DN64" s="152">
        <f t="array" ref="DN64">IF(DN$3&lt;=INDEX(Inputs!$C:$C,MATCH("End Year",Inputs!$B:$B,0))*12,IF(OR(DN$3=(INDEX(Inputs!$C:$C,MATCH("Refi Year",Inputs!$B:$B,0))+INDEX(Inputs!$C:$C,MATCH("*Refi Term*",Inputs!$B:$B,0)))*12,DN$3=INDEX(Inputs!$C:$C,MATCH("End Year",Inputs!$B:$B,0))*12),-MAX(DN60+DN61-DN63,0),0),0)</f>
        <v>0</v>
      </c>
      <c r="DO64" s="152">
        <f t="array" ref="DO64">IF(DO$3&lt;=INDEX(Inputs!$C:$C,MATCH("End Year",Inputs!$B:$B,0))*12,IF(OR(DO$3=(INDEX(Inputs!$C:$C,MATCH("Refi Year",Inputs!$B:$B,0))+INDEX(Inputs!$C:$C,MATCH("*Refi Term*",Inputs!$B:$B,0)))*12,DO$3=INDEX(Inputs!$C:$C,MATCH("End Year",Inputs!$B:$B,0))*12),-MAX(DO60+DO61-DO63,0),0),0)</f>
        <v>0</v>
      </c>
      <c r="DP64" s="152">
        <f t="array" ref="DP64">IF(DP$3&lt;=INDEX(Inputs!$C:$C,MATCH("End Year",Inputs!$B:$B,0))*12,IF(OR(DP$3=(INDEX(Inputs!$C:$C,MATCH("Refi Year",Inputs!$B:$B,0))+INDEX(Inputs!$C:$C,MATCH("*Refi Term*",Inputs!$B:$B,0)))*12,DP$3=INDEX(Inputs!$C:$C,MATCH("End Year",Inputs!$B:$B,0))*12),-MAX(DP60+DP61-DP63,0),0),0)</f>
        <v>0</v>
      </c>
      <c r="DQ64" s="152">
        <f t="array" ref="DQ64">IF(DQ$3&lt;=INDEX(Inputs!$C:$C,MATCH("End Year",Inputs!$B:$B,0))*12,IF(OR(DQ$3=(INDEX(Inputs!$C:$C,MATCH("Refi Year",Inputs!$B:$B,0))+INDEX(Inputs!$C:$C,MATCH("*Refi Term*",Inputs!$B:$B,0)))*12,DQ$3=INDEX(Inputs!$C:$C,MATCH("End Year",Inputs!$B:$B,0))*12),-MAX(DQ60+DQ61-DQ63,0),0),0)</f>
        <v>0</v>
      </c>
      <c r="DR64" s="152">
        <f t="array" ref="DR64">IF(DR$3&lt;=INDEX(Inputs!$C:$C,MATCH("End Year",Inputs!$B:$B,0))*12,IF(OR(DR$3=(INDEX(Inputs!$C:$C,MATCH("Refi Year",Inputs!$B:$B,0))+INDEX(Inputs!$C:$C,MATCH("*Refi Term*",Inputs!$B:$B,0)))*12,DR$3=INDEX(Inputs!$C:$C,MATCH("End Year",Inputs!$B:$B,0))*12),-MAX(DR60+DR61-DR63,0),0),0)</f>
        <v>0</v>
      </c>
      <c r="DS64" s="44">
        <f t="array" ref="DS64">IF(DS$3&lt;=INDEX(Inputs!$C:$C,MATCH("End Year",Inputs!$B:$B,0))*12,IF(OR(DS$3=(INDEX(Inputs!$C:$C,MATCH("Refi Year",Inputs!$B:$B,0))+INDEX(Inputs!$C:$C,MATCH("*Refi Term*",Inputs!$B:$B,0)))*12,DS$3=INDEX(Inputs!$C:$C,MATCH("End Year",Inputs!$B:$B,0))*12),-MAX(DS60+DS61-DS63,0),0),0)</f>
        <v>0</v>
      </c>
    </row>
    <row r="65" ht="15.75" customHeight="1">
      <c r="A65" s="44"/>
      <c r="B65" s="101" t="s">
        <v>344</v>
      </c>
      <c r="C65" s="173">
        <f t="array" ref="C65">IF(C$3&lt;=INDEX(Inputs!$C:$C,MATCH("End Year",Inputs!$B:$B,0))*12,MAX(C60+C61-C63+C64,0),0)</f>
        <v>0</v>
      </c>
      <c r="D65" s="173">
        <f t="array" ref="D65">IF(D$3&lt;=INDEX(Inputs!$C:$C,MATCH("End Year",Inputs!$B:$B,0))*12,MAX(D60+D61-D63+D64,0),0)</f>
        <v>0</v>
      </c>
      <c r="E65" s="173">
        <f t="array" ref="E65">IF(E$3&lt;=INDEX(Inputs!$C:$C,MATCH("End Year",Inputs!$B:$B,0))*12,MAX(E60+E61-E63+E64,0),0)</f>
        <v>0</v>
      </c>
      <c r="F65" s="173">
        <f t="array" ref="F65">IF(F$3&lt;=INDEX(Inputs!$C:$C,MATCH("End Year",Inputs!$B:$B,0))*12,MAX(F60+F61-F63+F64,0),0)</f>
        <v>0</v>
      </c>
      <c r="G65" s="173">
        <f t="array" ref="G65">IF(G$3&lt;=INDEX(Inputs!$C:$C,MATCH("End Year",Inputs!$B:$B,0))*12,MAX(G60+G61-G63+G64,0),0)</f>
        <v>0</v>
      </c>
      <c r="H65" s="173">
        <f t="array" ref="H65">IF(H$3&lt;=INDEX(Inputs!$C:$C,MATCH("End Year",Inputs!$B:$B,0))*12,MAX(H60+H61-H63+H64,0),0)</f>
        <v>0</v>
      </c>
      <c r="I65" s="173">
        <f t="array" ref="I65">IF(I$3&lt;=INDEX(Inputs!$C:$C,MATCH("End Year",Inputs!$B:$B,0))*12,MAX(I60+I61-I63+I64,0),0)</f>
        <v>0</v>
      </c>
      <c r="J65" s="173">
        <f t="array" ref="J65">IF(J$3&lt;=INDEX(Inputs!$C:$C,MATCH("End Year",Inputs!$B:$B,0))*12,MAX(J60+J61-J63+J64,0),0)</f>
        <v>0</v>
      </c>
      <c r="K65" s="173">
        <f t="array" ref="K65">IF(K$3&lt;=INDEX(Inputs!$C:$C,MATCH("End Year",Inputs!$B:$B,0))*12,MAX(K60+K61-K63+K64,0),0)</f>
        <v>0</v>
      </c>
      <c r="L65" s="173">
        <f t="array" ref="L65">IF(L$3&lt;=INDEX(Inputs!$C:$C,MATCH("End Year",Inputs!$B:$B,0))*12,MAX(L60+L61-L63+L64,0),0)</f>
        <v>0</v>
      </c>
      <c r="M65" s="173">
        <f t="array" ref="M65">IF(M$3&lt;=INDEX(Inputs!$C:$C,MATCH("End Year",Inputs!$B:$B,0))*12,MAX(M60+M61-M63+M64,0),0)</f>
        <v>0</v>
      </c>
      <c r="N65" s="173">
        <f t="array" ref="N65">IF(N$3&lt;=INDEX(Inputs!$C:$C,MATCH("End Year",Inputs!$B:$B,0))*12,MAX(N60+N61-N63+N64,0),0)</f>
        <v>0</v>
      </c>
      <c r="O65" s="173">
        <f t="array" ref="O65">IF(O$3&lt;=INDEX(Inputs!$C:$C,MATCH("End Year",Inputs!$B:$B,0))*12,MAX(O60+O61-O63+O64,0),0)</f>
        <v>0</v>
      </c>
      <c r="P65" s="173">
        <f t="array" ref="P65">IF(P$3&lt;=INDEX(Inputs!$C:$C,MATCH("End Year",Inputs!$B:$B,0))*12,MAX(P60+P61-P63+P64,0),0)</f>
        <v>0</v>
      </c>
      <c r="Q65" s="173">
        <f t="array" ref="Q65">IF(Q$3&lt;=INDEX(Inputs!$C:$C,MATCH("End Year",Inputs!$B:$B,0))*12,MAX(Q60+Q61-Q63+Q64,0),0)</f>
        <v>0</v>
      </c>
      <c r="R65" s="173">
        <f t="array" ref="R65">IF(R$3&lt;=INDEX(Inputs!$C:$C,MATCH("End Year",Inputs!$B:$B,0))*12,MAX(R60+R61-R63+R64,0),0)</f>
        <v>0</v>
      </c>
      <c r="S65" s="173">
        <f t="array" ref="S65">IF(S$3&lt;=INDEX(Inputs!$C:$C,MATCH("End Year",Inputs!$B:$B,0))*12,MAX(S60+S61-S63+S64,0),0)</f>
        <v>0</v>
      </c>
      <c r="T65" s="173">
        <f t="array" ref="T65">IF(T$3&lt;=INDEX(Inputs!$C:$C,MATCH("End Year",Inputs!$B:$B,0))*12,MAX(T60+T61-T63+T64,0),0)</f>
        <v>0</v>
      </c>
      <c r="U65" s="173">
        <f t="array" ref="U65">IF(U$3&lt;=INDEX(Inputs!$C:$C,MATCH("End Year",Inputs!$B:$B,0))*12,MAX(U60+U61-U63+U64,0),0)</f>
        <v>0</v>
      </c>
      <c r="V65" s="173">
        <f t="array" ref="V65">IF(V$3&lt;=INDEX(Inputs!$C:$C,MATCH("End Year",Inputs!$B:$B,0))*12,MAX(V60+V61-V63+V64,0),0)</f>
        <v>0</v>
      </c>
      <c r="W65" s="173">
        <f t="array" ref="W65">IF(W$3&lt;=INDEX(Inputs!$C:$C,MATCH("End Year",Inputs!$B:$B,0))*12,MAX(W60+W61-W63+W64,0),0)</f>
        <v>0</v>
      </c>
      <c r="X65" s="173">
        <f t="array" ref="X65">IF(X$3&lt;=INDEX(Inputs!$C:$C,MATCH("End Year",Inputs!$B:$B,0))*12,MAX(X60+X61-X63+X64,0),0)</f>
        <v>0</v>
      </c>
      <c r="Y65" s="173">
        <f t="array" ref="Y65">IF(Y$3&lt;=INDEX(Inputs!$C:$C,MATCH("End Year",Inputs!$B:$B,0))*12,MAX(Y60+Y61-Y63+Y64,0),0)</f>
        <v>0</v>
      </c>
      <c r="Z65" s="173">
        <f t="array" ref="Z65">IF(Z$3&lt;=INDEX(Inputs!$C:$C,MATCH("End Year",Inputs!$B:$B,0))*12,MAX(Z60+Z61-Z63+Z64,0),0)</f>
        <v>0</v>
      </c>
      <c r="AA65" s="173">
        <f t="array" ref="AA65">IF(AA$3&lt;=INDEX(Inputs!$C:$C,MATCH("End Year",Inputs!$B:$B,0))*12,MAX(AA60+AA61-AA63+AA64,0),0)</f>
        <v>0</v>
      </c>
      <c r="AB65" s="173">
        <f t="array" ref="AB65">IF(AB$3&lt;=INDEX(Inputs!$C:$C,MATCH("End Year",Inputs!$B:$B,0))*12,MAX(AB60+AB61-AB63+AB64,0),0)</f>
        <v>0</v>
      </c>
      <c r="AC65" s="173">
        <f t="array" ref="AC65">IF(AC$3&lt;=INDEX(Inputs!$C:$C,MATCH("End Year",Inputs!$B:$B,0))*12,MAX(AC60+AC61-AC63+AC64,0),0)</f>
        <v>0</v>
      </c>
      <c r="AD65" s="173">
        <f t="array" ref="AD65">IF(AD$3&lt;=INDEX(Inputs!$C:$C,MATCH("End Year",Inputs!$B:$B,0))*12,MAX(AD60+AD61-AD63+AD64,0),0)</f>
        <v>0</v>
      </c>
      <c r="AE65" s="173">
        <f t="array" ref="AE65">IF(AE$3&lt;=INDEX(Inputs!$C:$C,MATCH("End Year",Inputs!$B:$B,0))*12,MAX(AE60+AE61-AE63+AE64,0),0)</f>
        <v>0</v>
      </c>
      <c r="AF65" s="173">
        <f t="array" ref="AF65">IF(AF$3&lt;=INDEX(Inputs!$C:$C,MATCH("End Year",Inputs!$B:$B,0))*12,MAX(AF60+AF61-AF63+AF64,0),0)</f>
        <v>0</v>
      </c>
      <c r="AG65" s="173">
        <f t="array" ref="AG65">IF(AG$3&lt;=INDEX(Inputs!$C:$C,MATCH("End Year",Inputs!$B:$B,0))*12,MAX(AG60+AG61-AG63+AG64,0),0)</f>
        <v>0</v>
      </c>
      <c r="AH65" s="173">
        <f t="array" ref="AH65">IF(AH$3&lt;=INDEX(Inputs!$C:$C,MATCH("End Year",Inputs!$B:$B,0))*12,MAX(AH60+AH61-AH63+AH64,0),0)</f>
        <v>0</v>
      </c>
      <c r="AI65" s="173">
        <f t="array" ref="AI65">IF(AI$3&lt;=INDEX(Inputs!$C:$C,MATCH("End Year",Inputs!$B:$B,0))*12,MAX(AI60+AI61-AI63+AI64,0),0)</f>
        <v>0</v>
      </c>
      <c r="AJ65" s="173">
        <f t="array" ref="AJ65">IF(AJ$3&lt;=INDEX(Inputs!$C:$C,MATCH("End Year",Inputs!$B:$B,0))*12,MAX(AJ60+AJ61-AJ63+AJ64,0),0)</f>
        <v>0</v>
      </c>
      <c r="AK65" s="173">
        <f t="array" ref="AK65">IF(AK$3&lt;=INDEX(Inputs!$C:$C,MATCH("End Year",Inputs!$B:$B,0))*12,MAX(AK60+AK61-AK63+AK64,0),0)</f>
        <v>0</v>
      </c>
      <c r="AL65" s="173">
        <f t="array" ref="AL65">IF(AL$3&lt;=INDEX(Inputs!$C:$C,MATCH("End Year",Inputs!$B:$B,0))*12,MAX(AL60+AL61-AL63+AL64,0),0)</f>
        <v>0</v>
      </c>
      <c r="AM65" s="173">
        <f t="array" ref="AM65">IF(AM$3&lt;=INDEX(Inputs!$C:$C,MATCH("End Year",Inputs!$B:$B,0))*12,MAX(AM60+AM61-AM63+AM64,0),0)</f>
        <v>0</v>
      </c>
      <c r="AN65" s="173">
        <f t="array" ref="AN65">IF(AN$3&lt;=INDEX(Inputs!$C:$C,MATCH("End Year",Inputs!$B:$B,0))*12,MAX(AN60+AN61-AN63+AN64,0),0)</f>
        <v>0</v>
      </c>
      <c r="AO65" s="173">
        <f t="array" ref="AO65">IF(AO$3&lt;=INDEX(Inputs!$C:$C,MATCH("End Year",Inputs!$B:$B,0))*12,MAX(AO60+AO61-AO63+AO64,0),0)</f>
        <v>0</v>
      </c>
      <c r="AP65" s="173">
        <f t="array" ref="AP65">IF(AP$3&lt;=INDEX(Inputs!$C:$C,MATCH("End Year",Inputs!$B:$B,0))*12,MAX(AP60+AP61-AP63+AP64,0),0)</f>
        <v>0</v>
      </c>
      <c r="AQ65" s="173">
        <f t="array" ref="AQ65">IF(AQ$3&lt;=INDEX(Inputs!$C:$C,MATCH("End Year",Inputs!$B:$B,0))*12,MAX(AQ60+AQ61-AQ63+AQ64,0),0)</f>
        <v>0</v>
      </c>
      <c r="AR65" s="173">
        <f t="array" ref="AR65">IF(AR$3&lt;=INDEX(Inputs!$C:$C,MATCH("End Year",Inputs!$B:$B,0))*12,MAX(AR60+AR61-AR63+AR64,0),0)</f>
        <v>0</v>
      </c>
      <c r="AS65" s="173">
        <f t="array" ref="AS65">IF(AS$3&lt;=INDEX(Inputs!$C:$C,MATCH("End Year",Inputs!$B:$B,0))*12,MAX(AS60+AS61-AS63+AS64,0),0)</f>
        <v>0</v>
      </c>
      <c r="AT65" s="173">
        <f t="array" ref="AT65">IF(AT$3&lt;=INDEX(Inputs!$C:$C,MATCH("End Year",Inputs!$B:$B,0))*12,MAX(AT60+AT61-AT63+AT64,0),0)</f>
        <v>0</v>
      </c>
      <c r="AU65" s="173">
        <f t="array" ref="AU65">IF(AU$3&lt;=INDEX(Inputs!$C:$C,MATCH("End Year",Inputs!$B:$B,0))*12,MAX(AU60+AU61-AU63+AU64,0),0)</f>
        <v>0</v>
      </c>
      <c r="AV65" s="173">
        <f t="array" ref="AV65">IF(AV$3&lt;=INDEX(Inputs!$C:$C,MATCH("End Year",Inputs!$B:$B,0))*12,MAX(AV60+AV61-AV63+AV64,0),0)</f>
        <v>0</v>
      </c>
      <c r="AW65" s="173">
        <f t="array" ref="AW65">IF(AW$3&lt;=INDEX(Inputs!$C:$C,MATCH("End Year",Inputs!$B:$B,0))*12,MAX(AW60+AW61-AW63+AW64,0),0)</f>
        <v>0</v>
      </c>
      <c r="AX65" s="173">
        <f t="array" ref="AX65">IF(AX$3&lt;=INDEX(Inputs!$C:$C,MATCH("End Year",Inputs!$B:$B,0))*12,MAX(AX60+AX61-AX63+AX64,0),0)</f>
        <v>0</v>
      </c>
      <c r="AY65" s="173">
        <f t="array" ref="AY65">IF(AY$3&lt;=INDEX(Inputs!$C:$C,MATCH("End Year",Inputs!$B:$B,0))*12,MAX(AY60+AY61-AY63+AY64,0),0)</f>
        <v>0</v>
      </c>
      <c r="AZ65" s="173">
        <f t="array" ref="AZ65">IF(AZ$3&lt;=INDEX(Inputs!$C:$C,MATCH("End Year",Inputs!$B:$B,0))*12,MAX(AZ60+AZ61-AZ63+AZ64,0),0)</f>
        <v>0</v>
      </c>
      <c r="BA65" s="173">
        <f t="array" ref="BA65">IF(BA$3&lt;=INDEX(Inputs!$C:$C,MATCH("End Year",Inputs!$B:$B,0))*12,MAX(BA60+BA61-BA63+BA64,0),0)</f>
        <v>0</v>
      </c>
      <c r="BB65" s="173">
        <f t="array" ref="BB65">IF(BB$3&lt;=INDEX(Inputs!$C:$C,MATCH("End Year",Inputs!$B:$B,0))*12,MAX(BB60+BB61-BB63+BB64,0),0)</f>
        <v>0</v>
      </c>
      <c r="BC65" s="173">
        <f t="array" ref="BC65">IF(BC$3&lt;=INDEX(Inputs!$C:$C,MATCH("End Year",Inputs!$B:$B,0))*12,MAX(BC60+BC61-BC63+BC64,0),0)</f>
        <v>0</v>
      </c>
      <c r="BD65" s="173">
        <f t="array" ref="BD65">IF(BD$3&lt;=INDEX(Inputs!$C:$C,MATCH("End Year",Inputs!$B:$B,0))*12,MAX(BD60+BD61-BD63+BD64,0),0)</f>
        <v>0</v>
      </c>
      <c r="BE65" s="173">
        <f t="array" ref="BE65">IF(BE$3&lt;=INDEX(Inputs!$C:$C,MATCH("End Year",Inputs!$B:$B,0))*12,MAX(BE60+BE61-BE63+BE64,0),0)</f>
        <v>0</v>
      </c>
      <c r="BF65" s="173">
        <f t="array" ref="BF65">IF(BF$3&lt;=INDEX(Inputs!$C:$C,MATCH("End Year",Inputs!$B:$B,0))*12,MAX(BF60+BF61-BF63+BF64,0),0)</f>
        <v>0</v>
      </c>
      <c r="BG65" s="173">
        <f t="array" ref="BG65">IF(BG$3&lt;=INDEX(Inputs!$C:$C,MATCH("End Year",Inputs!$B:$B,0))*12,MAX(BG60+BG61-BG63+BG64,0),0)</f>
        <v>0</v>
      </c>
      <c r="BH65" s="173">
        <f t="array" ref="BH65">IF(BH$3&lt;=INDEX(Inputs!$C:$C,MATCH("End Year",Inputs!$B:$B,0))*12,MAX(BH60+BH61-BH63+BH64,0),0)</f>
        <v>0</v>
      </c>
      <c r="BI65" s="173">
        <f t="array" ref="BI65">IF(BI$3&lt;=INDEX(Inputs!$C:$C,MATCH("End Year",Inputs!$B:$B,0))*12,MAX(BI60+BI61-BI63+BI64,0),0)</f>
        <v>0</v>
      </c>
      <c r="BJ65" s="173">
        <f t="array" ref="BJ65">IF(BJ$3&lt;=INDEX(Inputs!$C:$C,MATCH("End Year",Inputs!$B:$B,0))*12,MAX(BJ60+BJ61-BJ63+BJ64,0),0)</f>
        <v>0</v>
      </c>
      <c r="BK65" s="173">
        <f t="array" ref="BK65">IF(BK$3&lt;=INDEX(Inputs!$C:$C,MATCH("End Year",Inputs!$B:$B,0))*12,MAX(BK60+BK61-BK63+BK64,0),0)</f>
        <v>0</v>
      </c>
      <c r="BL65" s="173">
        <f t="array" ref="BL65">IF(BL$3&lt;=INDEX(Inputs!$C:$C,MATCH("End Year",Inputs!$B:$B,0))*12,MAX(BL60+BL61-BL63+BL64,0),0)</f>
        <v>0</v>
      </c>
      <c r="BM65" s="173">
        <f t="array" ref="BM65">IF(BM$3&lt;=INDEX(Inputs!$C:$C,MATCH("End Year",Inputs!$B:$B,0))*12,MAX(BM60+BM61-BM63+BM64,0),0)</f>
        <v>0</v>
      </c>
      <c r="BN65" s="173">
        <f t="array" ref="BN65">IF(BN$3&lt;=INDEX(Inputs!$C:$C,MATCH("End Year",Inputs!$B:$B,0))*12,MAX(BN60+BN61-BN63+BN64,0),0)</f>
        <v>0</v>
      </c>
      <c r="BO65" s="173">
        <f t="array" ref="BO65">IF(BO$3&lt;=INDEX(Inputs!$C:$C,MATCH("End Year",Inputs!$B:$B,0))*12,MAX(BO60+BO61-BO63+BO64,0),0)</f>
        <v>0</v>
      </c>
      <c r="BP65" s="173">
        <f t="array" ref="BP65">IF(BP$3&lt;=INDEX(Inputs!$C:$C,MATCH("End Year",Inputs!$B:$B,0))*12,MAX(BP60+BP61-BP63+BP64,0),0)</f>
        <v>0</v>
      </c>
      <c r="BQ65" s="173">
        <f t="array" ref="BQ65">IF(BQ$3&lt;=INDEX(Inputs!$C:$C,MATCH("End Year",Inputs!$B:$B,0))*12,MAX(BQ60+BQ61-BQ63+BQ64,0),0)</f>
        <v>0</v>
      </c>
      <c r="BR65" s="173">
        <f t="array" ref="BR65">IF(BR$3&lt;=INDEX(Inputs!$C:$C,MATCH("End Year",Inputs!$B:$B,0))*12,MAX(BR60+BR61-BR63+BR64,0),0)</f>
        <v>0</v>
      </c>
      <c r="BS65" s="173">
        <f t="array" ref="BS65">IF(BS$3&lt;=INDEX(Inputs!$C:$C,MATCH("End Year",Inputs!$B:$B,0))*12,MAX(BS60+BS61-BS63+BS64,0),0)</f>
        <v>0</v>
      </c>
      <c r="BT65" s="173">
        <f t="array" ref="BT65">IF(BT$3&lt;=INDEX(Inputs!$C:$C,MATCH("End Year",Inputs!$B:$B,0))*12,MAX(BT60+BT61-BT63+BT64,0),0)</f>
        <v>0</v>
      </c>
      <c r="BU65" s="173">
        <f t="array" ref="BU65">IF(BU$3&lt;=INDEX(Inputs!$C:$C,MATCH("End Year",Inputs!$B:$B,0))*12,MAX(BU60+BU61-BU63+BU64,0),0)</f>
        <v>0</v>
      </c>
      <c r="BV65" s="173">
        <f t="array" ref="BV65">IF(BV$3&lt;=INDEX(Inputs!$C:$C,MATCH("End Year",Inputs!$B:$B,0))*12,MAX(BV60+BV61-BV63+BV64,0),0)</f>
        <v>0</v>
      </c>
      <c r="BW65" s="173">
        <f t="array" ref="BW65">IF(BW$3&lt;=INDEX(Inputs!$C:$C,MATCH("End Year",Inputs!$B:$B,0))*12,MAX(BW60+BW61-BW63+BW64,0),0)</f>
        <v>0</v>
      </c>
      <c r="BX65" s="173">
        <f t="array" ref="BX65">IF(BX$3&lt;=INDEX(Inputs!$C:$C,MATCH("End Year",Inputs!$B:$B,0))*12,MAX(BX60+BX61-BX63+BX64,0),0)</f>
        <v>0</v>
      </c>
      <c r="BY65" s="173">
        <f t="array" ref="BY65">IF(BY$3&lt;=INDEX(Inputs!$C:$C,MATCH("End Year",Inputs!$B:$B,0))*12,MAX(BY60+BY61-BY63+BY64,0),0)</f>
        <v>0</v>
      </c>
      <c r="BZ65" s="173">
        <f t="array" ref="BZ65">IF(BZ$3&lt;=INDEX(Inputs!$C:$C,MATCH("End Year",Inputs!$B:$B,0))*12,MAX(BZ60+BZ61-BZ63+BZ64,0),0)</f>
        <v>0</v>
      </c>
      <c r="CA65" s="173">
        <f t="array" ref="CA65">IF(CA$3&lt;=INDEX(Inputs!$C:$C,MATCH("End Year",Inputs!$B:$B,0))*12,MAX(CA60+CA61-CA63+CA64,0),0)</f>
        <v>0</v>
      </c>
      <c r="CB65" s="173">
        <f t="array" ref="CB65">IF(CB$3&lt;=INDEX(Inputs!$C:$C,MATCH("End Year",Inputs!$B:$B,0))*12,MAX(CB60+CB61-CB63+CB64,0),0)</f>
        <v>0</v>
      </c>
      <c r="CC65" s="173">
        <f t="array" ref="CC65">IF(CC$3&lt;=INDEX(Inputs!$C:$C,MATCH("End Year",Inputs!$B:$B,0))*12,MAX(CC60+CC61-CC63+CC64,0),0)</f>
        <v>0</v>
      </c>
      <c r="CD65" s="173">
        <f t="array" ref="CD65">IF(CD$3&lt;=INDEX(Inputs!$C:$C,MATCH("End Year",Inputs!$B:$B,0))*12,MAX(CD60+CD61-CD63+CD64,0),0)</f>
        <v>0</v>
      </c>
      <c r="CE65" s="173">
        <f t="array" ref="CE65">IF(CE$3&lt;=INDEX(Inputs!$C:$C,MATCH("End Year",Inputs!$B:$B,0))*12,MAX(CE60+CE61-CE63+CE64,0),0)</f>
        <v>0</v>
      </c>
      <c r="CF65" s="173">
        <f t="array" ref="CF65">IF(CF$3&lt;=INDEX(Inputs!$C:$C,MATCH("End Year",Inputs!$B:$B,0))*12,MAX(CF60+CF61-CF63+CF64,0),0)</f>
        <v>0</v>
      </c>
      <c r="CG65" s="173">
        <f t="array" ref="CG65">IF(CG$3&lt;=INDEX(Inputs!$C:$C,MATCH("End Year",Inputs!$B:$B,0))*12,MAX(CG60+CG61-CG63+CG64,0),0)</f>
        <v>0</v>
      </c>
      <c r="CH65" s="173">
        <f t="array" ref="CH65">IF(CH$3&lt;=INDEX(Inputs!$C:$C,MATCH("End Year",Inputs!$B:$B,0))*12,MAX(CH60+CH61-CH63+CH64,0),0)</f>
        <v>0</v>
      </c>
      <c r="CI65" s="173">
        <f t="array" ref="CI65">IF(CI$3&lt;=INDEX(Inputs!$C:$C,MATCH("End Year",Inputs!$B:$B,0))*12,MAX(CI60+CI61-CI63+CI64,0),0)</f>
        <v>0</v>
      </c>
      <c r="CJ65" s="173">
        <f t="array" ref="CJ65">IF(CJ$3&lt;=INDEX(Inputs!$C:$C,MATCH("End Year",Inputs!$B:$B,0))*12,MAX(CJ60+CJ61-CJ63+CJ64,0),0)</f>
        <v>0</v>
      </c>
      <c r="CK65" s="173">
        <f t="array" ref="CK65">IF(CK$3&lt;=INDEX(Inputs!$C:$C,MATCH("End Year",Inputs!$B:$B,0))*12,MAX(CK60+CK61-CK63+CK64,0),0)</f>
        <v>0</v>
      </c>
      <c r="CL65" s="173">
        <f t="array" ref="CL65">IF(CL$3&lt;=INDEX(Inputs!$C:$C,MATCH("End Year",Inputs!$B:$B,0))*12,MAX(CL60+CL61-CL63+CL64,0),0)</f>
        <v>0</v>
      </c>
      <c r="CM65" s="173">
        <f t="array" ref="CM65">IF(CM$3&lt;=INDEX(Inputs!$C:$C,MATCH("End Year",Inputs!$B:$B,0))*12,MAX(CM60+CM61-CM63+CM64,0),0)</f>
        <v>0</v>
      </c>
      <c r="CN65" s="173">
        <f t="array" ref="CN65">IF(CN$3&lt;=INDEX(Inputs!$C:$C,MATCH("End Year",Inputs!$B:$B,0))*12,MAX(CN60+CN61-CN63+CN64,0),0)</f>
        <v>0</v>
      </c>
      <c r="CO65" s="173">
        <f t="array" ref="CO65">IF(CO$3&lt;=INDEX(Inputs!$C:$C,MATCH("End Year",Inputs!$B:$B,0))*12,MAX(CO60+CO61-CO63+CO64,0),0)</f>
        <v>0</v>
      </c>
      <c r="CP65" s="173">
        <f t="array" ref="CP65">IF(CP$3&lt;=INDEX(Inputs!$C:$C,MATCH("End Year",Inputs!$B:$B,0))*12,MAX(CP60+CP61-CP63+CP64,0),0)</f>
        <v>0</v>
      </c>
      <c r="CQ65" s="173">
        <f t="array" ref="CQ65">IF(CQ$3&lt;=INDEX(Inputs!$C:$C,MATCH("End Year",Inputs!$B:$B,0))*12,MAX(CQ60+CQ61-CQ63+CQ64,0),0)</f>
        <v>0</v>
      </c>
      <c r="CR65" s="173">
        <f t="array" ref="CR65">IF(CR$3&lt;=INDEX(Inputs!$C:$C,MATCH("End Year",Inputs!$B:$B,0))*12,MAX(CR60+CR61-CR63+CR64,0),0)</f>
        <v>0</v>
      </c>
      <c r="CS65" s="173">
        <f t="array" ref="CS65">IF(CS$3&lt;=INDEX(Inputs!$C:$C,MATCH("End Year",Inputs!$B:$B,0))*12,MAX(CS60+CS61-CS63+CS64,0),0)</f>
        <v>0</v>
      </c>
      <c r="CT65" s="173">
        <f t="array" ref="CT65">IF(CT$3&lt;=INDEX(Inputs!$C:$C,MATCH("End Year",Inputs!$B:$B,0))*12,MAX(CT60+CT61-CT63+CT64,0),0)</f>
        <v>0</v>
      </c>
      <c r="CU65" s="173">
        <f t="array" ref="CU65">IF(CU$3&lt;=INDEX(Inputs!$C:$C,MATCH("End Year",Inputs!$B:$B,0))*12,MAX(CU60+CU61-CU63+CU64,0),0)</f>
        <v>0</v>
      </c>
      <c r="CV65" s="173">
        <f t="array" ref="CV65">IF(CV$3&lt;=INDEX(Inputs!$C:$C,MATCH("End Year",Inputs!$B:$B,0))*12,MAX(CV60+CV61-CV63+CV64,0),0)</f>
        <v>0</v>
      </c>
      <c r="CW65" s="173">
        <f t="array" ref="CW65">IF(CW$3&lt;=INDEX(Inputs!$C:$C,MATCH("End Year",Inputs!$B:$B,0))*12,MAX(CW60+CW61-CW63+CW64,0),0)</f>
        <v>0</v>
      </c>
      <c r="CX65" s="173">
        <f t="array" ref="CX65">IF(CX$3&lt;=INDEX(Inputs!$C:$C,MATCH("End Year",Inputs!$B:$B,0))*12,MAX(CX60+CX61-CX63+CX64,0),0)</f>
        <v>0</v>
      </c>
      <c r="CY65" s="173">
        <f t="array" ref="CY65">IF(CY$3&lt;=INDEX(Inputs!$C:$C,MATCH("End Year",Inputs!$B:$B,0))*12,MAX(CY60+CY61-CY63+CY64,0),0)</f>
        <v>0</v>
      </c>
      <c r="CZ65" s="173">
        <f t="array" ref="CZ65">IF(CZ$3&lt;=INDEX(Inputs!$C:$C,MATCH("End Year",Inputs!$B:$B,0))*12,MAX(CZ60+CZ61-CZ63+CZ64,0),0)</f>
        <v>0</v>
      </c>
      <c r="DA65" s="173">
        <f t="array" ref="DA65">IF(DA$3&lt;=INDEX(Inputs!$C:$C,MATCH("End Year",Inputs!$B:$B,0))*12,MAX(DA60+DA61-DA63+DA64,0),0)</f>
        <v>0</v>
      </c>
      <c r="DB65" s="173">
        <f t="array" ref="DB65">IF(DB$3&lt;=INDEX(Inputs!$C:$C,MATCH("End Year",Inputs!$B:$B,0))*12,MAX(DB60+DB61-DB63+DB64,0),0)</f>
        <v>0</v>
      </c>
      <c r="DC65" s="173">
        <f t="array" ref="DC65">IF(DC$3&lt;=INDEX(Inputs!$C:$C,MATCH("End Year",Inputs!$B:$B,0))*12,MAX(DC60+DC61-DC63+DC64,0),0)</f>
        <v>0</v>
      </c>
      <c r="DD65" s="173">
        <f t="array" ref="DD65">IF(DD$3&lt;=INDEX(Inputs!$C:$C,MATCH("End Year",Inputs!$B:$B,0))*12,MAX(DD60+DD61-DD63+DD64,0),0)</f>
        <v>0</v>
      </c>
      <c r="DE65" s="173">
        <f t="array" ref="DE65">IF(DE$3&lt;=INDEX(Inputs!$C:$C,MATCH("End Year",Inputs!$B:$B,0))*12,MAX(DE60+DE61-DE63+DE64,0),0)</f>
        <v>0</v>
      </c>
      <c r="DF65" s="173">
        <f t="array" ref="DF65">IF(DF$3&lt;=INDEX(Inputs!$C:$C,MATCH("End Year",Inputs!$B:$B,0))*12,MAX(DF60+DF61-DF63+DF64,0),0)</f>
        <v>0</v>
      </c>
      <c r="DG65" s="173">
        <f t="array" ref="DG65">IF(DG$3&lt;=INDEX(Inputs!$C:$C,MATCH("End Year",Inputs!$B:$B,0))*12,MAX(DG60+DG61-DG63+DG64,0),0)</f>
        <v>0</v>
      </c>
      <c r="DH65" s="173">
        <f t="array" ref="DH65">IF(DH$3&lt;=INDEX(Inputs!$C:$C,MATCH("End Year",Inputs!$B:$B,0))*12,MAX(DH60+DH61-DH63+DH64,0),0)</f>
        <v>0</v>
      </c>
      <c r="DI65" s="173">
        <f t="array" ref="DI65">IF(DI$3&lt;=INDEX(Inputs!$C:$C,MATCH("End Year",Inputs!$B:$B,0))*12,MAX(DI60+DI61-DI63+DI64,0),0)</f>
        <v>0</v>
      </c>
      <c r="DJ65" s="173">
        <f t="array" ref="DJ65">IF(DJ$3&lt;=INDEX(Inputs!$C:$C,MATCH("End Year",Inputs!$B:$B,0))*12,MAX(DJ60+DJ61-DJ63+DJ64,0),0)</f>
        <v>0</v>
      </c>
      <c r="DK65" s="173">
        <f t="array" ref="DK65">IF(DK$3&lt;=INDEX(Inputs!$C:$C,MATCH("End Year",Inputs!$B:$B,0))*12,MAX(DK60+DK61-DK63+DK64,0),0)</f>
        <v>0</v>
      </c>
      <c r="DL65" s="173">
        <f t="array" ref="DL65">IF(DL$3&lt;=INDEX(Inputs!$C:$C,MATCH("End Year",Inputs!$B:$B,0))*12,MAX(DL60+DL61-DL63+DL64,0),0)</f>
        <v>0</v>
      </c>
      <c r="DM65" s="173">
        <f t="array" ref="DM65">IF(DM$3&lt;=INDEX(Inputs!$C:$C,MATCH("End Year",Inputs!$B:$B,0))*12,MAX(DM60+DM61-DM63+DM64,0),0)</f>
        <v>0</v>
      </c>
      <c r="DN65" s="173">
        <f t="array" ref="DN65">IF(DN$3&lt;=INDEX(Inputs!$C:$C,MATCH("End Year",Inputs!$B:$B,0))*12,MAX(DN60+DN61-DN63+DN64,0),0)</f>
        <v>0</v>
      </c>
      <c r="DO65" s="173">
        <f t="array" ref="DO65">IF(DO$3&lt;=INDEX(Inputs!$C:$C,MATCH("End Year",Inputs!$B:$B,0))*12,MAX(DO60+DO61-DO63+DO64,0),0)</f>
        <v>0</v>
      </c>
      <c r="DP65" s="173">
        <f t="array" ref="DP65">IF(DP$3&lt;=INDEX(Inputs!$C:$C,MATCH("End Year",Inputs!$B:$B,0))*12,MAX(DP60+DP61-DP63+DP64,0),0)</f>
        <v>0</v>
      </c>
      <c r="DQ65" s="173">
        <f t="array" ref="DQ65">IF(DQ$3&lt;=INDEX(Inputs!$C:$C,MATCH("End Year",Inputs!$B:$B,0))*12,MAX(DQ60+DQ61-DQ63+DQ64,0),0)</f>
        <v>0</v>
      </c>
      <c r="DR65" s="173">
        <f t="array" ref="DR65">IF(DR$3&lt;=INDEX(Inputs!$C:$C,MATCH("End Year",Inputs!$B:$B,0))*12,MAX(DR60+DR61-DR63+DR64,0),0)</f>
        <v>0</v>
      </c>
      <c r="DS65" s="44">
        <f t="array" ref="DS65">IF(DS$3&lt;=INDEX(Inputs!$C:$C,MATCH("End Year",Inputs!$B:$B,0))*12,MAX(DS60+DS61-DS63+DS64,0),0)</f>
        <v>0</v>
      </c>
    </row>
    <row r="66" ht="18.0" customHeight="1">
      <c r="A66" s="44"/>
      <c r="B66" s="46" t="s">
        <v>350</v>
      </c>
      <c r="C66" s="152">
        <f t="array" ref="C66">IF(C$3&lt;=INDEX(Inputs!$C:$C,MATCH("End Year",Inputs!$B:$B,0))*12,C62-C63+C64,0)</f>
        <v>0</v>
      </c>
      <c r="D66" s="152">
        <f t="array" ref="D66">IF(D$3&lt;=INDEX(Inputs!$C:$C,MATCH("End Year",Inputs!$B:$B,0))*12,D62-D63+D64,0)</f>
        <v>0</v>
      </c>
      <c r="E66" s="152">
        <f t="array" ref="E66">IF(E$3&lt;=INDEX(Inputs!$C:$C,MATCH("End Year",Inputs!$B:$B,0))*12,E62-E63+E64,0)</f>
        <v>0</v>
      </c>
      <c r="F66" s="152">
        <f t="array" ref="F66">IF(F$3&lt;=INDEX(Inputs!$C:$C,MATCH("End Year",Inputs!$B:$B,0))*12,F62-F63+F64,0)</f>
        <v>0</v>
      </c>
      <c r="G66" s="152">
        <f t="array" ref="G66">IF(G$3&lt;=INDEX(Inputs!$C:$C,MATCH("End Year",Inputs!$B:$B,0))*12,G62-G63+G64,0)</f>
        <v>0</v>
      </c>
      <c r="H66" s="152">
        <f t="array" ref="H66">IF(H$3&lt;=INDEX(Inputs!$C:$C,MATCH("End Year",Inputs!$B:$B,0))*12,H62-H63+H64,0)</f>
        <v>0</v>
      </c>
      <c r="I66" s="152">
        <f t="array" ref="I66">IF(I$3&lt;=INDEX(Inputs!$C:$C,MATCH("End Year",Inputs!$B:$B,0))*12,I62-I63+I64,0)</f>
        <v>0</v>
      </c>
      <c r="J66" s="152">
        <f t="array" ref="J66">IF(J$3&lt;=INDEX(Inputs!$C:$C,MATCH("End Year",Inputs!$B:$B,0))*12,J62-J63+J64,0)</f>
        <v>0</v>
      </c>
      <c r="K66" s="152">
        <f t="array" ref="K66">IF(K$3&lt;=INDEX(Inputs!$C:$C,MATCH("End Year",Inputs!$B:$B,0))*12,K62-K63+K64,0)</f>
        <v>0</v>
      </c>
      <c r="L66" s="152">
        <f t="array" ref="L66">IF(L$3&lt;=INDEX(Inputs!$C:$C,MATCH("End Year",Inputs!$B:$B,0))*12,L62-L63+L64,0)</f>
        <v>0</v>
      </c>
      <c r="M66" s="152">
        <f t="array" ref="M66">IF(M$3&lt;=INDEX(Inputs!$C:$C,MATCH("End Year",Inputs!$B:$B,0))*12,M62-M63+M64,0)</f>
        <v>0</v>
      </c>
      <c r="N66" s="152">
        <f t="array" ref="N66">IF(N$3&lt;=INDEX(Inputs!$C:$C,MATCH("End Year",Inputs!$B:$B,0))*12,N62-N63+N64,0)</f>
        <v>0</v>
      </c>
      <c r="O66" s="152">
        <f t="array" ref="O66">IF(O$3&lt;=INDEX(Inputs!$C:$C,MATCH("End Year",Inputs!$B:$B,0))*12,O62-O63+O64,0)</f>
        <v>0</v>
      </c>
      <c r="P66" s="152">
        <f t="array" ref="P66">IF(P$3&lt;=INDEX(Inputs!$C:$C,MATCH("End Year",Inputs!$B:$B,0))*12,P62-P63+P64,0)</f>
        <v>0</v>
      </c>
      <c r="Q66" s="152">
        <f t="array" ref="Q66">IF(Q$3&lt;=INDEX(Inputs!$C:$C,MATCH("End Year",Inputs!$B:$B,0))*12,Q62-Q63+Q64,0)</f>
        <v>0</v>
      </c>
      <c r="R66" s="152">
        <f t="array" ref="R66">IF(R$3&lt;=INDEX(Inputs!$C:$C,MATCH("End Year",Inputs!$B:$B,0))*12,R62-R63+R64,0)</f>
        <v>0</v>
      </c>
      <c r="S66" s="152">
        <f t="array" ref="S66">IF(S$3&lt;=INDEX(Inputs!$C:$C,MATCH("End Year",Inputs!$B:$B,0))*12,S62-S63+S64,0)</f>
        <v>0</v>
      </c>
      <c r="T66" s="152">
        <f t="array" ref="T66">IF(T$3&lt;=INDEX(Inputs!$C:$C,MATCH("End Year",Inputs!$B:$B,0))*12,T62-T63+T64,0)</f>
        <v>0</v>
      </c>
      <c r="U66" s="152">
        <f t="array" ref="U66">IF(U$3&lt;=INDEX(Inputs!$C:$C,MATCH("End Year",Inputs!$B:$B,0))*12,U62-U63+U64,0)</f>
        <v>0</v>
      </c>
      <c r="V66" s="152">
        <f t="array" ref="V66">IF(V$3&lt;=INDEX(Inputs!$C:$C,MATCH("End Year",Inputs!$B:$B,0))*12,V62-V63+V64,0)</f>
        <v>0</v>
      </c>
      <c r="W66" s="152">
        <f t="array" ref="W66">IF(W$3&lt;=INDEX(Inputs!$C:$C,MATCH("End Year",Inputs!$B:$B,0))*12,W62-W63+W64,0)</f>
        <v>0</v>
      </c>
      <c r="X66" s="152">
        <f t="array" ref="X66">IF(X$3&lt;=INDEX(Inputs!$C:$C,MATCH("End Year",Inputs!$B:$B,0))*12,X62-X63+X64,0)</f>
        <v>0</v>
      </c>
      <c r="Y66" s="152">
        <f t="array" ref="Y66">IF(Y$3&lt;=INDEX(Inputs!$C:$C,MATCH("End Year",Inputs!$B:$B,0))*12,Y62-Y63+Y64,0)</f>
        <v>0</v>
      </c>
      <c r="Z66" s="152">
        <f t="array" ref="Z66">IF(Z$3&lt;=INDEX(Inputs!$C:$C,MATCH("End Year",Inputs!$B:$B,0))*12,Z62-Z63+Z64,0)</f>
        <v>0</v>
      </c>
      <c r="AA66" s="152">
        <f t="array" ref="AA66">IF(AA$3&lt;=INDEX(Inputs!$C:$C,MATCH("End Year",Inputs!$B:$B,0))*12,AA62-AA63+AA64,0)</f>
        <v>0</v>
      </c>
      <c r="AB66" s="152">
        <f t="array" ref="AB66">IF(AB$3&lt;=INDEX(Inputs!$C:$C,MATCH("End Year",Inputs!$B:$B,0))*12,AB62-AB63+AB64,0)</f>
        <v>0</v>
      </c>
      <c r="AC66" s="152">
        <f t="array" ref="AC66">IF(AC$3&lt;=INDEX(Inputs!$C:$C,MATCH("End Year",Inputs!$B:$B,0))*12,AC62-AC63+AC64,0)</f>
        <v>0</v>
      </c>
      <c r="AD66" s="152">
        <f t="array" ref="AD66">IF(AD$3&lt;=INDEX(Inputs!$C:$C,MATCH("End Year",Inputs!$B:$B,0))*12,AD62-AD63+AD64,0)</f>
        <v>0</v>
      </c>
      <c r="AE66" s="152">
        <f t="array" ref="AE66">IF(AE$3&lt;=INDEX(Inputs!$C:$C,MATCH("End Year",Inputs!$B:$B,0))*12,AE62-AE63+AE64,0)</f>
        <v>0</v>
      </c>
      <c r="AF66" s="152">
        <f t="array" ref="AF66">IF(AF$3&lt;=INDEX(Inputs!$C:$C,MATCH("End Year",Inputs!$B:$B,0))*12,AF62-AF63+AF64,0)</f>
        <v>0</v>
      </c>
      <c r="AG66" s="152">
        <f t="array" ref="AG66">IF(AG$3&lt;=INDEX(Inputs!$C:$C,MATCH("End Year",Inputs!$B:$B,0))*12,AG62-AG63+AG64,0)</f>
        <v>0</v>
      </c>
      <c r="AH66" s="152">
        <f t="array" ref="AH66">IF(AH$3&lt;=INDEX(Inputs!$C:$C,MATCH("End Year",Inputs!$B:$B,0))*12,AH62-AH63+AH64,0)</f>
        <v>0</v>
      </c>
      <c r="AI66" s="152">
        <f t="array" ref="AI66">IF(AI$3&lt;=INDEX(Inputs!$C:$C,MATCH("End Year",Inputs!$B:$B,0))*12,AI62-AI63+AI64,0)</f>
        <v>0</v>
      </c>
      <c r="AJ66" s="152">
        <f t="array" ref="AJ66">IF(AJ$3&lt;=INDEX(Inputs!$C:$C,MATCH("End Year",Inputs!$B:$B,0))*12,AJ62-AJ63+AJ64,0)</f>
        <v>0</v>
      </c>
      <c r="AK66" s="152">
        <f t="array" ref="AK66">IF(AK$3&lt;=INDEX(Inputs!$C:$C,MATCH("End Year",Inputs!$B:$B,0))*12,AK62-AK63+AK64,0)</f>
        <v>0</v>
      </c>
      <c r="AL66" s="152">
        <f t="array" ref="AL66">IF(AL$3&lt;=INDEX(Inputs!$C:$C,MATCH("End Year",Inputs!$B:$B,0))*12,AL62-AL63+AL64,0)</f>
        <v>0</v>
      </c>
      <c r="AM66" s="152">
        <f t="array" ref="AM66">IF(AM$3&lt;=INDEX(Inputs!$C:$C,MATCH("End Year",Inputs!$B:$B,0))*12,AM62-AM63+AM64,0)</f>
        <v>0</v>
      </c>
      <c r="AN66" s="152">
        <f t="array" ref="AN66">IF(AN$3&lt;=INDEX(Inputs!$C:$C,MATCH("End Year",Inputs!$B:$B,0))*12,AN62-AN63+AN64,0)</f>
        <v>0</v>
      </c>
      <c r="AO66" s="152">
        <f t="array" ref="AO66">IF(AO$3&lt;=INDEX(Inputs!$C:$C,MATCH("End Year",Inputs!$B:$B,0))*12,AO62-AO63+AO64,0)</f>
        <v>0</v>
      </c>
      <c r="AP66" s="152">
        <f t="array" ref="AP66">IF(AP$3&lt;=INDEX(Inputs!$C:$C,MATCH("End Year",Inputs!$B:$B,0))*12,AP62-AP63+AP64,0)</f>
        <v>0</v>
      </c>
      <c r="AQ66" s="152">
        <f t="array" ref="AQ66">IF(AQ$3&lt;=INDEX(Inputs!$C:$C,MATCH("End Year",Inputs!$B:$B,0))*12,AQ62-AQ63+AQ64,0)</f>
        <v>0</v>
      </c>
      <c r="AR66" s="152">
        <f t="array" ref="AR66">IF(AR$3&lt;=INDEX(Inputs!$C:$C,MATCH("End Year",Inputs!$B:$B,0))*12,AR62-AR63+AR64,0)</f>
        <v>0</v>
      </c>
      <c r="AS66" s="152">
        <f t="array" ref="AS66">IF(AS$3&lt;=INDEX(Inputs!$C:$C,MATCH("End Year",Inputs!$B:$B,0))*12,AS62-AS63+AS64,0)</f>
        <v>0</v>
      </c>
      <c r="AT66" s="152">
        <f t="array" ref="AT66">IF(AT$3&lt;=INDEX(Inputs!$C:$C,MATCH("End Year",Inputs!$B:$B,0))*12,AT62-AT63+AT64,0)</f>
        <v>0</v>
      </c>
      <c r="AU66" s="152">
        <f t="array" ref="AU66">IF(AU$3&lt;=INDEX(Inputs!$C:$C,MATCH("End Year",Inputs!$B:$B,0))*12,AU62-AU63+AU64,0)</f>
        <v>0</v>
      </c>
      <c r="AV66" s="152">
        <f t="array" ref="AV66">IF(AV$3&lt;=INDEX(Inputs!$C:$C,MATCH("End Year",Inputs!$B:$B,0))*12,AV62-AV63+AV64,0)</f>
        <v>0</v>
      </c>
      <c r="AW66" s="152">
        <f t="array" ref="AW66">IF(AW$3&lt;=INDEX(Inputs!$C:$C,MATCH("End Year",Inputs!$B:$B,0))*12,AW62-AW63+AW64,0)</f>
        <v>0</v>
      </c>
      <c r="AX66" s="152">
        <f t="array" ref="AX66">IF(AX$3&lt;=INDEX(Inputs!$C:$C,MATCH("End Year",Inputs!$B:$B,0))*12,AX62-AX63+AX64,0)</f>
        <v>0</v>
      </c>
      <c r="AY66" s="152">
        <f t="array" ref="AY66">IF(AY$3&lt;=INDEX(Inputs!$C:$C,MATCH("End Year",Inputs!$B:$B,0))*12,AY62-AY63+AY64,0)</f>
        <v>0</v>
      </c>
      <c r="AZ66" s="152">
        <f t="array" ref="AZ66">IF(AZ$3&lt;=INDEX(Inputs!$C:$C,MATCH("End Year",Inputs!$B:$B,0))*12,AZ62-AZ63+AZ64,0)</f>
        <v>0</v>
      </c>
      <c r="BA66" s="152">
        <f t="array" ref="BA66">IF(BA$3&lt;=INDEX(Inputs!$C:$C,MATCH("End Year",Inputs!$B:$B,0))*12,BA62-BA63+BA64,0)</f>
        <v>0</v>
      </c>
      <c r="BB66" s="152">
        <f t="array" ref="BB66">IF(BB$3&lt;=INDEX(Inputs!$C:$C,MATCH("End Year",Inputs!$B:$B,0))*12,BB62-BB63+BB64,0)</f>
        <v>0</v>
      </c>
      <c r="BC66" s="152">
        <f t="array" ref="BC66">IF(BC$3&lt;=INDEX(Inputs!$C:$C,MATCH("End Year",Inputs!$B:$B,0))*12,BC62-BC63+BC64,0)</f>
        <v>0</v>
      </c>
      <c r="BD66" s="152">
        <f t="array" ref="BD66">IF(BD$3&lt;=INDEX(Inputs!$C:$C,MATCH("End Year",Inputs!$B:$B,0))*12,BD62-BD63+BD64,0)</f>
        <v>0</v>
      </c>
      <c r="BE66" s="152">
        <f t="array" ref="BE66">IF(BE$3&lt;=INDEX(Inputs!$C:$C,MATCH("End Year",Inputs!$B:$B,0))*12,BE62-BE63+BE64,0)</f>
        <v>0</v>
      </c>
      <c r="BF66" s="152">
        <f t="array" ref="BF66">IF(BF$3&lt;=INDEX(Inputs!$C:$C,MATCH("End Year",Inputs!$B:$B,0))*12,BF62-BF63+BF64,0)</f>
        <v>0</v>
      </c>
      <c r="BG66" s="152">
        <f t="array" ref="BG66">IF(BG$3&lt;=INDEX(Inputs!$C:$C,MATCH("End Year",Inputs!$B:$B,0))*12,BG62-BG63+BG64,0)</f>
        <v>0</v>
      </c>
      <c r="BH66" s="152">
        <f t="array" ref="BH66">IF(BH$3&lt;=INDEX(Inputs!$C:$C,MATCH("End Year",Inputs!$B:$B,0))*12,BH62-BH63+BH64,0)</f>
        <v>0</v>
      </c>
      <c r="BI66" s="152">
        <f t="array" ref="BI66">IF(BI$3&lt;=INDEX(Inputs!$C:$C,MATCH("End Year",Inputs!$B:$B,0))*12,BI62-BI63+BI64,0)</f>
        <v>0</v>
      </c>
      <c r="BJ66" s="152">
        <f t="array" ref="BJ66">IF(BJ$3&lt;=INDEX(Inputs!$C:$C,MATCH("End Year",Inputs!$B:$B,0))*12,BJ62-BJ63+BJ64,0)</f>
        <v>0</v>
      </c>
      <c r="BK66" s="152">
        <f t="array" ref="BK66">IF(BK$3&lt;=INDEX(Inputs!$C:$C,MATCH("End Year",Inputs!$B:$B,0))*12,BK62-BK63+BK64,0)</f>
        <v>0</v>
      </c>
      <c r="BL66" s="152">
        <f t="array" ref="BL66">IF(BL$3&lt;=INDEX(Inputs!$C:$C,MATCH("End Year",Inputs!$B:$B,0))*12,BL62-BL63+BL64,0)</f>
        <v>0</v>
      </c>
      <c r="BM66" s="152">
        <f t="array" ref="BM66">IF(BM$3&lt;=INDEX(Inputs!$C:$C,MATCH("End Year",Inputs!$B:$B,0))*12,BM62-BM63+BM64,0)</f>
        <v>0</v>
      </c>
      <c r="BN66" s="152">
        <f t="array" ref="BN66">IF(BN$3&lt;=INDEX(Inputs!$C:$C,MATCH("End Year",Inputs!$B:$B,0))*12,BN62-BN63+BN64,0)</f>
        <v>0</v>
      </c>
      <c r="BO66" s="152">
        <f t="array" ref="BO66">IF(BO$3&lt;=INDEX(Inputs!$C:$C,MATCH("End Year",Inputs!$B:$B,0))*12,BO62-BO63+BO64,0)</f>
        <v>0</v>
      </c>
      <c r="BP66" s="152">
        <f t="array" ref="BP66">IF(BP$3&lt;=INDEX(Inputs!$C:$C,MATCH("End Year",Inputs!$B:$B,0))*12,BP62-BP63+BP64,0)</f>
        <v>0</v>
      </c>
      <c r="BQ66" s="152">
        <f t="array" ref="BQ66">IF(BQ$3&lt;=INDEX(Inputs!$C:$C,MATCH("End Year",Inputs!$B:$B,0))*12,BQ62-BQ63+BQ64,0)</f>
        <v>0</v>
      </c>
      <c r="BR66" s="152">
        <f t="array" ref="BR66">IF(BR$3&lt;=INDEX(Inputs!$C:$C,MATCH("End Year",Inputs!$B:$B,0))*12,BR62-BR63+BR64,0)</f>
        <v>0</v>
      </c>
      <c r="BS66" s="152">
        <f t="array" ref="BS66">IF(BS$3&lt;=INDEX(Inputs!$C:$C,MATCH("End Year",Inputs!$B:$B,0))*12,BS62-BS63+BS64,0)</f>
        <v>0</v>
      </c>
      <c r="BT66" s="152">
        <f t="array" ref="BT66">IF(BT$3&lt;=INDEX(Inputs!$C:$C,MATCH("End Year",Inputs!$B:$B,0))*12,BT62-BT63+BT64,0)</f>
        <v>0</v>
      </c>
      <c r="BU66" s="152">
        <f t="array" ref="BU66">IF(BU$3&lt;=INDEX(Inputs!$C:$C,MATCH("End Year",Inputs!$B:$B,0))*12,BU62-BU63+BU64,0)</f>
        <v>0</v>
      </c>
      <c r="BV66" s="152">
        <f t="array" ref="BV66">IF(BV$3&lt;=INDEX(Inputs!$C:$C,MATCH("End Year",Inputs!$B:$B,0))*12,BV62-BV63+BV64,0)</f>
        <v>0</v>
      </c>
      <c r="BW66" s="152">
        <f t="array" ref="BW66">IF(BW$3&lt;=INDEX(Inputs!$C:$C,MATCH("End Year",Inputs!$B:$B,0))*12,BW62-BW63+BW64,0)</f>
        <v>0</v>
      </c>
      <c r="BX66" s="152">
        <f t="array" ref="BX66">IF(BX$3&lt;=INDEX(Inputs!$C:$C,MATCH("End Year",Inputs!$B:$B,0))*12,BX62-BX63+BX64,0)</f>
        <v>0</v>
      </c>
      <c r="BY66" s="152">
        <f t="array" ref="BY66">IF(BY$3&lt;=INDEX(Inputs!$C:$C,MATCH("End Year",Inputs!$B:$B,0))*12,BY62-BY63+BY64,0)</f>
        <v>0</v>
      </c>
      <c r="BZ66" s="152">
        <f t="array" ref="BZ66">IF(BZ$3&lt;=INDEX(Inputs!$C:$C,MATCH("End Year",Inputs!$B:$B,0))*12,BZ62-BZ63+BZ64,0)</f>
        <v>0</v>
      </c>
      <c r="CA66" s="152">
        <f t="array" ref="CA66">IF(CA$3&lt;=INDEX(Inputs!$C:$C,MATCH("End Year",Inputs!$B:$B,0))*12,CA62-CA63+CA64,0)</f>
        <v>0</v>
      </c>
      <c r="CB66" s="152">
        <f t="array" ref="CB66">IF(CB$3&lt;=INDEX(Inputs!$C:$C,MATCH("End Year",Inputs!$B:$B,0))*12,CB62-CB63+CB64,0)</f>
        <v>0</v>
      </c>
      <c r="CC66" s="152">
        <f t="array" ref="CC66">IF(CC$3&lt;=INDEX(Inputs!$C:$C,MATCH("End Year",Inputs!$B:$B,0))*12,CC62-CC63+CC64,0)</f>
        <v>0</v>
      </c>
      <c r="CD66" s="152">
        <f t="array" ref="CD66">IF(CD$3&lt;=INDEX(Inputs!$C:$C,MATCH("End Year",Inputs!$B:$B,0))*12,CD62-CD63+CD64,0)</f>
        <v>0</v>
      </c>
      <c r="CE66" s="152">
        <f t="array" ref="CE66">IF(CE$3&lt;=INDEX(Inputs!$C:$C,MATCH("End Year",Inputs!$B:$B,0))*12,CE62-CE63+CE64,0)</f>
        <v>0</v>
      </c>
      <c r="CF66" s="152">
        <f t="array" ref="CF66">IF(CF$3&lt;=INDEX(Inputs!$C:$C,MATCH("End Year",Inputs!$B:$B,0))*12,CF62-CF63+CF64,0)</f>
        <v>0</v>
      </c>
      <c r="CG66" s="152">
        <f t="array" ref="CG66">IF(CG$3&lt;=INDEX(Inputs!$C:$C,MATCH("End Year",Inputs!$B:$B,0))*12,CG62-CG63+CG64,0)</f>
        <v>0</v>
      </c>
      <c r="CH66" s="152">
        <f t="array" ref="CH66">IF(CH$3&lt;=INDEX(Inputs!$C:$C,MATCH("End Year",Inputs!$B:$B,0))*12,CH62-CH63+CH64,0)</f>
        <v>0</v>
      </c>
      <c r="CI66" s="152">
        <f t="array" ref="CI66">IF(CI$3&lt;=INDEX(Inputs!$C:$C,MATCH("End Year",Inputs!$B:$B,0))*12,CI62-CI63+CI64,0)</f>
        <v>0</v>
      </c>
      <c r="CJ66" s="152">
        <f t="array" ref="CJ66">IF(CJ$3&lt;=INDEX(Inputs!$C:$C,MATCH("End Year",Inputs!$B:$B,0))*12,CJ62-CJ63+CJ64,0)</f>
        <v>0</v>
      </c>
      <c r="CK66" s="152">
        <f t="array" ref="CK66">IF(CK$3&lt;=INDEX(Inputs!$C:$C,MATCH("End Year",Inputs!$B:$B,0))*12,CK62-CK63+CK64,0)</f>
        <v>0</v>
      </c>
      <c r="CL66" s="152">
        <f t="array" ref="CL66">IF(CL$3&lt;=INDEX(Inputs!$C:$C,MATCH("End Year",Inputs!$B:$B,0))*12,CL62-CL63+CL64,0)</f>
        <v>0</v>
      </c>
      <c r="CM66" s="152">
        <f t="array" ref="CM66">IF(CM$3&lt;=INDEX(Inputs!$C:$C,MATCH("End Year",Inputs!$B:$B,0))*12,CM62-CM63+CM64,0)</f>
        <v>0</v>
      </c>
      <c r="CN66" s="152">
        <f t="array" ref="CN66">IF(CN$3&lt;=INDEX(Inputs!$C:$C,MATCH("End Year",Inputs!$B:$B,0))*12,CN62-CN63+CN64,0)</f>
        <v>0</v>
      </c>
      <c r="CO66" s="152">
        <f t="array" ref="CO66">IF(CO$3&lt;=INDEX(Inputs!$C:$C,MATCH("End Year",Inputs!$B:$B,0))*12,CO62-CO63+CO64,0)</f>
        <v>0</v>
      </c>
      <c r="CP66" s="152">
        <f t="array" ref="CP66">IF(CP$3&lt;=INDEX(Inputs!$C:$C,MATCH("End Year",Inputs!$B:$B,0))*12,CP62-CP63+CP64,0)</f>
        <v>0</v>
      </c>
      <c r="CQ66" s="152">
        <f t="array" ref="CQ66">IF(CQ$3&lt;=INDEX(Inputs!$C:$C,MATCH("End Year",Inputs!$B:$B,0))*12,CQ62-CQ63+CQ64,0)</f>
        <v>0</v>
      </c>
      <c r="CR66" s="152">
        <f t="array" ref="CR66">IF(CR$3&lt;=INDEX(Inputs!$C:$C,MATCH("End Year",Inputs!$B:$B,0))*12,CR62-CR63+CR64,0)</f>
        <v>0</v>
      </c>
      <c r="CS66" s="152">
        <f t="array" ref="CS66">IF(CS$3&lt;=INDEX(Inputs!$C:$C,MATCH("End Year",Inputs!$B:$B,0))*12,CS62-CS63+CS64,0)</f>
        <v>0</v>
      </c>
      <c r="CT66" s="152">
        <f t="array" ref="CT66">IF(CT$3&lt;=INDEX(Inputs!$C:$C,MATCH("End Year",Inputs!$B:$B,0))*12,CT62-CT63+CT64,0)</f>
        <v>0</v>
      </c>
      <c r="CU66" s="152">
        <f t="array" ref="CU66">IF(CU$3&lt;=INDEX(Inputs!$C:$C,MATCH("End Year",Inputs!$B:$B,0))*12,CU62-CU63+CU64,0)</f>
        <v>0</v>
      </c>
      <c r="CV66" s="152">
        <f t="array" ref="CV66">IF(CV$3&lt;=INDEX(Inputs!$C:$C,MATCH("End Year",Inputs!$B:$B,0))*12,CV62-CV63+CV64,0)</f>
        <v>0</v>
      </c>
      <c r="CW66" s="152">
        <f t="array" ref="CW66">IF(CW$3&lt;=INDEX(Inputs!$C:$C,MATCH("End Year",Inputs!$B:$B,0))*12,CW62-CW63+CW64,0)</f>
        <v>0</v>
      </c>
      <c r="CX66" s="152">
        <f t="array" ref="CX66">IF(CX$3&lt;=INDEX(Inputs!$C:$C,MATCH("End Year",Inputs!$B:$B,0))*12,CX62-CX63+CX64,0)</f>
        <v>0</v>
      </c>
      <c r="CY66" s="152">
        <f t="array" ref="CY66">IF(CY$3&lt;=INDEX(Inputs!$C:$C,MATCH("End Year",Inputs!$B:$B,0))*12,CY62-CY63+CY64,0)</f>
        <v>0</v>
      </c>
      <c r="CZ66" s="152">
        <f t="array" ref="CZ66">IF(CZ$3&lt;=INDEX(Inputs!$C:$C,MATCH("End Year",Inputs!$B:$B,0))*12,CZ62-CZ63+CZ64,0)</f>
        <v>0</v>
      </c>
      <c r="DA66" s="152">
        <f t="array" ref="DA66">IF(DA$3&lt;=INDEX(Inputs!$C:$C,MATCH("End Year",Inputs!$B:$B,0))*12,DA62-DA63+DA64,0)</f>
        <v>0</v>
      </c>
      <c r="DB66" s="152">
        <f t="array" ref="DB66">IF(DB$3&lt;=INDEX(Inputs!$C:$C,MATCH("End Year",Inputs!$B:$B,0))*12,DB62-DB63+DB64,0)</f>
        <v>0</v>
      </c>
      <c r="DC66" s="152">
        <f t="array" ref="DC66">IF(DC$3&lt;=INDEX(Inputs!$C:$C,MATCH("End Year",Inputs!$B:$B,0))*12,DC62-DC63+DC64,0)</f>
        <v>0</v>
      </c>
      <c r="DD66" s="152">
        <f t="array" ref="DD66">IF(DD$3&lt;=INDEX(Inputs!$C:$C,MATCH("End Year",Inputs!$B:$B,0))*12,DD62-DD63+DD64,0)</f>
        <v>0</v>
      </c>
      <c r="DE66" s="152">
        <f t="array" ref="DE66">IF(DE$3&lt;=INDEX(Inputs!$C:$C,MATCH("End Year",Inputs!$B:$B,0))*12,DE62-DE63+DE64,0)</f>
        <v>0</v>
      </c>
      <c r="DF66" s="152">
        <f t="array" ref="DF66">IF(DF$3&lt;=INDEX(Inputs!$C:$C,MATCH("End Year",Inputs!$B:$B,0))*12,DF62-DF63+DF64,0)</f>
        <v>0</v>
      </c>
      <c r="DG66" s="152">
        <f t="array" ref="DG66">IF(DG$3&lt;=INDEX(Inputs!$C:$C,MATCH("End Year",Inputs!$B:$B,0))*12,DG62-DG63+DG64,0)</f>
        <v>0</v>
      </c>
      <c r="DH66" s="152">
        <f t="array" ref="DH66">IF(DH$3&lt;=INDEX(Inputs!$C:$C,MATCH("End Year",Inputs!$B:$B,0))*12,DH62-DH63+DH64,0)</f>
        <v>0</v>
      </c>
      <c r="DI66" s="152">
        <f t="array" ref="DI66">IF(DI$3&lt;=INDEX(Inputs!$C:$C,MATCH("End Year",Inputs!$B:$B,0))*12,DI62-DI63+DI64,0)</f>
        <v>0</v>
      </c>
      <c r="DJ66" s="152">
        <f t="array" ref="DJ66">IF(DJ$3&lt;=INDEX(Inputs!$C:$C,MATCH("End Year",Inputs!$B:$B,0))*12,DJ62-DJ63+DJ64,0)</f>
        <v>0</v>
      </c>
      <c r="DK66" s="152">
        <f t="array" ref="DK66">IF(DK$3&lt;=INDEX(Inputs!$C:$C,MATCH("End Year",Inputs!$B:$B,0))*12,DK62-DK63+DK64,0)</f>
        <v>0</v>
      </c>
      <c r="DL66" s="152">
        <f t="array" ref="DL66">IF(DL$3&lt;=INDEX(Inputs!$C:$C,MATCH("End Year",Inputs!$B:$B,0))*12,DL62-DL63+DL64,0)</f>
        <v>0</v>
      </c>
      <c r="DM66" s="152">
        <f t="array" ref="DM66">IF(DM$3&lt;=INDEX(Inputs!$C:$C,MATCH("End Year",Inputs!$B:$B,0))*12,DM62-DM63+DM64,0)</f>
        <v>0</v>
      </c>
      <c r="DN66" s="152">
        <f t="array" ref="DN66">IF(DN$3&lt;=INDEX(Inputs!$C:$C,MATCH("End Year",Inputs!$B:$B,0))*12,DN62-DN63+DN64,0)</f>
        <v>0</v>
      </c>
      <c r="DO66" s="152">
        <f t="array" ref="DO66">IF(DO$3&lt;=INDEX(Inputs!$C:$C,MATCH("End Year",Inputs!$B:$B,0))*12,DO62-DO63+DO64,0)</f>
        <v>0</v>
      </c>
      <c r="DP66" s="152">
        <f t="array" ref="DP66">IF(DP$3&lt;=INDEX(Inputs!$C:$C,MATCH("End Year",Inputs!$B:$B,0))*12,DP62-DP63+DP64,0)</f>
        <v>0</v>
      </c>
      <c r="DQ66" s="152">
        <f t="array" ref="DQ66">IF(DQ$3&lt;=INDEX(Inputs!$C:$C,MATCH("End Year",Inputs!$B:$B,0))*12,DQ62-DQ63+DQ64,0)</f>
        <v>0</v>
      </c>
      <c r="DR66" s="152">
        <f t="array" ref="DR66">IF(DR$3&lt;=INDEX(Inputs!$C:$C,MATCH("End Year",Inputs!$B:$B,0))*12,DR62-DR63+DR64,0)</f>
        <v>0</v>
      </c>
      <c r="DS66" s="44">
        <f t="array" ref="DS66">IF(DS$3&lt;=INDEX(Inputs!$C:$C,MATCH("End Year",Inputs!$B:$B,0))*12,DS62-DS63+DS64,0)</f>
        <v>0</v>
      </c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</row>
    <row r="68" ht="21.0" customHeight="1">
      <c r="A68" s="44"/>
      <c r="B68" s="46" t="s">
        <v>351</v>
      </c>
      <c r="C68" s="152">
        <f>IF(C$3=1,Inputs!C87,0)</f>
        <v>-345000</v>
      </c>
      <c r="D68" s="152">
        <f>IF(D$3=1,Inputs!C87,0)</f>
        <v>0</v>
      </c>
      <c r="E68" s="152">
        <f>IF(E$3=1,Inputs!C87,0)</f>
        <v>0</v>
      </c>
      <c r="F68" s="152">
        <f>IF(F$3=1,Inputs!C87,0)</f>
        <v>0</v>
      </c>
      <c r="G68" s="152">
        <f>IF(G$3=1,Inputs!C87,0)</f>
        <v>0</v>
      </c>
      <c r="H68" s="152">
        <f>IF(H$3=1,Inputs!C87,0)</f>
        <v>0</v>
      </c>
      <c r="I68" s="152">
        <f>IF(I$3=1,Inputs!C87,0)</f>
        <v>0</v>
      </c>
      <c r="J68" s="152">
        <f>IF(J$3=1,Inputs!C87,0)</f>
        <v>0</v>
      </c>
      <c r="K68" s="152">
        <f>IF(K$3=1,Inputs!C87,0)</f>
        <v>0</v>
      </c>
      <c r="L68" s="152">
        <f>IF(L$3=1,Inputs!C87,0)</f>
        <v>0</v>
      </c>
      <c r="M68" s="152">
        <f>IF(M$3=1,Inputs!C87,0)</f>
        <v>0</v>
      </c>
      <c r="N68" s="152">
        <f>IF(N$3=1,Inputs!C87,0)</f>
        <v>0</v>
      </c>
      <c r="O68" s="152">
        <f>IF(O$3=1,Inputs!C87,0)</f>
        <v>0</v>
      </c>
      <c r="P68" s="152">
        <f>IF(P$3=1,Inputs!C87,0)</f>
        <v>0</v>
      </c>
      <c r="Q68" s="152">
        <f>IF(Q$3=1,Inputs!C87,0)</f>
        <v>0</v>
      </c>
      <c r="R68" s="152">
        <f>IF(R$3=1,Inputs!C87,0)</f>
        <v>0</v>
      </c>
      <c r="S68" s="152">
        <f>IF(S$3=1,Inputs!C87,0)</f>
        <v>0</v>
      </c>
      <c r="T68" s="152">
        <f>IF(T$3=1,Inputs!C87,0)</f>
        <v>0</v>
      </c>
      <c r="U68" s="152">
        <f>IF(U$3=1,Inputs!C87,0)</f>
        <v>0</v>
      </c>
      <c r="V68" s="152">
        <f>IF(V$3=1,Inputs!C87,0)</f>
        <v>0</v>
      </c>
      <c r="W68" s="152">
        <f>IF(W$3=1,Inputs!C87,0)</f>
        <v>0</v>
      </c>
      <c r="X68" s="152">
        <f>IF(X$3=1,Inputs!C87,0)</f>
        <v>0</v>
      </c>
      <c r="Y68" s="152">
        <f>IF(Y$3=1,Inputs!C87,0)</f>
        <v>0</v>
      </c>
      <c r="Z68" s="152">
        <f>IF(Z$3=1,Inputs!C87,0)</f>
        <v>0</v>
      </c>
      <c r="AA68" s="152">
        <f>IF(AA$3=1,Inputs!C87,0)</f>
        <v>0</v>
      </c>
      <c r="AB68" s="152">
        <f>IF(AB$3=1,Inputs!C87,0)</f>
        <v>0</v>
      </c>
      <c r="AC68" s="152">
        <f>IF(AC$3=1,Inputs!C87,0)</f>
        <v>0</v>
      </c>
      <c r="AD68" s="152">
        <f>IF(AD$3=1,Inputs!C87,0)</f>
        <v>0</v>
      </c>
      <c r="AE68" s="152">
        <f>IF(AE$3=1,Inputs!C87,0)</f>
        <v>0</v>
      </c>
      <c r="AF68" s="152">
        <f>IF(AF$3=1,Inputs!C87,0)</f>
        <v>0</v>
      </c>
      <c r="AG68" s="152">
        <f>IF(AG$3=1,Inputs!C87,0)</f>
        <v>0</v>
      </c>
      <c r="AH68" s="152">
        <f>IF(AH$3=1,Inputs!C87,0)</f>
        <v>0</v>
      </c>
      <c r="AI68" s="152">
        <f>IF(AI$3=1,Inputs!C87,0)</f>
        <v>0</v>
      </c>
      <c r="AJ68" s="152">
        <f>IF(AJ$3=1,Inputs!C87,0)</f>
        <v>0</v>
      </c>
      <c r="AK68" s="152">
        <f>IF(AK$3=1,Inputs!C87,0)</f>
        <v>0</v>
      </c>
      <c r="AL68" s="152">
        <f>IF(AL$3=1,Inputs!C87,0)</f>
        <v>0</v>
      </c>
      <c r="AM68" s="152">
        <f>IF(AM$3=1,Inputs!C87,0)</f>
        <v>0</v>
      </c>
      <c r="AN68" s="152">
        <f>IF(AN$3=1,Inputs!C87,0)</f>
        <v>0</v>
      </c>
      <c r="AO68" s="152">
        <f>IF(AO$3=1,Inputs!C87,0)</f>
        <v>0</v>
      </c>
      <c r="AP68" s="152">
        <f>IF(AP$3=1,Inputs!C87,0)</f>
        <v>0</v>
      </c>
      <c r="AQ68" s="152">
        <f>IF(AQ$3=1,Inputs!C87,0)</f>
        <v>0</v>
      </c>
      <c r="AR68" s="152">
        <f>IF(AR$3=1,Inputs!C87,0)</f>
        <v>0</v>
      </c>
      <c r="AS68" s="152">
        <f>IF(AS$3=1,Inputs!C87,0)</f>
        <v>0</v>
      </c>
      <c r="AT68" s="152">
        <f>IF(AT$3=1,Inputs!C87,0)</f>
        <v>0</v>
      </c>
      <c r="AU68" s="152">
        <f>IF(AU$3=1,Inputs!C87,0)</f>
        <v>0</v>
      </c>
      <c r="AV68" s="152">
        <f>IF(AV$3=1,Inputs!C87,0)</f>
        <v>0</v>
      </c>
      <c r="AW68" s="152">
        <f>IF(AW$3=1,Inputs!C87,0)</f>
        <v>0</v>
      </c>
      <c r="AX68" s="152">
        <f>IF(AX$3=1,Inputs!C87,0)</f>
        <v>0</v>
      </c>
      <c r="AY68" s="152">
        <f>IF(AY$3=1,Inputs!C87,0)</f>
        <v>0</v>
      </c>
      <c r="AZ68" s="152">
        <f>IF(AZ$3=1,Inputs!C87,0)</f>
        <v>0</v>
      </c>
      <c r="BA68" s="152">
        <f>IF(BA$3=1,Inputs!C87,0)</f>
        <v>0</v>
      </c>
      <c r="BB68" s="152">
        <f>IF(BB$3=1,Inputs!C87,0)</f>
        <v>0</v>
      </c>
      <c r="BC68" s="152">
        <f>IF(BC$3=1,Inputs!C87,0)</f>
        <v>0</v>
      </c>
      <c r="BD68" s="152">
        <f>IF(BD$3=1,Inputs!C87,0)</f>
        <v>0</v>
      </c>
      <c r="BE68" s="152">
        <f>IF(BE$3=1,Inputs!C87,0)</f>
        <v>0</v>
      </c>
      <c r="BF68" s="152">
        <f>IF(BF$3=1,Inputs!C87,0)</f>
        <v>0</v>
      </c>
      <c r="BG68" s="152">
        <f>IF(BG$3=1,Inputs!C87,0)</f>
        <v>0</v>
      </c>
      <c r="BH68" s="152">
        <f>IF(BH$3=1,Inputs!C87,0)</f>
        <v>0</v>
      </c>
      <c r="BI68" s="152">
        <f>IF(BI$3=1,Inputs!C87,0)</f>
        <v>0</v>
      </c>
      <c r="BJ68" s="152">
        <f>IF(BJ$3=1,Inputs!C87,0)</f>
        <v>0</v>
      </c>
      <c r="BK68" s="152">
        <f>IF(BK$3=1,Inputs!C87,0)</f>
        <v>0</v>
      </c>
      <c r="BL68" s="152">
        <f>IF(BL$3=1,Inputs!C87,0)</f>
        <v>0</v>
      </c>
      <c r="BM68" s="152">
        <f>IF(BM$3=1,Inputs!C87,0)</f>
        <v>0</v>
      </c>
      <c r="BN68" s="152">
        <f>IF(BN$3=1,Inputs!C87,0)</f>
        <v>0</v>
      </c>
      <c r="BO68" s="152">
        <f>IF(BO$3=1,Inputs!C87,0)</f>
        <v>0</v>
      </c>
      <c r="BP68" s="152">
        <f>IF(BP$3=1,Inputs!C87,0)</f>
        <v>0</v>
      </c>
      <c r="BQ68" s="152">
        <f>IF(BQ$3=1,Inputs!C87,0)</f>
        <v>0</v>
      </c>
      <c r="BR68" s="152">
        <f>IF(BR$3=1,Inputs!C87,0)</f>
        <v>0</v>
      </c>
      <c r="BS68" s="152">
        <f>IF(BS$3=1,Inputs!C87,0)</f>
        <v>0</v>
      </c>
      <c r="BT68" s="152">
        <f>IF(BT$3=1,Inputs!C87,0)</f>
        <v>0</v>
      </c>
      <c r="BU68" s="152">
        <f>IF(BU$3=1,Inputs!C87,0)</f>
        <v>0</v>
      </c>
      <c r="BV68" s="152">
        <f>IF(BV$3=1,Inputs!C87,0)</f>
        <v>0</v>
      </c>
      <c r="BW68" s="152">
        <f>IF(BW$3=1,Inputs!C87,0)</f>
        <v>0</v>
      </c>
      <c r="BX68" s="152">
        <f>IF(BX$3=1,Inputs!C87,0)</f>
        <v>0</v>
      </c>
      <c r="BY68" s="152">
        <f>IF(BY$3=1,Inputs!C87,0)</f>
        <v>0</v>
      </c>
      <c r="BZ68" s="152">
        <f>IF(BZ$3=1,Inputs!C87,0)</f>
        <v>0</v>
      </c>
      <c r="CA68" s="152">
        <f>IF(CA$3=1,Inputs!C87,0)</f>
        <v>0</v>
      </c>
      <c r="CB68" s="152">
        <f>IF(CB$3=1,Inputs!C87,0)</f>
        <v>0</v>
      </c>
      <c r="CC68" s="152">
        <f>IF(CC$3=1,Inputs!C87,0)</f>
        <v>0</v>
      </c>
      <c r="CD68" s="152">
        <f>IF(CD$3=1,Inputs!C87,0)</f>
        <v>0</v>
      </c>
      <c r="CE68" s="152">
        <f>IF(CE$3=1,Inputs!C87,0)</f>
        <v>0</v>
      </c>
      <c r="CF68" s="152">
        <f>IF(CF$3=1,Inputs!C87,0)</f>
        <v>0</v>
      </c>
      <c r="CG68" s="152">
        <f>IF(CG$3=1,Inputs!C87,0)</f>
        <v>0</v>
      </c>
      <c r="CH68" s="152">
        <f>IF(CH$3=1,Inputs!C87,0)</f>
        <v>0</v>
      </c>
      <c r="CI68" s="152">
        <f>IF(CI$3=1,Inputs!C87,0)</f>
        <v>0</v>
      </c>
      <c r="CJ68" s="152">
        <f>IF(CJ$3=1,Inputs!C87,0)</f>
        <v>0</v>
      </c>
      <c r="CK68" s="152">
        <f>IF(CK$3=1,Inputs!C87,0)</f>
        <v>0</v>
      </c>
      <c r="CL68" s="152">
        <f>IF(CL$3=1,Inputs!C87,0)</f>
        <v>0</v>
      </c>
      <c r="CM68" s="152">
        <f>IF(CM$3=1,Inputs!C87,0)</f>
        <v>0</v>
      </c>
      <c r="CN68" s="152">
        <f>IF(CN$3=1,Inputs!C87,0)</f>
        <v>0</v>
      </c>
      <c r="CO68" s="152">
        <f>IF(CO$3=1,Inputs!C87,0)</f>
        <v>0</v>
      </c>
      <c r="CP68" s="152">
        <f>IF(CP$3=1,Inputs!C87,0)</f>
        <v>0</v>
      </c>
      <c r="CQ68" s="152">
        <f>IF(CQ$3=1,Inputs!C87,0)</f>
        <v>0</v>
      </c>
      <c r="CR68" s="152">
        <f>IF(CR$3=1,Inputs!C87,0)</f>
        <v>0</v>
      </c>
      <c r="CS68" s="152">
        <f>IF(CS$3=1,Inputs!C87,0)</f>
        <v>0</v>
      </c>
      <c r="CT68" s="152">
        <f>IF(CT$3=1,Inputs!C87,0)</f>
        <v>0</v>
      </c>
      <c r="CU68" s="152">
        <f>IF(CU$3=1,Inputs!C87,0)</f>
        <v>0</v>
      </c>
      <c r="CV68" s="152">
        <f>IF(CV$3=1,Inputs!C87,0)</f>
        <v>0</v>
      </c>
      <c r="CW68" s="152">
        <f>IF(CW$3=1,Inputs!C87,0)</f>
        <v>0</v>
      </c>
      <c r="CX68" s="152">
        <f>IF(CX$3=1,Inputs!C87,0)</f>
        <v>0</v>
      </c>
      <c r="CY68" s="152">
        <f>IF(CY$3=1,Inputs!C87,0)</f>
        <v>0</v>
      </c>
      <c r="CZ68" s="152">
        <f>IF(CZ$3=1,Inputs!C87,0)</f>
        <v>0</v>
      </c>
      <c r="DA68" s="152">
        <f>IF(DA$3=1,Inputs!C87,0)</f>
        <v>0</v>
      </c>
      <c r="DB68" s="152">
        <f>IF(DB$3=1,Inputs!C87,0)</f>
        <v>0</v>
      </c>
      <c r="DC68" s="152">
        <f>IF(DC$3=1,Inputs!C87,0)</f>
        <v>0</v>
      </c>
      <c r="DD68" s="152">
        <f>IF(DD$3=1,Inputs!C87,0)</f>
        <v>0</v>
      </c>
      <c r="DE68" s="152">
        <f>IF(DE$3=1,Inputs!C87,0)</f>
        <v>0</v>
      </c>
      <c r="DF68" s="152">
        <f>IF(DF$3=1,Inputs!C87,0)</f>
        <v>0</v>
      </c>
      <c r="DG68" s="152">
        <f>IF(DG$3=1,Inputs!C87,0)</f>
        <v>0</v>
      </c>
      <c r="DH68" s="152">
        <f>IF(DH$3=1,Inputs!C87,0)</f>
        <v>0</v>
      </c>
      <c r="DI68" s="152">
        <f>IF(DI$3=1,Inputs!C87,0)</f>
        <v>0</v>
      </c>
      <c r="DJ68" s="152">
        <f>IF(DJ$3=1,Inputs!C87,0)</f>
        <v>0</v>
      </c>
      <c r="DK68" s="152">
        <f>IF(DK$3=1,Inputs!C87,0)</f>
        <v>0</v>
      </c>
      <c r="DL68" s="152">
        <f>IF(DL$3=1,Inputs!C87,0)</f>
        <v>0</v>
      </c>
      <c r="DM68" s="152">
        <f>IF(DM$3=1,Inputs!C87,0)</f>
        <v>0</v>
      </c>
      <c r="DN68" s="152">
        <f>IF(DN$3=1,Inputs!C87,0)</f>
        <v>0</v>
      </c>
      <c r="DO68" s="152">
        <f>IF(DO$3=1,Inputs!C87,0)</f>
        <v>0</v>
      </c>
      <c r="DP68" s="152">
        <f>IF(DP$3=1,Inputs!C87,0)</f>
        <v>0</v>
      </c>
      <c r="DQ68" s="152">
        <f>IF(DQ$3=1,Inputs!C87,0)</f>
        <v>0</v>
      </c>
      <c r="DR68" s="152">
        <f>IF(DR$3=1,Inputs!C87,0)</f>
        <v>0</v>
      </c>
      <c r="DS68" s="44">
        <f>IF(DS$3=1,Inputs!C87,0)</f>
        <v>0</v>
      </c>
    </row>
    <row r="69" ht="21.0" customHeight="1">
      <c r="A69" s="44"/>
      <c r="B69" s="46" t="s">
        <v>352</v>
      </c>
      <c r="C69" s="151">
        <f t="array" ref="C69">IF(C$3&lt;=INDEX(Inputs!$C:$C,MATCH("End Year",Inputs!$B:$B,0))*12,IF(C$3=INDEX(Inputs!$C:$C,MATCH("Refi Year",Inputs!$B:$B,0))*12+1,C61+C55-INDEX(Inputs!$C:$C,MATCH("*Refi Closing Costs ($)*",Inputs!$B:$B,0)),0),0)</f>
        <v>0</v>
      </c>
      <c r="D69" s="151">
        <f t="array" ref="D69">IF(D$3&lt;=INDEX(Inputs!$C:$C,MATCH("End Year",Inputs!$B:$B,0))*12,IF(D$3=INDEX(Inputs!$C:$C,MATCH("Refi Year",Inputs!$B:$B,0))*12+1,D61+D55-INDEX(Inputs!$C:$C,MATCH("*Refi Closing Costs ($)*",Inputs!$B:$B,0)),0),0)</f>
        <v>0</v>
      </c>
      <c r="E69" s="151">
        <f t="array" ref="E69">IF(E$3&lt;=INDEX(Inputs!$C:$C,MATCH("End Year",Inputs!$B:$B,0))*12,IF(E$3=INDEX(Inputs!$C:$C,MATCH("Refi Year",Inputs!$B:$B,0))*12+1,E61+E55-INDEX(Inputs!$C:$C,MATCH("*Refi Closing Costs ($)*",Inputs!$B:$B,0)),0),0)</f>
        <v>0</v>
      </c>
      <c r="F69" s="151">
        <f t="array" ref="F69">IF(F$3&lt;=INDEX(Inputs!$C:$C,MATCH("End Year",Inputs!$B:$B,0))*12,IF(F$3=INDEX(Inputs!$C:$C,MATCH("Refi Year",Inputs!$B:$B,0))*12+1,F61+F55-INDEX(Inputs!$C:$C,MATCH("*Refi Closing Costs ($)*",Inputs!$B:$B,0)),0),0)</f>
        <v>0</v>
      </c>
      <c r="G69" s="151">
        <f t="array" ref="G69">IF(G$3&lt;=INDEX(Inputs!$C:$C,MATCH("End Year",Inputs!$B:$B,0))*12,IF(G$3=INDEX(Inputs!$C:$C,MATCH("Refi Year",Inputs!$B:$B,0))*12+1,G61+G55-INDEX(Inputs!$C:$C,MATCH("*Refi Closing Costs ($)*",Inputs!$B:$B,0)),0),0)</f>
        <v>0</v>
      </c>
      <c r="H69" s="151">
        <f t="array" ref="H69">IF(H$3&lt;=INDEX(Inputs!$C:$C,MATCH("End Year",Inputs!$B:$B,0))*12,IF(H$3=INDEX(Inputs!$C:$C,MATCH("Refi Year",Inputs!$B:$B,0))*12+1,H61+H55-INDEX(Inputs!$C:$C,MATCH("*Refi Closing Costs ($)*",Inputs!$B:$B,0)),0),0)</f>
        <v>0</v>
      </c>
      <c r="I69" s="151">
        <f t="array" ref="I69">IF(I$3&lt;=INDEX(Inputs!$C:$C,MATCH("End Year",Inputs!$B:$B,0))*12,IF(I$3=INDEX(Inputs!$C:$C,MATCH("Refi Year",Inputs!$B:$B,0))*12+1,I61+I55-INDEX(Inputs!$C:$C,MATCH("*Refi Closing Costs ($)*",Inputs!$B:$B,0)),0),0)</f>
        <v>0</v>
      </c>
      <c r="J69" s="151">
        <f t="array" ref="J69">IF(J$3&lt;=INDEX(Inputs!$C:$C,MATCH("End Year",Inputs!$B:$B,0))*12,IF(J$3=INDEX(Inputs!$C:$C,MATCH("Refi Year",Inputs!$B:$B,0))*12+1,J61+J55-INDEX(Inputs!$C:$C,MATCH("*Refi Closing Costs ($)*",Inputs!$B:$B,0)),0),0)</f>
        <v>0</v>
      </c>
      <c r="K69" s="151">
        <f t="array" ref="K69">IF(K$3&lt;=INDEX(Inputs!$C:$C,MATCH("End Year",Inputs!$B:$B,0))*12,IF(K$3=INDEX(Inputs!$C:$C,MATCH("Refi Year",Inputs!$B:$B,0))*12+1,K61+K55-INDEX(Inputs!$C:$C,MATCH("*Refi Closing Costs ($)*",Inputs!$B:$B,0)),0),0)</f>
        <v>0</v>
      </c>
      <c r="L69" s="151">
        <f t="array" ref="L69">IF(L$3&lt;=INDEX(Inputs!$C:$C,MATCH("End Year",Inputs!$B:$B,0))*12,IF(L$3=INDEX(Inputs!$C:$C,MATCH("Refi Year",Inputs!$B:$B,0))*12+1,L61+L55-INDEX(Inputs!$C:$C,MATCH("*Refi Closing Costs ($)*",Inputs!$B:$B,0)),0),0)</f>
        <v>0</v>
      </c>
      <c r="M69" s="151">
        <f t="array" ref="M69">IF(M$3&lt;=INDEX(Inputs!$C:$C,MATCH("End Year",Inputs!$B:$B,0))*12,IF(M$3=INDEX(Inputs!$C:$C,MATCH("Refi Year",Inputs!$B:$B,0))*12+1,M61+M55-INDEX(Inputs!$C:$C,MATCH("*Refi Closing Costs ($)*",Inputs!$B:$B,0)),0),0)</f>
        <v>0</v>
      </c>
      <c r="N69" s="151">
        <f t="array" ref="N69">IF(N$3&lt;=INDEX(Inputs!$C:$C,MATCH("End Year",Inputs!$B:$B,0))*12,IF(N$3=INDEX(Inputs!$C:$C,MATCH("Refi Year",Inputs!$B:$B,0))*12+1,N61+N55-INDEX(Inputs!$C:$C,MATCH("*Refi Closing Costs ($)*",Inputs!$B:$B,0)),0),0)</f>
        <v>0</v>
      </c>
      <c r="O69" s="151">
        <f t="array" ref="O69">IF(O$3&lt;=INDEX(Inputs!$C:$C,MATCH("End Year",Inputs!$B:$B,0))*12,IF(O$3=INDEX(Inputs!$C:$C,MATCH("Refi Year",Inputs!$B:$B,0))*12+1,O61+O55-INDEX(Inputs!$C:$C,MATCH("*Refi Closing Costs ($)*",Inputs!$B:$B,0)),0),0)</f>
        <v>0</v>
      </c>
      <c r="P69" s="151">
        <f t="array" ref="P69">IF(P$3&lt;=INDEX(Inputs!$C:$C,MATCH("End Year",Inputs!$B:$B,0))*12,IF(P$3=INDEX(Inputs!$C:$C,MATCH("Refi Year",Inputs!$B:$B,0))*12+1,P61+P55-INDEX(Inputs!$C:$C,MATCH("*Refi Closing Costs ($)*",Inputs!$B:$B,0)),0),0)</f>
        <v>0</v>
      </c>
      <c r="Q69" s="151">
        <f t="array" ref="Q69">IF(Q$3&lt;=INDEX(Inputs!$C:$C,MATCH("End Year",Inputs!$B:$B,0))*12,IF(Q$3=INDEX(Inputs!$C:$C,MATCH("Refi Year",Inputs!$B:$B,0))*12+1,Q61+Q55-INDEX(Inputs!$C:$C,MATCH("*Refi Closing Costs ($)*",Inputs!$B:$B,0)),0),0)</f>
        <v>0</v>
      </c>
      <c r="R69" s="151">
        <f t="array" ref="R69">IF(R$3&lt;=INDEX(Inputs!$C:$C,MATCH("End Year",Inputs!$B:$B,0))*12,IF(R$3=INDEX(Inputs!$C:$C,MATCH("Refi Year",Inputs!$B:$B,0))*12+1,R61+R55-INDEX(Inputs!$C:$C,MATCH("*Refi Closing Costs ($)*",Inputs!$B:$B,0)),0),0)</f>
        <v>0</v>
      </c>
      <c r="S69" s="151">
        <f t="array" ref="S69">IF(S$3&lt;=INDEX(Inputs!$C:$C,MATCH("End Year",Inputs!$B:$B,0))*12,IF(S$3=INDEX(Inputs!$C:$C,MATCH("Refi Year",Inputs!$B:$B,0))*12+1,S61+S55-INDEX(Inputs!$C:$C,MATCH("*Refi Closing Costs ($)*",Inputs!$B:$B,0)),0),0)</f>
        <v>0</v>
      </c>
      <c r="T69" s="151">
        <f t="array" ref="T69">IF(T$3&lt;=INDEX(Inputs!$C:$C,MATCH("End Year",Inputs!$B:$B,0))*12,IF(T$3=INDEX(Inputs!$C:$C,MATCH("Refi Year",Inputs!$B:$B,0))*12+1,T61+T55-INDEX(Inputs!$C:$C,MATCH("*Refi Closing Costs ($)*",Inputs!$B:$B,0)),0),0)</f>
        <v>0</v>
      </c>
      <c r="U69" s="151">
        <f t="array" ref="U69">IF(U$3&lt;=INDEX(Inputs!$C:$C,MATCH("End Year",Inputs!$B:$B,0))*12,IF(U$3=INDEX(Inputs!$C:$C,MATCH("Refi Year",Inputs!$B:$B,0))*12+1,U61+U55-INDEX(Inputs!$C:$C,MATCH("*Refi Closing Costs ($)*",Inputs!$B:$B,0)),0),0)</f>
        <v>0</v>
      </c>
      <c r="V69" s="151">
        <f t="array" ref="V69">IF(V$3&lt;=INDEX(Inputs!$C:$C,MATCH("End Year",Inputs!$B:$B,0))*12,IF(V$3=INDEX(Inputs!$C:$C,MATCH("Refi Year",Inputs!$B:$B,0))*12+1,V61+V55-INDEX(Inputs!$C:$C,MATCH("*Refi Closing Costs ($)*",Inputs!$B:$B,0)),0),0)</f>
        <v>0</v>
      </c>
      <c r="W69" s="151">
        <f t="array" ref="W69">IF(W$3&lt;=INDEX(Inputs!$C:$C,MATCH("End Year",Inputs!$B:$B,0))*12,IF(W$3=INDEX(Inputs!$C:$C,MATCH("Refi Year",Inputs!$B:$B,0))*12+1,W61+W55-INDEX(Inputs!$C:$C,MATCH("*Refi Closing Costs ($)*",Inputs!$B:$B,0)),0),0)</f>
        <v>0</v>
      </c>
      <c r="X69" s="151">
        <f t="array" ref="X69">IF(X$3&lt;=INDEX(Inputs!$C:$C,MATCH("End Year",Inputs!$B:$B,0))*12,IF(X$3=INDEX(Inputs!$C:$C,MATCH("Refi Year",Inputs!$B:$B,0))*12+1,X61+X55-INDEX(Inputs!$C:$C,MATCH("*Refi Closing Costs ($)*",Inputs!$B:$B,0)),0),0)</f>
        <v>0</v>
      </c>
      <c r="Y69" s="151">
        <f t="array" ref="Y69">IF(Y$3&lt;=INDEX(Inputs!$C:$C,MATCH("End Year",Inputs!$B:$B,0))*12,IF(Y$3=INDEX(Inputs!$C:$C,MATCH("Refi Year",Inputs!$B:$B,0))*12+1,Y61+Y55-INDEX(Inputs!$C:$C,MATCH("*Refi Closing Costs ($)*",Inputs!$B:$B,0)),0),0)</f>
        <v>0</v>
      </c>
      <c r="Z69" s="151">
        <f t="array" ref="Z69">IF(Z$3&lt;=INDEX(Inputs!$C:$C,MATCH("End Year",Inputs!$B:$B,0))*12,IF(Z$3=INDEX(Inputs!$C:$C,MATCH("Refi Year",Inputs!$B:$B,0))*12+1,Z61+Z55-INDEX(Inputs!$C:$C,MATCH("*Refi Closing Costs ($)*",Inputs!$B:$B,0)),0),0)</f>
        <v>0</v>
      </c>
      <c r="AA69" s="151">
        <f t="array" ref="AA69">IF(AA$3&lt;=INDEX(Inputs!$C:$C,MATCH("End Year",Inputs!$B:$B,0))*12,IF(AA$3=INDEX(Inputs!$C:$C,MATCH("Refi Year",Inputs!$B:$B,0))*12+1,AA61+AA55-INDEX(Inputs!$C:$C,MATCH("*Refi Closing Costs ($)*",Inputs!$B:$B,0)),0),0)</f>
        <v>0</v>
      </c>
      <c r="AB69" s="151">
        <f t="array" ref="AB69">IF(AB$3&lt;=INDEX(Inputs!$C:$C,MATCH("End Year",Inputs!$B:$B,0))*12,IF(AB$3=INDEX(Inputs!$C:$C,MATCH("Refi Year",Inputs!$B:$B,0))*12+1,AB61+AB55-INDEX(Inputs!$C:$C,MATCH("*Refi Closing Costs ($)*",Inputs!$B:$B,0)),0),0)</f>
        <v>0</v>
      </c>
      <c r="AC69" s="151">
        <f t="array" ref="AC69">IF(AC$3&lt;=INDEX(Inputs!$C:$C,MATCH("End Year",Inputs!$B:$B,0))*12,IF(AC$3=INDEX(Inputs!$C:$C,MATCH("Refi Year",Inputs!$B:$B,0))*12+1,AC61+AC55-INDEX(Inputs!$C:$C,MATCH("*Refi Closing Costs ($)*",Inputs!$B:$B,0)),0),0)</f>
        <v>0</v>
      </c>
      <c r="AD69" s="151">
        <f t="array" ref="AD69">IF(AD$3&lt;=INDEX(Inputs!$C:$C,MATCH("End Year",Inputs!$B:$B,0))*12,IF(AD$3=INDEX(Inputs!$C:$C,MATCH("Refi Year",Inputs!$B:$B,0))*12+1,AD61+AD55-INDEX(Inputs!$C:$C,MATCH("*Refi Closing Costs ($)*",Inputs!$B:$B,0)),0),0)</f>
        <v>0</v>
      </c>
      <c r="AE69" s="151">
        <f t="array" ref="AE69">IF(AE$3&lt;=INDEX(Inputs!$C:$C,MATCH("End Year",Inputs!$B:$B,0))*12,IF(AE$3=INDEX(Inputs!$C:$C,MATCH("Refi Year",Inputs!$B:$B,0))*12+1,AE61+AE55-INDEX(Inputs!$C:$C,MATCH("*Refi Closing Costs ($)*",Inputs!$B:$B,0)),0),0)</f>
        <v>0</v>
      </c>
      <c r="AF69" s="151">
        <f t="array" ref="AF69">IF(AF$3&lt;=INDEX(Inputs!$C:$C,MATCH("End Year",Inputs!$B:$B,0))*12,IF(AF$3=INDEX(Inputs!$C:$C,MATCH("Refi Year",Inputs!$B:$B,0))*12+1,AF61+AF55-INDEX(Inputs!$C:$C,MATCH("*Refi Closing Costs ($)*",Inputs!$B:$B,0)),0),0)</f>
        <v>0</v>
      </c>
      <c r="AG69" s="151">
        <f t="array" ref="AG69">IF(AG$3&lt;=INDEX(Inputs!$C:$C,MATCH("End Year",Inputs!$B:$B,0))*12,IF(AG$3=INDEX(Inputs!$C:$C,MATCH("Refi Year",Inputs!$B:$B,0))*12+1,AG61+AG55-INDEX(Inputs!$C:$C,MATCH("*Refi Closing Costs ($)*",Inputs!$B:$B,0)),0),0)</f>
        <v>0</v>
      </c>
      <c r="AH69" s="151">
        <f t="array" ref="AH69">IF(AH$3&lt;=INDEX(Inputs!$C:$C,MATCH("End Year",Inputs!$B:$B,0))*12,IF(AH$3=INDEX(Inputs!$C:$C,MATCH("Refi Year",Inputs!$B:$B,0))*12+1,AH61+AH55-INDEX(Inputs!$C:$C,MATCH("*Refi Closing Costs ($)*",Inputs!$B:$B,0)),0),0)</f>
        <v>0</v>
      </c>
      <c r="AI69" s="151">
        <f t="array" ref="AI69">IF(AI$3&lt;=INDEX(Inputs!$C:$C,MATCH("End Year",Inputs!$B:$B,0))*12,IF(AI$3=INDEX(Inputs!$C:$C,MATCH("Refi Year",Inputs!$B:$B,0))*12+1,AI61+AI55-INDEX(Inputs!$C:$C,MATCH("*Refi Closing Costs ($)*",Inputs!$B:$B,0)),0),0)</f>
        <v>0</v>
      </c>
      <c r="AJ69" s="151">
        <f t="array" ref="AJ69">IF(AJ$3&lt;=INDEX(Inputs!$C:$C,MATCH("End Year",Inputs!$B:$B,0))*12,IF(AJ$3=INDEX(Inputs!$C:$C,MATCH("Refi Year",Inputs!$B:$B,0))*12+1,AJ61+AJ55-INDEX(Inputs!$C:$C,MATCH("*Refi Closing Costs ($)*",Inputs!$B:$B,0)),0),0)</f>
        <v>0</v>
      </c>
      <c r="AK69" s="151">
        <f t="array" ref="AK69">IF(AK$3&lt;=INDEX(Inputs!$C:$C,MATCH("End Year",Inputs!$B:$B,0))*12,IF(AK$3=INDEX(Inputs!$C:$C,MATCH("Refi Year",Inputs!$B:$B,0))*12+1,AK61+AK55-INDEX(Inputs!$C:$C,MATCH("*Refi Closing Costs ($)*",Inputs!$B:$B,0)),0),0)</f>
        <v>0</v>
      </c>
      <c r="AL69" s="151">
        <f t="array" ref="AL69">IF(AL$3&lt;=INDEX(Inputs!$C:$C,MATCH("End Year",Inputs!$B:$B,0))*12,IF(AL$3=INDEX(Inputs!$C:$C,MATCH("Refi Year",Inputs!$B:$B,0))*12+1,AL61+AL55-INDEX(Inputs!$C:$C,MATCH("*Refi Closing Costs ($)*",Inputs!$B:$B,0)),0),0)</f>
        <v>0</v>
      </c>
      <c r="AM69" s="151">
        <f t="array" ref="AM69">IF(AM$3&lt;=INDEX(Inputs!$C:$C,MATCH("End Year",Inputs!$B:$B,0))*12,IF(AM$3=INDEX(Inputs!$C:$C,MATCH("Refi Year",Inputs!$B:$B,0))*12+1,AM61+AM55-INDEX(Inputs!$C:$C,MATCH("*Refi Closing Costs ($)*",Inputs!$B:$B,0)),0),0)</f>
        <v>0</v>
      </c>
      <c r="AN69" s="151">
        <f t="array" ref="AN69">IF(AN$3&lt;=INDEX(Inputs!$C:$C,MATCH("End Year",Inputs!$B:$B,0))*12,IF(AN$3=INDEX(Inputs!$C:$C,MATCH("Refi Year",Inputs!$B:$B,0))*12+1,AN61+AN55-INDEX(Inputs!$C:$C,MATCH("*Refi Closing Costs ($)*",Inputs!$B:$B,0)),0),0)</f>
        <v>0</v>
      </c>
      <c r="AO69" s="151">
        <f t="array" ref="AO69">IF(AO$3&lt;=INDEX(Inputs!$C:$C,MATCH("End Year",Inputs!$B:$B,0))*12,IF(AO$3=INDEX(Inputs!$C:$C,MATCH("Refi Year",Inputs!$B:$B,0))*12+1,AO61+AO55-INDEX(Inputs!$C:$C,MATCH("*Refi Closing Costs ($)*",Inputs!$B:$B,0)),0),0)</f>
        <v>0</v>
      </c>
      <c r="AP69" s="151">
        <f t="array" ref="AP69">IF(AP$3&lt;=INDEX(Inputs!$C:$C,MATCH("End Year",Inputs!$B:$B,0))*12,IF(AP$3=INDEX(Inputs!$C:$C,MATCH("Refi Year",Inputs!$B:$B,0))*12+1,AP61+AP55-INDEX(Inputs!$C:$C,MATCH("*Refi Closing Costs ($)*",Inputs!$B:$B,0)),0),0)</f>
        <v>0</v>
      </c>
      <c r="AQ69" s="151">
        <f t="array" ref="AQ69">IF(AQ$3&lt;=INDEX(Inputs!$C:$C,MATCH("End Year",Inputs!$B:$B,0))*12,IF(AQ$3=INDEX(Inputs!$C:$C,MATCH("Refi Year",Inputs!$B:$B,0))*12+1,AQ61+AQ55-INDEX(Inputs!$C:$C,MATCH("*Refi Closing Costs ($)*",Inputs!$B:$B,0)),0),0)</f>
        <v>0</v>
      </c>
      <c r="AR69" s="151">
        <f t="array" ref="AR69">IF(AR$3&lt;=INDEX(Inputs!$C:$C,MATCH("End Year",Inputs!$B:$B,0))*12,IF(AR$3=INDEX(Inputs!$C:$C,MATCH("Refi Year",Inputs!$B:$B,0))*12+1,AR61+AR55-INDEX(Inputs!$C:$C,MATCH("*Refi Closing Costs ($)*",Inputs!$B:$B,0)),0),0)</f>
        <v>0</v>
      </c>
      <c r="AS69" s="151">
        <f t="array" ref="AS69">IF(AS$3&lt;=INDEX(Inputs!$C:$C,MATCH("End Year",Inputs!$B:$B,0))*12,IF(AS$3=INDEX(Inputs!$C:$C,MATCH("Refi Year",Inputs!$B:$B,0))*12+1,AS61+AS55-INDEX(Inputs!$C:$C,MATCH("*Refi Closing Costs ($)*",Inputs!$B:$B,0)),0),0)</f>
        <v>0</v>
      </c>
      <c r="AT69" s="151">
        <f t="array" ref="AT69">IF(AT$3&lt;=INDEX(Inputs!$C:$C,MATCH("End Year",Inputs!$B:$B,0))*12,IF(AT$3=INDEX(Inputs!$C:$C,MATCH("Refi Year",Inputs!$B:$B,0))*12+1,AT61+AT55-INDEX(Inputs!$C:$C,MATCH("*Refi Closing Costs ($)*",Inputs!$B:$B,0)),0),0)</f>
        <v>0</v>
      </c>
      <c r="AU69" s="151">
        <f t="array" ref="AU69">IF(AU$3&lt;=INDEX(Inputs!$C:$C,MATCH("End Year",Inputs!$B:$B,0))*12,IF(AU$3=INDEX(Inputs!$C:$C,MATCH("Refi Year",Inputs!$B:$B,0))*12+1,AU61+AU55-INDEX(Inputs!$C:$C,MATCH("*Refi Closing Costs ($)*",Inputs!$B:$B,0)),0),0)</f>
        <v>0</v>
      </c>
      <c r="AV69" s="151">
        <f t="array" ref="AV69">IF(AV$3&lt;=INDEX(Inputs!$C:$C,MATCH("End Year",Inputs!$B:$B,0))*12,IF(AV$3=INDEX(Inputs!$C:$C,MATCH("Refi Year",Inputs!$B:$B,0))*12+1,AV61+AV55-INDEX(Inputs!$C:$C,MATCH("*Refi Closing Costs ($)*",Inputs!$B:$B,0)),0),0)</f>
        <v>0</v>
      </c>
      <c r="AW69" s="151">
        <f t="array" ref="AW69">IF(AW$3&lt;=INDEX(Inputs!$C:$C,MATCH("End Year",Inputs!$B:$B,0))*12,IF(AW$3=INDEX(Inputs!$C:$C,MATCH("Refi Year",Inputs!$B:$B,0))*12+1,AW61+AW55-INDEX(Inputs!$C:$C,MATCH("*Refi Closing Costs ($)*",Inputs!$B:$B,0)),0),0)</f>
        <v>0</v>
      </c>
      <c r="AX69" s="151">
        <f t="array" ref="AX69">IF(AX$3&lt;=INDEX(Inputs!$C:$C,MATCH("End Year",Inputs!$B:$B,0))*12,IF(AX$3=INDEX(Inputs!$C:$C,MATCH("Refi Year",Inputs!$B:$B,0))*12+1,AX61+AX55-INDEX(Inputs!$C:$C,MATCH("*Refi Closing Costs ($)*",Inputs!$B:$B,0)),0),0)</f>
        <v>0</v>
      </c>
      <c r="AY69" s="151">
        <f t="array" ref="AY69">IF(AY$3&lt;=INDEX(Inputs!$C:$C,MATCH("End Year",Inputs!$B:$B,0))*12,IF(AY$3=INDEX(Inputs!$C:$C,MATCH("Refi Year",Inputs!$B:$B,0))*12+1,AY61+AY55-INDEX(Inputs!$C:$C,MATCH("*Refi Closing Costs ($)*",Inputs!$B:$B,0)),0),0)</f>
        <v>0</v>
      </c>
      <c r="AZ69" s="151">
        <f t="array" ref="AZ69">IF(AZ$3&lt;=INDEX(Inputs!$C:$C,MATCH("End Year",Inputs!$B:$B,0))*12,IF(AZ$3=INDEX(Inputs!$C:$C,MATCH("Refi Year",Inputs!$B:$B,0))*12+1,AZ61+AZ55-INDEX(Inputs!$C:$C,MATCH("*Refi Closing Costs ($)*",Inputs!$B:$B,0)),0),0)</f>
        <v>0</v>
      </c>
      <c r="BA69" s="151">
        <f t="array" ref="BA69">IF(BA$3&lt;=INDEX(Inputs!$C:$C,MATCH("End Year",Inputs!$B:$B,0))*12,IF(BA$3=INDEX(Inputs!$C:$C,MATCH("Refi Year",Inputs!$B:$B,0))*12+1,BA61+BA55-INDEX(Inputs!$C:$C,MATCH("*Refi Closing Costs ($)*",Inputs!$B:$B,0)),0),0)</f>
        <v>0</v>
      </c>
      <c r="BB69" s="151">
        <f t="array" ref="BB69">IF(BB$3&lt;=INDEX(Inputs!$C:$C,MATCH("End Year",Inputs!$B:$B,0))*12,IF(BB$3=INDEX(Inputs!$C:$C,MATCH("Refi Year",Inputs!$B:$B,0))*12+1,BB61+BB55-INDEX(Inputs!$C:$C,MATCH("*Refi Closing Costs ($)*",Inputs!$B:$B,0)),0),0)</f>
        <v>0</v>
      </c>
      <c r="BC69" s="151">
        <f t="array" ref="BC69">IF(BC$3&lt;=INDEX(Inputs!$C:$C,MATCH("End Year",Inputs!$B:$B,0))*12,IF(BC$3=INDEX(Inputs!$C:$C,MATCH("Refi Year",Inputs!$B:$B,0))*12+1,BC61+BC55-INDEX(Inputs!$C:$C,MATCH("*Refi Closing Costs ($)*",Inputs!$B:$B,0)),0),0)</f>
        <v>0</v>
      </c>
      <c r="BD69" s="151">
        <f t="array" ref="BD69">IF(BD$3&lt;=INDEX(Inputs!$C:$C,MATCH("End Year",Inputs!$B:$B,0))*12,IF(BD$3=INDEX(Inputs!$C:$C,MATCH("Refi Year",Inputs!$B:$B,0))*12+1,BD61+BD55-INDEX(Inputs!$C:$C,MATCH("*Refi Closing Costs ($)*",Inputs!$B:$B,0)),0),0)</f>
        <v>0</v>
      </c>
      <c r="BE69" s="151">
        <f t="array" ref="BE69">IF(BE$3&lt;=INDEX(Inputs!$C:$C,MATCH("End Year",Inputs!$B:$B,0))*12,IF(BE$3=INDEX(Inputs!$C:$C,MATCH("Refi Year",Inputs!$B:$B,0))*12+1,BE61+BE55-INDEX(Inputs!$C:$C,MATCH("*Refi Closing Costs ($)*",Inputs!$B:$B,0)),0),0)</f>
        <v>0</v>
      </c>
      <c r="BF69" s="151">
        <f t="array" ref="BF69">IF(BF$3&lt;=INDEX(Inputs!$C:$C,MATCH("End Year",Inputs!$B:$B,0))*12,IF(BF$3=INDEX(Inputs!$C:$C,MATCH("Refi Year",Inputs!$B:$B,0))*12+1,BF61+BF55-INDEX(Inputs!$C:$C,MATCH("*Refi Closing Costs ($)*",Inputs!$B:$B,0)),0),0)</f>
        <v>0</v>
      </c>
      <c r="BG69" s="151">
        <f t="array" ref="BG69">IF(BG$3&lt;=INDEX(Inputs!$C:$C,MATCH("End Year",Inputs!$B:$B,0))*12,IF(BG$3=INDEX(Inputs!$C:$C,MATCH("Refi Year",Inputs!$B:$B,0))*12+1,BG61+BG55-INDEX(Inputs!$C:$C,MATCH("*Refi Closing Costs ($)*",Inputs!$B:$B,0)),0),0)</f>
        <v>0</v>
      </c>
      <c r="BH69" s="151">
        <f t="array" ref="BH69">IF(BH$3&lt;=INDEX(Inputs!$C:$C,MATCH("End Year",Inputs!$B:$B,0))*12,IF(BH$3=INDEX(Inputs!$C:$C,MATCH("Refi Year",Inputs!$B:$B,0))*12+1,BH61+BH55-INDEX(Inputs!$C:$C,MATCH("*Refi Closing Costs ($)*",Inputs!$B:$B,0)),0),0)</f>
        <v>0</v>
      </c>
      <c r="BI69" s="151">
        <f t="array" ref="BI69">IF(BI$3&lt;=INDEX(Inputs!$C:$C,MATCH("End Year",Inputs!$B:$B,0))*12,IF(BI$3=INDEX(Inputs!$C:$C,MATCH("Refi Year",Inputs!$B:$B,0))*12+1,BI61+BI55-INDEX(Inputs!$C:$C,MATCH("*Refi Closing Costs ($)*",Inputs!$B:$B,0)),0),0)</f>
        <v>0</v>
      </c>
      <c r="BJ69" s="151">
        <f t="array" ref="BJ69">IF(BJ$3&lt;=INDEX(Inputs!$C:$C,MATCH("End Year",Inputs!$B:$B,0))*12,IF(BJ$3=INDEX(Inputs!$C:$C,MATCH("Refi Year",Inputs!$B:$B,0))*12+1,BJ61+BJ55-INDEX(Inputs!$C:$C,MATCH("*Refi Closing Costs ($)*",Inputs!$B:$B,0)),0),0)</f>
        <v>0</v>
      </c>
      <c r="BK69" s="151">
        <f t="array" ref="BK69">IF(BK$3&lt;=INDEX(Inputs!$C:$C,MATCH("End Year",Inputs!$B:$B,0))*12,IF(BK$3=INDEX(Inputs!$C:$C,MATCH("Refi Year",Inputs!$B:$B,0))*12+1,BK61+BK55-INDEX(Inputs!$C:$C,MATCH("*Refi Closing Costs ($)*",Inputs!$B:$B,0)),0),0)</f>
        <v>0</v>
      </c>
      <c r="BL69" s="151">
        <f t="array" ref="BL69">IF(BL$3&lt;=INDEX(Inputs!$C:$C,MATCH("End Year",Inputs!$B:$B,0))*12,IF(BL$3=INDEX(Inputs!$C:$C,MATCH("Refi Year",Inputs!$B:$B,0))*12+1,BL61+BL55-INDEX(Inputs!$C:$C,MATCH("*Refi Closing Costs ($)*",Inputs!$B:$B,0)),0),0)</f>
        <v>0</v>
      </c>
      <c r="BM69" s="151">
        <f t="array" ref="BM69">IF(BM$3&lt;=INDEX(Inputs!$C:$C,MATCH("End Year",Inputs!$B:$B,0))*12,IF(BM$3=INDEX(Inputs!$C:$C,MATCH("Refi Year",Inputs!$B:$B,0))*12+1,BM61+BM55-INDEX(Inputs!$C:$C,MATCH("*Refi Closing Costs ($)*",Inputs!$B:$B,0)),0),0)</f>
        <v>0</v>
      </c>
      <c r="BN69" s="151">
        <f t="array" ref="BN69">IF(BN$3&lt;=INDEX(Inputs!$C:$C,MATCH("End Year",Inputs!$B:$B,0))*12,IF(BN$3=INDEX(Inputs!$C:$C,MATCH("Refi Year",Inputs!$B:$B,0))*12+1,BN61+BN55-INDEX(Inputs!$C:$C,MATCH("*Refi Closing Costs ($)*",Inputs!$B:$B,0)),0),0)</f>
        <v>0</v>
      </c>
      <c r="BO69" s="151">
        <f t="array" ref="BO69">IF(BO$3&lt;=INDEX(Inputs!$C:$C,MATCH("End Year",Inputs!$B:$B,0))*12,IF(BO$3=INDEX(Inputs!$C:$C,MATCH("Refi Year",Inputs!$B:$B,0))*12+1,BO61+BO55-INDEX(Inputs!$C:$C,MATCH("*Refi Closing Costs ($)*",Inputs!$B:$B,0)),0),0)</f>
        <v>0</v>
      </c>
      <c r="BP69" s="151">
        <f t="array" ref="BP69">IF(BP$3&lt;=INDEX(Inputs!$C:$C,MATCH("End Year",Inputs!$B:$B,0))*12,IF(BP$3=INDEX(Inputs!$C:$C,MATCH("Refi Year",Inputs!$B:$B,0))*12+1,BP61+BP55-INDEX(Inputs!$C:$C,MATCH("*Refi Closing Costs ($)*",Inputs!$B:$B,0)),0),0)</f>
        <v>0</v>
      </c>
      <c r="BQ69" s="151">
        <f t="array" ref="BQ69">IF(BQ$3&lt;=INDEX(Inputs!$C:$C,MATCH("End Year",Inputs!$B:$B,0))*12,IF(BQ$3=INDEX(Inputs!$C:$C,MATCH("Refi Year",Inputs!$B:$B,0))*12+1,BQ61+BQ55-INDEX(Inputs!$C:$C,MATCH("*Refi Closing Costs ($)*",Inputs!$B:$B,0)),0),0)</f>
        <v>0</v>
      </c>
      <c r="BR69" s="151">
        <f t="array" ref="BR69">IF(BR$3&lt;=INDEX(Inputs!$C:$C,MATCH("End Year",Inputs!$B:$B,0))*12,IF(BR$3=INDEX(Inputs!$C:$C,MATCH("Refi Year",Inputs!$B:$B,0))*12+1,BR61+BR55-INDEX(Inputs!$C:$C,MATCH("*Refi Closing Costs ($)*",Inputs!$B:$B,0)),0),0)</f>
        <v>0</v>
      </c>
      <c r="BS69" s="151">
        <f t="array" ref="BS69">IF(BS$3&lt;=INDEX(Inputs!$C:$C,MATCH("End Year",Inputs!$B:$B,0))*12,IF(BS$3=INDEX(Inputs!$C:$C,MATCH("Refi Year",Inputs!$B:$B,0))*12+1,BS61+BS55-INDEX(Inputs!$C:$C,MATCH("*Refi Closing Costs ($)*",Inputs!$B:$B,0)),0),0)</f>
        <v>0</v>
      </c>
      <c r="BT69" s="151">
        <f t="array" ref="BT69">IF(BT$3&lt;=INDEX(Inputs!$C:$C,MATCH("End Year",Inputs!$B:$B,0))*12,IF(BT$3=INDEX(Inputs!$C:$C,MATCH("Refi Year",Inputs!$B:$B,0))*12+1,BT61+BT55-INDEX(Inputs!$C:$C,MATCH("*Refi Closing Costs ($)*",Inputs!$B:$B,0)),0),0)</f>
        <v>0</v>
      </c>
      <c r="BU69" s="151">
        <f t="array" ref="BU69">IF(BU$3&lt;=INDEX(Inputs!$C:$C,MATCH("End Year",Inputs!$B:$B,0))*12,IF(BU$3=INDEX(Inputs!$C:$C,MATCH("Refi Year",Inputs!$B:$B,0))*12+1,BU61+BU55-INDEX(Inputs!$C:$C,MATCH("*Refi Closing Costs ($)*",Inputs!$B:$B,0)),0),0)</f>
        <v>0</v>
      </c>
      <c r="BV69" s="151">
        <f t="array" ref="BV69">IF(BV$3&lt;=INDEX(Inputs!$C:$C,MATCH("End Year",Inputs!$B:$B,0))*12,IF(BV$3=INDEX(Inputs!$C:$C,MATCH("Refi Year",Inputs!$B:$B,0))*12+1,BV61+BV55-INDEX(Inputs!$C:$C,MATCH("*Refi Closing Costs ($)*",Inputs!$B:$B,0)),0),0)</f>
        <v>0</v>
      </c>
      <c r="BW69" s="151">
        <f t="array" ref="BW69">IF(BW$3&lt;=INDEX(Inputs!$C:$C,MATCH("End Year",Inputs!$B:$B,0))*12,IF(BW$3=INDEX(Inputs!$C:$C,MATCH("Refi Year",Inputs!$B:$B,0))*12+1,BW61+BW55-INDEX(Inputs!$C:$C,MATCH("*Refi Closing Costs ($)*",Inputs!$B:$B,0)),0),0)</f>
        <v>0</v>
      </c>
      <c r="BX69" s="151">
        <f t="array" ref="BX69">IF(BX$3&lt;=INDEX(Inputs!$C:$C,MATCH("End Year",Inputs!$B:$B,0))*12,IF(BX$3=INDEX(Inputs!$C:$C,MATCH("Refi Year",Inputs!$B:$B,0))*12+1,BX61+BX55-INDEX(Inputs!$C:$C,MATCH("*Refi Closing Costs ($)*",Inputs!$B:$B,0)),0),0)</f>
        <v>0</v>
      </c>
      <c r="BY69" s="151">
        <f t="array" ref="BY69">IF(BY$3&lt;=INDEX(Inputs!$C:$C,MATCH("End Year",Inputs!$B:$B,0))*12,IF(BY$3=INDEX(Inputs!$C:$C,MATCH("Refi Year",Inputs!$B:$B,0))*12+1,BY61+BY55-INDEX(Inputs!$C:$C,MATCH("*Refi Closing Costs ($)*",Inputs!$B:$B,0)),0),0)</f>
        <v>0</v>
      </c>
      <c r="BZ69" s="151">
        <f t="array" ref="BZ69">IF(BZ$3&lt;=INDEX(Inputs!$C:$C,MATCH("End Year",Inputs!$B:$B,0))*12,IF(BZ$3=INDEX(Inputs!$C:$C,MATCH("Refi Year",Inputs!$B:$B,0))*12+1,BZ61+BZ55-INDEX(Inputs!$C:$C,MATCH("*Refi Closing Costs ($)*",Inputs!$B:$B,0)),0),0)</f>
        <v>0</v>
      </c>
      <c r="CA69" s="151">
        <f t="array" ref="CA69">IF(CA$3&lt;=INDEX(Inputs!$C:$C,MATCH("End Year",Inputs!$B:$B,0))*12,IF(CA$3=INDEX(Inputs!$C:$C,MATCH("Refi Year",Inputs!$B:$B,0))*12+1,CA61+CA55-INDEX(Inputs!$C:$C,MATCH("*Refi Closing Costs ($)*",Inputs!$B:$B,0)),0),0)</f>
        <v>0</v>
      </c>
      <c r="CB69" s="151">
        <f t="array" ref="CB69">IF(CB$3&lt;=INDEX(Inputs!$C:$C,MATCH("End Year",Inputs!$B:$B,0))*12,IF(CB$3=INDEX(Inputs!$C:$C,MATCH("Refi Year",Inputs!$B:$B,0))*12+1,CB61+CB55-INDEX(Inputs!$C:$C,MATCH("*Refi Closing Costs ($)*",Inputs!$B:$B,0)),0),0)</f>
        <v>0</v>
      </c>
      <c r="CC69" s="151">
        <f t="array" ref="CC69">IF(CC$3&lt;=INDEX(Inputs!$C:$C,MATCH("End Year",Inputs!$B:$B,0))*12,IF(CC$3=INDEX(Inputs!$C:$C,MATCH("Refi Year",Inputs!$B:$B,0))*12+1,CC61+CC55-INDEX(Inputs!$C:$C,MATCH("*Refi Closing Costs ($)*",Inputs!$B:$B,0)),0),0)</f>
        <v>0</v>
      </c>
      <c r="CD69" s="151">
        <f t="array" ref="CD69">IF(CD$3&lt;=INDEX(Inputs!$C:$C,MATCH("End Year",Inputs!$B:$B,0))*12,IF(CD$3=INDEX(Inputs!$C:$C,MATCH("Refi Year",Inputs!$B:$B,0))*12+1,CD61+CD55-INDEX(Inputs!$C:$C,MATCH("*Refi Closing Costs ($)*",Inputs!$B:$B,0)),0),0)</f>
        <v>0</v>
      </c>
      <c r="CE69" s="151">
        <f t="array" ref="CE69">IF(CE$3&lt;=INDEX(Inputs!$C:$C,MATCH("End Year",Inputs!$B:$B,0))*12,IF(CE$3=INDEX(Inputs!$C:$C,MATCH("Refi Year",Inputs!$B:$B,0))*12+1,CE61+CE55-INDEX(Inputs!$C:$C,MATCH("*Refi Closing Costs ($)*",Inputs!$B:$B,0)),0),0)</f>
        <v>0</v>
      </c>
      <c r="CF69" s="151">
        <f t="array" ref="CF69">IF(CF$3&lt;=INDEX(Inputs!$C:$C,MATCH("End Year",Inputs!$B:$B,0))*12,IF(CF$3=INDEX(Inputs!$C:$C,MATCH("Refi Year",Inputs!$B:$B,0))*12+1,CF61+CF55-INDEX(Inputs!$C:$C,MATCH("*Refi Closing Costs ($)*",Inputs!$B:$B,0)),0),0)</f>
        <v>0</v>
      </c>
      <c r="CG69" s="151">
        <f t="array" ref="CG69">IF(CG$3&lt;=INDEX(Inputs!$C:$C,MATCH("End Year",Inputs!$B:$B,0))*12,IF(CG$3=INDEX(Inputs!$C:$C,MATCH("Refi Year",Inputs!$B:$B,0))*12+1,CG61+CG55-INDEX(Inputs!$C:$C,MATCH("*Refi Closing Costs ($)*",Inputs!$B:$B,0)),0),0)</f>
        <v>0</v>
      </c>
      <c r="CH69" s="151">
        <f t="array" ref="CH69">IF(CH$3&lt;=INDEX(Inputs!$C:$C,MATCH("End Year",Inputs!$B:$B,0))*12,IF(CH$3=INDEX(Inputs!$C:$C,MATCH("Refi Year",Inputs!$B:$B,0))*12+1,CH61+CH55-INDEX(Inputs!$C:$C,MATCH("*Refi Closing Costs ($)*",Inputs!$B:$B,0)),0),0)</f>
        <v>0</v>
      </c>
      <c r="CI69" s="151">
        <f t="array" ref="CI69">IF(CI$3&lt;=INDEX(Inputs!$C:$C,MATCH("End Year",Inputs!$B:$B,0))*12,IF(CI$3=INDEX(Inputs!$C:$C,MATCH("Refi Year",Inputs!$B:$B,0))*12+1,CI61+CI55-INDEX(Inputs!$C:$C,MATCH("*Refi Closing Costs ($)*",Inputs!$B:$B,0)),0),0)</f>
        <v>0</v>
      </c>
      <c r="CJ69" s="151">
        <f t="array" ref="CJ69">IF(CJ$3&lt;=INDEX(Inputs!$C:$C,MATCH("End Year",Inputs!$B:$B,0))*12,IF(CJ$3=INDEX(Inputs!$C:$C,MATCH("Refi Year",Inputs!$B:$B,0))*12+1,CJ61+CJ55-INDEX(Inputs!$C:$C,MATCH("*Refi Closing Costs ($)*",Inputs!$B:$B,0)),0),0)</f>
        <v>0</v>
      </c>
      <c r="CK69" s="151">
        <f t="array" ref="CK69">IF(CK$3&lt;=INDEX(Inputs!$C:$C,MATCH("End Year",Inputs!$B:$B,0))*12,IF(CK$3=INDEX(Inputs!$C:$C,MATCH("Refi Year",Inputs!$B:$B,0))*12+1,CK61+CK55-INDEX(Inputs!$C:$C,MATCH("*Refi Closing Costs ($)*",Inputs!$B:$B,0)),0),0)</f>
        <v>0</v>
      </c>
      <c r="CL69" s="151">
        <f t="array" ref="CL69">IF(CL$3&lt;=INDEX(Inputs!$C:$C,MATCH("End Year",Inputs!$B:$B,0))*12,IF(CL$3=INDEX(Inputs!$C:$C,MATCH("Refi Year",Inputs!$B:$B,0))*12+1,CL61+CL55-INDEX(Inputs!$C:$C,MATCH("*Refi Closing Costs ($)*",Inputs!$B:$B,0)),0),0)</f>
        <v>0</v>
      </c>
      <c r="CM69" s="151">
        <f t="array" ref="CM69">IF(CM$3&lt;=INDEX(Inputs!$C:$C,MATCH("End Year",Inputs!$B:$B,0))*12,IF(CM$3=INDEX(Inputs!$C:$C,MATCH("Refi Year",Inputs!$B:$B,0))*12+1,CM61+CM55-INDEX(Inputs!$C:$C,MATCH("*Refi Closing Costs ($)*",Inputs!$B:$B,0)),0),0)</f>
        <v>0</v>
      </c>
      <c r="CN69" s="151">
        <f t="array" ref="CN69">IF(CN$3&lt;=INDEX(Inputs!$C:$C,MATCH("End Year",Inputs!$B:$B,0))*12,IF(CN$3=INDEX(Inputs!$C:$C,MATCH("Refi Year",Inputs!$B:$B,0))*12+1,CN61+CN55-INDEX(Inputs!$C:$C,MATCH("*Refi Closing Costs ($)*",Inputs!$B:$B,0)),0),0)</f>
        <v>0</v>
      </c>
      <c r="CO69" s="151">
        <f t="array" ref="CO69">IF(CO$3&lt;=INDEX(Inputs!$C:$C,MATCH("End Year",Inputs!$B:$B,0))*12,IF(CO$3=INDEX(Inputs!$C:$C,MATCH("Refi Year",Inputs!$B:$B,0))*12+1,CO61+CO55-INDEX(Inputs!$C:$C,MATCH("*Refi Closing Costs ($)*",Inputs!$B:$B,0)),0),0)</f>
        <v>0</v>
      </c>
      <c r="CP69" s="151">
        <f t="array" ref="CP69">IF(CP$3&lt;=INDEX(Inputs!$C:$C,MATCH("End Year",Inputs!$B:$B,0))*12,IF(CP$3=INDEX(Inputs!$C:$C,MATCH("Refi Year",Inputs!$B:$B,0))*12+1,CP61+CP55-INDEX(Inputs!$C:$C,MATCH("*Refi Closing Costs ($)*",Inputs!$B:$B,0)),0),0)</f>
        <v>0</v>
      </c>
      <c r="CQ69" s="151">
        <f t="array" ref="CQ69">IF(CQ$3&lt;=INDEX(Inputs!$C:$C,MATCH("End Year",Inputs!$B:$B,0))*12,IF(CQ$3=INDEX(Inputs!$C:$C,MATCH("Refi Year",Inputs!$B:$B,0))*12+1,CQ61+CQ55-INDEX(Inputs!$C:$C,MATCH("*Refi Closing Costs ($)*",Inputs!$B:$B,0)),0),0)</f>
        <v>0</v>
      </c>
      <c r="CR69" s="151">
        <f t="array" ref="CR69">IF(CR$3&lt;=INDEX(Inputs!$C:$C,MATCH("End Year",Inputs!$B:$B,0))*12,IF(CR$3=INDEX(Inputs!$C:$C,MATCH("Refi Year",Inputs!$B:$B,0))*12+1,CR61+CR55-INDEX(Inputs!$C:$C,MATCH("*Refi Closing Costs ($)*",Inputs!$B:$B,0)),0),0)</f>
        <v>0</v>
      </c>
      <c r="CS69" s="151">
        <f t="array" ref="CS69">IF(CS$3&lt;=INDEX(Inputs!$C:$C,MATCH("End Year",Inputs!$B:$B,0))*12,IF(CS$3=INDEX(Inputs!$C:$C,MATCH("Refi Year",Inputs!$B:$B,0))*12+1,CS61+CS55-INDEX(Inputs!$C:$C,MATCH("*Refi Closing Costs ($)*",Inputs!$B:$B,0)),0),0)</f>
        <v>0</v>
      </c>
      <c r="CT69" s="151">
        <f t="array" ref="CT69">IF(CT$3&lt;=INDEX(Inputs!$C:$C,MATCH("End Year",Inputs!$B:$B,0))*12,IF(CT$3=INDEX(Inputs!$C:$C,MATCH("Refi Year",Inputs!$B:$B,0))*12+1,CT61+CT55-INDEX(Inputs!$C:$C,MATCH("*Refi Closing Costs ($)*",Inputs!$B:$B,0)),0),0)</f>
        <v>0</v>
      </c>
      <c r="CU69" s="151">
        <f t="array" ref="CU69">IF(CU$3&lt;=INDEX(Inputs!$C:$C,MATCH("End Year",Inputs!$B:$B,0))*12,IF(CU$3=INDEX(Inputs!$C:$C,MATCH("Refi Year",Inputs!$B:$B,0))*12+1,CU61+CU55-INDEX(Inputs!$C:$C,MATCH("*Refi Closing Costs ($)*",Inputs!$B:$B,0)),0),0)</f>
        <v>0</v>
      </c>
      <c r="CV69" s="151">
        <f t="array" ref="CV69">IF(CV$3&lt;=INDEX(Inputs!$C:$C,MATCH("End Year",Inputs!$B:$B,0))*12,IF(CV$3=INDEX(Inputs!$C:$C,MATCH("Refi Year",Inputs!$B:$B,0))*12+1,CV61+CV55-INDEX(Inputs!$C:$C,MATCH("*Refi Closing Costs ($)*",Inputs!$B:$B,0)),0),0)</f>
        <v>0</v>
      </c>
      <c r="CW69" s="151">
        <f t="array" ref="CW69">IF(CW$3&lt;=INDEX(Inputs!$C:$C,MATCH("End Year",Inputs!$B:$B,0))*12,IF(CW$3=INDEX(Inputs!$C:$C,MATCH("Refi Year",Inputs!$B:$B,0))*12+1,CW61+CW55-INDEX(Inputs!$C:$C,MATCH("*Refi Closing Costs ($)*",Inputs!$B:$B,0)),0),0)</f>
        <v>0</v>
      </c>
      <c r="CX69" s="151">
        <f t="array" ref="CX69">IF(CX$3&lt;=INDEX(Inputs!$C:$C,MATCH("End Year",Inputs!$B:$B,0))*12,IF(CX$3=INDEX(Inputs!$C:$C,MATCH("Refi Year",Inputs!$B:$B,0))*12+1,CX61+CX55-INDEX(Inputs!$C:$C,MATCH("*Refi Closing Costs ($)*",Inputs!$B:$B,0)),0),0)</f>
        <v>0</v>
      </c>
      <c r="CY69" s="151">
        <f t="array" ref="CY69">IF(CY$3&lt;=INDEX(Inputs!$C:$C,MATCH("End Year",Inputs!$B:$B,0))*12,IF(CY$3=INDEX(Inputs!$C:$C,MATCH("Refi Year",Inputs!$B:$B,0))*12+1,CY61+CY55-INDEX(Inputs!$C:$C,MATCH("*Refi Closing Costs ($)*",Inputs!$B:$B,0)),0),0)</f>
        <v>0</v>
      </c>
      <c r="CZ69" s="151">
        <f t="array" ref="CZ69">IF(CZ$3&lt;=INDEX(Inputs!$C:$C,MATCH("End Year",Inputs!$B:$B,0))*12,IF(CZ$3=INDEX(Inputs!$C:$C,MATCH("Refi Year",Inputs!$B:$B,0))*12+1,CZ61+CZ55-INDEX(Inputs!$C:$C,MATCH("*Refi Closing Costs ($)*",Inputs!$B:$B,0)),0),0)</f>
        <v>0</v>
      </c>
      <c r="DA69" s="151">
        <f t="array" ref="DA69">IF(DA$3&lt;=INDEX(Inputs!$C:$C,MATCH("End Year",Inputs!$B:$B,0))*12,IF(DA$3=INDEX(Inputs!$C:$C,MATCH("Refi Year",Inputs!$B:$B,0))*12+1,DA61+DA55-INDEX(Inputs!$C:$C,MATCH("*Refi Closing Costs ($)*",Inputs!$B:$B,0)),0),0)</f>
        <v>0</v>
      </c>
      <c r="DB69" s="151">
        <f t="array" ref="DB69">IF(DB$3&lt;=INDEX(Inputs!$C:$C,MATCH("End Year",Inputs!$B:$B,0))*12,IF(DB$3=INDEX(Inputs!$C:$C,MATCH("Refi Year",Inputs!$B:$B,0))*12+1,DB61+DB55-INDEX(Inputs!$C:$C,MATCH("*Refi Closing Costs ($)*",Inputs!$B:$B,0)),0),0)</f>
        <v>0</v>
      </c>
      <c r="DC69" s="151">
        <f t="array" ref="DC69">IF(DC$3&lt;=INDEX(Inputs!$C:$C,MATCH("End Year",Inputs!$B:$B,0))*12,IF(DC$3=INDEX(Inputs!$C:$C,MATCH("Refi Year",Inputs!$B:$B,0))*12+1,DC61+DC55-INDEX(Inputs!$C:$C,MATCH("*Refi Closing Costs ($)*",Inputs!$B:$B,0)),0),0)</f>
        <v>0</v>
      </c>
      <c r="DD69" s="151">
        <f t="array" ref="DD69">IF(DD$3&lt;=INDEX(Inputs!$C:$C,MATCH("End Year",Inputs!$B:$B,0))*12,IF(DD$3=INDEX(Inputs!$C:$C,MATCH("Refi Year",Inputs!$B:$B,0))*12+1,DD61+DD55-INDEX(Inputs!$C:$C,MATCH("*Refi Closing Costs ($)*",Inputs!$B:$B,0)),0),0)</f>
        <v>0</v>
      </c>
      <c r="DE69" s="151">
        <f t="array" ref="DE69">IF(DE$3&lt;=INDEX(Inputs!$C:$C,MATCH("End Year",Inputs!$B:$B,0))*12,IF(DE$3=INDEX(Inputs!$C:$C,MATCH("Refi Year",Inputs!$B:$B,0))*12+1,DE61+DE55-INDEX(Inputs!$C:$C,MATCH("*Refi Closing Costs ($)*",Inputs!$B:$B,0)),0),0)</f>
        <v>0</v>
      </c>
      <c r="DF69" s="151">
        <f t="array" ref="DF69">IF(DF$3&lt;=INDEX(Inputs!$C:$C,MATCH("End Year",Inputs!$B:$B,0))*12,IF(DF$3=INDEX(Inputs!$C:$C,MATCH("Refi Year",Inputs!$B:$B,0))*12+1,DF61+DF55-INDEX(Inputs!$C:$C,MATCH("*Refi Closing Costs ($)*",Inputs!$B:$B,0)),0),0)</f>
        <v>0</v>
      </c>
      <c r="DG69" s="151">
        <f t="array" ref="DG69">IF(DG$3&lt;=INDEX(Inputs!$C:$C,MATCH("End Year",Inputs!$B:$B,0))*12,IF(DG$3=INDEX(Inputs!$C:$C,MATCH("Refi Year",Inputs!$B:$B,0))*12+1,DG61+DG55-INDEX(Inputs!$C:$C,MATCH("*Refi Closing Costs ($)*",Inputs!$B:$B,0)),0),0)</f>
        <v>0</v>
      </c>
      <c r="DH69" s="151">
        <f t="array" ref="DH69">IF(DH$3&lt;=INDEX(Inputs!$C:$C,MATCH("End Year",Inputs!$B:$B,0))*12,IF(DH$3=INDEX(Inputs!$C:$C,MATCH("Refi Year",Inputs!$B:$B,0))*12+1,DH61+DH55-INDEX(Inputs!$C:$C,MATCH("*Refi Closing Costs ($)*",Inputs!$B:$B,0)),0),0)</f>
        <v>0</v>
      </c>
      <c r="DI69" s="151">
        <f t="array" ref="DI69">IF(DI$3&lt;=INDEX(Inputs!$C:$C,MATCH("End Year",Inputs!$B:$B,0))*12,IF(DI$3=INDEX(Inputs!$C:$C,MATCH("Refi Year",Inputs!$B:$B,0))*12+1,DI61+DI55-INDEX(Inputs!$C:$C,MATCH("*Refi Closing Costs ($)*",Inputs!$B:$B,0)),0),0)</f>
        <v>0</v>
      </c>
      <c r="DJ69" s="151">
        <f t="array" ref="DJ69">IF(DJ$3&lt;=INDEX(Inputs!$C:$C,MATCH("End Year",Inputs!$B:$B,0))*12,IF(DJ$3=INDEX(Inputs!$C:$C,MATCH("Refi Year",Inputs!$B:$B,0))*12+1,DJ61+DJ55-INDEX(Inputs!$C:$C,MATCH("*Refi Closing Costs ($)*",Inputs!$B:$B,0)),0),0)</f>
        <v>0</v>
      </c>
      <c r="DK69" s="151">
        <f t="array" ref="DK69">IF(DK$3&lt;=INDEX(Inputs!$C:$C,MATCH("End Year",Inputs!$B:$B,0))*12,IF(DK$3=INDEX(Inputs!$C:$C,MATCH("Refi Year",Inputs!$B:$B,0))*12+1,DK61+DK55-INDEX(Inputs!$C:$C,MATCH("*Refi Closing Costs ($)*",Inputs!$B:$B,0)),0),0)</f>
        <v>0</v>
      </c>
      <c r="DL69" s="151">
        <f t="array" ref="DL69">IF(DL$3&lt;=INDEX(Inputs!$C:$C,MATCH("End Year",Inputs!$B:$B,0))*12,IF(DL$3=INDEX(Inputs!$C:$C,MATCH("Refi Year",Inputs!$B:$B,0))*12+1,DL61+DL55-INDEX(Inputs!$C:$C,MATCH("*Refi Closing Costs ($)*",Inputs!$B:$B,0)),0),0)</f>
        <v>0</v>
      </c>
      <c r="DM69" s="151">
        <f t="array" ref="DM69">IF(DM$3&lt;=INDEX(Inputs!$C:$C,MATCH("End Year",Inputs!$B:$B,0))*12,IF(DM$3=INDEX(Inputs!$C:$C,MATCH("Refi Year",Inputs!$B:$B,0))*12+1,DM61+DM55-INDEX(Inputs!$C:$C,MATCH("*Refi Closing Costs ($)*",Inputs!$B:$B,0)),0),0)</f>
        <v>0</v>
      </c>
      <c r="DN69" s="151">
        <f t="array" ref="DN69">IF(DN$3&lt;=INDEX(Inputs!$C:$C,MATCH("End Year",Inputs!$B:$B,0))*12,IF(DN$3=INDEX(Inputs!$C:$C,MATCH("Refi Year",Inputs!$B:$B,0))*12+1,DN61+DN55-INDEX(Inputs!$C:$C,MATCH("*Refi Closing Costs ($)*",Inputs!$B:$B,0)),0),0)</f>
        <v>0</v>
      </c>
      <c r="DO69" s="151">
        <f t="array" ref="DO69">IF(DO$3&lt;=INDEX(Inputs!$C:$C,MATCH("End Year",Inputs!$B:$B,0))*12,IF(DO$3=INDEX(Inputs!$C:$C,MATCH("Refi Year",Inputs!$B:$B,0))*12+1,DO61+DO55-INDEX(Inputs!$C:$C,MATCH("*Refi Closing Costs ($)*",Inputs!$B:$B,0)),0),0)</f>
        <v>0</v>
      </c>
      <c r="DP69" s="151">
        <f t="array" ref="DP69">IF(DP$3&lt;=INDEX(Inputs!$C:$C,MATCH("End Year",Inputs!$B:$B,0))*12,IF(DP$3=INDEX(Inputs!$C:$C,MATCH("Refi Year",Inputs!$B:$B,0))*12+1,DP61+DP55-INDEX(Inputs!$C:$C,MATCH("*Refi Closing Costs ($)*",Inputs!$B:$B,0)),0),0)</f>
        <v>0</v>
      </c>
      <c r="DQ69" s="151">
        <f t="array" ref="DQ69">IF(DQ$3&lt;=INDEX(Inputs!$C:$C,MATCH("End Year",Inputs!$B:$B,0))*12,IF(DQ$3=INDEX(Inputs!$C:$C,MATCH("Refi Year",Inputs!$B:$B,0))*12+1,DQ61+DQ55-INDEX(Inputs!$C:$C,MATCH("*Refi Closing Costs ($)*",Inputs!$B:$B,0)),0),0)</f>
        <v>0</v>
      </c>
      <c r="DR69" s="151">
        <f t="array" ref="DR69">IF(DR$3&lt;=INDEX(Inputs!$C:$C,MATCH("End Year",Inputs!$B:$B,0))*12,IF(DR$3=INDEX(Inputs!$C:$C,MATCH("Refi Year",Inputs!$B:$B,0))*12+1,DR61+DR55-INDEX(Inputs!$C:$C,MATCH("*Refi Closing Costs ($)*",Inputs!$B:$B,0)),0),0)</f>
        <v>0</v>
      </c>
      <c r="DS69" s="44">
        <f t="array" ref="DS69">IF(DS$3&lt;=INDEX(Inputs!$C:$C,MATCH("End Year",Inputs!$B:$B,0))*12,IF(DS$3=INDEX(Inputs!$C:$C,MATCH("Refi Year",Inputs!$B:$B,0))*12+1,DS61+DS55-INDEX(Inputs!$C:$C,MATCH("*Refi Closing Costs ($)*",Inputs!$B:$B,0)),0),0)</f>
        <v>0</v>
      </c>
    </row>
    <row r="70" ht="15.75" customHeight="1">
      <c r="A70" s="44"/>
      <c r="B70" s="51" t="s">
        <v>353</v>
      </c>
      <c r="C70" s="174">
        <f t="array" ref="C70">IF(C$3&lt;=INDEX(Inputs!$C:$C,MATCH("End Year",Inputs!$B:$B,0))*12,C43+C52,0)</f>
        <v>0</v>
      </c>
      <c r="D70" s="174">
        <f t="array" ref="D70">IF(D$3&lt;=INDEX(Inputs!$C:$C,MATCH("End Year",Inputs!$B:$B,0))*12,D43+D52,0)</f>
        <v>0</v>
      </c>
      <c r="E70" s="174">
        <f t="array" ref="E70">IF(E$3&lt;=INDEX(Inputs!$C:$C,MATCH("End Year",Inputs!$B:$B,0))*12,E43+E52,0)</f>
        <v>0</v>
      </c>
      <c r="F70" s="174">
        <f t="array" ref="F70">IF(F$3&lt;=INDEX(Inputs!$C:$C,MATCH("End Year",Inputs!$B:$B,0))*12,F43+F52,0)</f>
        <v>0</v>
      </c>
      <c r="G70" s="174">
        <f t="array" ref="G70">IF(G$3&lt;=INDEX(Inputs!$C:$C,MATCH("End Year",Inputs!$B:$B,0))*12,G43+G52,0)</f>
        <v>0</v>
      </c>
      <c r="H70" s="174">
        <f t="array" ref="H70">IF(H$3&lt;=INDEX(Inputs!$C:$C,MATCH("End Year",Inputs!$B:$B,0))*12,H43+H52,0)</f>
        <v>0</v>
      </c>
      <c r="I70" s="174">
        <f t="array" ref="I70">IF(I$3&lt;=INDEX(Inputs!$C:$C,MATCH("End Year",Inputs!$B:$B,0))*12,I43+I52,0)</f>
        <v>0</v>
      </c>
      <c r="J70" s="174">
        <f t="array" ref="J70">IF(J$3&lt;=INDEX(Inputs!$C:$C,MATCH("End Year",Inputs!$B:$B,0))*12,J43+J52,0)</f>
        <v>0</v>
      </c>
      <c r="K70" s="174">
        <f t="array" ref="K70">IF(K$3&lt;=INDEX(Inputs!$C:$C,MATCH("End Year",Inputs!$B:$B,0))*12,K43+K52,0)</f>
        <v>0</v>
      </c>
      <c r="L70" s="174">
        <f t="array" ref="L70">IF(L$3&lt;=INDEX(Inputs!$C:$C,MATCH("End Year",Inputs!$B:$B,0))*12,L43+L52,0)</f>
        <v>0</v>
      </c>
      <c r="M70" s="174">
        <f t="array" ref="M70">IF(M$3&lt;=INDEX(Inputs!$C:$C,MATCH("End Year",Inputs!$B:$B,0))*12,M43+M52,0)</f>
        <v>0</v>
      </c>
      <c r="N70" s="174">
        <f t="array" ref="N70">IF(N$3&lt;=INDEX(Inputs!$C:$C,MATCH("End Year",Inputs!$B:$B,0))*12,N43+N52,0)</f>
        <v>0</v>
      </c>
      <c r="O70" s="174">
        <f t="array" ref="O70">IF(O$3&lt;=INDEX(Inputs!$C:$C,MATCH("End Year",Inputs!$B:$B,0))*12,O43+O52,0)</f>
        <v>0</v>
      </c>
      <c r="P70" s="174">
        <f t="array" ref="P70">IF(P$3&lt;=INDEX(Inputs!$C:$C,MATCH("End Year",Inputs!$B:$B,0))*12,P43+P52,0)</f>
        <v>0</v>
      </c>
      <c r="Q70" s="174">
        <f t="array" ref="Q70">IF(Q$3&lt;=INDEX(Inputs!$C:$C,MATCH("End Year",Inputs!$B:$B,0))*12,Q43+Q52,0)</f>
        <v>0</v>
      </c>
      <c r="R70" s="174">
        <f t="array" ref="R70">IF(R$3&lt;=INDEX(Inputs!$C:$C,MATCH("End Year",Inputs!$B:$B,0))*12,R43+R52,0)</f>
        <v>0</v>
      </c>
      <c r="S70" s="174">
        <f t="array" ref="S70">IF(S$3&lt;=INDEX(Inputs!$C:$C,MATCH("End Year",Inputs!$B:$B,0))*12,S43+S52,0)</f>
        <v>0</v>
      </c>
      <c r="T70" s="174">
        <f t="array" ref="T70">IF(T$3&lt;=INDEX(Inputs!$C:$C,MATCH("End Year",Inputs!$B:$B,0))*12,T43+T52,0)</f>
        <v>0</v>
      </c>
      <c r="U70" s="174">
        <f t="array" ref="U70">IF(U$3&lt;=INDEX(Inputs!$C:$C,MATCH("End Year",Inputs!$B:$B,0))*12,U43+U52,0)</f>
        <v>0</v>
      </c>
      <c r="V70" s="174">
        <f t="array" ref="V70">IF(V$3&lt;=INDEX(Inputs!$C:$C,MATCH("End Year",Inputs!$B:$B,0))*12,V43+V52,0)</f>
        <v>0</v>
      </c>
      <c r="W70" s="174">
        <f t="array" ref="W70">IF(W$3&lt;=INDEX(Inputs!$C:$C,MATCH("End Year",Inputs!$B:$B,0))*12,W43+W52,0)</f>
        <v>0</v>
      </c>
      <c r="X70" s="174">
        <f t="array" ref="X70">IF(X$3&lt;=INDEX(Inputs!$C:$C,MATCH("End Year",Inputs!$B:$B,0))*12,X43+X52,0)</f>
        <v>0</v>
      </c>
      <c r="Y70" s="174">
        <f t="array" ref="Y70">IF(Y$3&lt;=INDEX(Inputs!$C:$C,MATCH("End Year",Inputs!$B:$B,0))*12,Y43+Y52,0)</f>
        <v>0</v>
      </c>
      <c r="Z70" s="174">
        <f t="array" ref="Z70">IF(Z$3&lt;=INDEX(Inputs!$C:$C,MATCH("End Year",Inputs!$B:$B,0))*12,Z43+Z52,0)</f>
        <v>0</v>
      </c>
      <c r="AA70" s="174">
        <f t="array" ref="AA70">IF(AA$3&lt;=INDEX(Inputs!$C:$C,MATCH("End Year",Inputs!$B:$B,0))*12,AA43+AA52,0)</f>
        <v>0</v>
      </c>
      <c r="AB70" s="174">
        <f t="array" ref="AB70">IF(AB$3&lt;=INDEX(Inputs!$C:$C,MATCH("End Year",Inputs!$B:$B,0))*12,AB43+AB52,0)</f>
        <v>0</v>
      </c>
      <c r="AC70" s="174">
        <f t="array" ref="AC70">IF(AC$3&lt;=INDEX(Inputs!$C:$C,MATCH("End Year",Inputs!$B:$B,0))*12,AC43+AC52,0)</f>
        <v>0</v>
      </c>
      <c r="AD70" s="174">
        <f t="array" ref="AD70">IF(AD$3&lt;=INDEX(Inputs!$C:$C,MATCH("End Year",Inputs!$B:$B,0))*12,AD43+AD52,0)</f>
        <v>0</v>
      </c>
      <c r="AE70" s="174">
        <f t="array" ref="AE70">IF(AE$3&lt;=INDEX(Inputs!$C:$C,MATCH("End Year",Inputs!$B:$B,0))*12,AE43+AE52,0)</f>
        <v>0</v>
      </c>
      <c r="AF70" s="174">
        <f t="array" ref="AF70">IF(AF$3&lt;=INDEX(Inputs!$C:$C,MATCH("End Year",Inputs!$B:$B,0))*12,AF43+AF52,0)</f>
        <v>0</v>
      </c>
      <c r="AG70" s="174">
        <f t="array" ref="AG70">IF(AG$3&lt;=INDEX(Inputs!$C:$C,MATCH("End Year",Inputs!$B:$B,0))*12,AG43+AG52,0)</f>
        <v>0</v>
      </c>
      <c r="AH70" s="174">
        <f t="array" ref="AH70">IF(AH$3&lt;=INDEX(Inputs!$C:$C,MATCH("End Year",Inputs!$B:$B,0))*12,AH43+AH52,0)</f>
        <v>0</v>
      </c>
      <c r="AI70" s="174">
        <f t="array" ref="AI70">IF(AI$3&lt;=INDEX(Inputs!$C:$C,MATCH("End Year",Inputs!$B:$B,0))*12,AI43+AI52,0)</f>
        <v>0</v>
      </c>
      <c r="AJ70" s="174">
        <f t="array" ref="AJ70">IF(AJ$3&lt;=INDEX(Inputs!$C:$C,MATCH("End Year",Inputs!$B:$B,0))*12,AJ43+AJ52,0)</f>
        <v>0</v>
      </c>
      <c r="AK70" s="174">
        <f t="array" ref="AK70">IF(AK$3&lt;=INDEX(Inputs!$C:$C,MATCH("End Year",Inputs!$B:$B,0))*12,AK43+AK52,0)</f>
        <v>0</v>
      </c>
      <c r="AL70" s="174">
        <f t="array" ref="AL70">IF(AL$3&lt;=INDEX(Inputs!$C:$C,MATCH("End Year",Inputs!$B:$B,0))*12,AL43+AL52,0)</f>
        <v>0</v>
      </c>
      <c r="AM70" s="174">
        <f t="array" ref="AM70">IF(AM$3&lt;=INDEX(Inputs!$C:$C,MATCH("End Year",Inputs!$B:$B,0))*12,AM43+AM52,0)</f>
        <v>0</v>
      </c>
      <c r="AN70" s="174">
        <f t="array" ref="AN70">IF(AN$3&lt;=INDEX(Inputs!$C:$C,MATCH("End Year",Inputs!$B:$B,0))*12,AN43+AN52,0)</f>
        <v>0</v>
      </c>
      <c r="AO70" s="174">
        <f t="array" ref="AO70">IF(AO$3&lt;=INDEX(Inputs!$C:$C,MATCH("End Year",Inputs!$B:$B,0))*12,AO43+AO52,0)</f>
        <v>0</v>
      </c>
      <c r="AP70" s="174">
        <f t="array" ref="AP70">IF(AP$3&lt;=INDEX(Inputs!$C:$C,MATCH("End Year",Inputs!$B:$B,0))*12,AP43+AP52,0)</f>
        <v>0</v>
      </c>
      <c r="AQ70" s="174">
        <f t="array" ref="AQ70">IF(AQ$3&lt;=INDEX(Inputs!$C:$C,MATCH("End Year",Inputs!$B:$B,0))*12,AQ43+AQ52,0)</f>
        <v>0</v>
      </c>
      <c r="AR70" s="174">
        <f t="array" ref="AR70">IF(AR$3&lt;=INDEX(Inputs!$C:$C,MATCH("End Year",Inputs!$B:$B,0))*12,AR43+AR52,0)</f>
        <v>0</v>
      </c>
      <c r="AS70" s="174">
        <f t="array" ref="AS70">IF(AS$3&lt;=INDEX(Inputs!$C:$C,MATCH("End Year",Inputs!$B:$B,0))*12,AS43+AS52,0)</f>
        <v>0</v>
      </c>
      <c r="AT70" s="174">
        <f t="array" ref="AT70">IF(AT$3&lt;=INDEX(Inputs!$C:$C,MATCH("End Year",Inputs!$B:$B,0))*12,AT43+AT52,0)</f>
        <v>0</v>
      </c>
      <c r="AU70" s="174">
        <f t="array" ref="AU70">IF(AU$3&lt;=INDEX(Inputs!$C:$C,MATCH("End Year",Inputs!$B:$B,0))*12,AU43+AU52,0)</f>
        <v>0</v>
      </c>
      <c r="AV70" s="174">
        <f t="array" ref="AV70">IF(AV$3&lt;=INDEX(Inputs!$C:$C,MATCH("End Year",Inputs!$B:$B,0))*12,AV43+AV52,0)</f>
        <v>0</v>
      </c>
      <c r="AW70" s="174">
        <f t="array" ref="AW70">IF(AW$3&lt;=INDEX(Inputs!$C:$C,MATCH("End Year",Inputs!$B:$B,0))*12,AW43+AW52,0)</f>
        <v>0</v>
      </c>
      <c r="AX70" s="174">
        <f t="array" ref="AX70">IF(AX$3&lt;=INDEX(Inputs!$C:$C,MATCH("End Year",Inputs!$B:$B,0))*12,AX43+AX52,0)</f>
        <v>0</v>
      </c>
      <c r="AY70" s="174">
        <f t="array" ref="AY70">IF(AY$3&lt;=INDEX(Inputs!$C:$C,MATCH("End Year",Inputs!$B:$B,0))*12,AY43+AY52,0)</f>
        <v>0</v>
      </c>
      <c r="AZ70" s="174">
        <f t="array" ref="AZ70">IF(AZ$3&lt;=INDEX(Inputs!$C:$C,MATCH("End Year",Inputs!$B:$B,0))*12,AZ43+AZ52,0)</f>
        <v>0</v>
      </c>
      <c r="BA70" s="174">
        <f t="array" ref="BA70">IF(BA$3&lt;=INDEX(Inputs!$C:$C,MATCH("End Year",Inputs!$B:$B,0))*12,BA43+BA52,0)</f>
        <v>0</v>
      </c>
      <c r="BB70" s="174">
        <f t="array" ref="BB70">IF(BB$3&lt;=INDEX(Inputs!$C:$C,MATCH("End Year",Inputs!$B:$B,0))*12,BB43+BB52,0)</f>
        <v>0</v>
      </c>
      <c r="BC70" s="174">
        <f t="array" ref="BC70">IF(BC$3&lt;=INDEX(Inputs!$C:$C,MATCH("End Year",Inputs!$B:$B,0))*12,BC43+BC52,0)</f>
        <v>0</v>
      </c>
      <c r="BD70" s="174">
        <f t="array" ref="BD70">IF(BD$3&lt;=INDEX(Inputs!$C:$C,MATCH("End Year",Inputs!$B:$B,0))*12,BD43+BD52,0)</f>
        <v>0</v>
      </c>
      <c r="BE70" s="174">
        <f t="array" ref="BE70">IF(BE$3&lt;=INDEX(Inputs!$C:$C,MATCH("End Year",Inputs!$B:$B,0))*12,BE43+BE52,0)</f>
        <v>0</v>
      </c>
      <c r="BF70" s="174">
        <f t="array" ref="BF70">IF(BF$3&lt;=INDEX(Inputs!$C:$C,MATCH("End Year",Inputs!$B:$B,0))*12,BF43+BF52,0)</f>
        <v>0</v>
      </c>
      <c r="BG70" s="174">
        <f t="array" ref="BG70">IF(BG$3&lt;=INDEX(Inputs!$C:$C,MATCH("End Year",Inputs!$B:$B,0))*12,BG43+BG52,0)</f>
        <v>0</v>
      </c>
      <c r="BH70" s="174">
        <f t="array" ref="BH70">IF(BH$3&lt;=INDEX(Inputs!$C:$C,MATCH("End Year",Inputs!$B:$B,0))*12,BH43+BH52,0)</f>
        <v>0</v>
      </c>
      <c r="BI70" s="174">
        <f t="array" ref="BI70">IF(BI$3&lt;=INDEX(Inputs!$C:$C,MATCH("End Year",Inputs!$B:$B,0))*12,BI43+BI52,0)</f>
        <v>0</v>
      </c>
      <c r="BJ70" s="174">
        <f t="array" ref="BJ70">IF(BJ$3&lt;=INDEX(Inputs!$C:$C,MATCH("End Year",Inputs!$B:$B,0))*12,BJ43+BJ52,0)</f>
        <v>0</v>
      </c>
      <c r="BK70" s="174">
        <f t="array" ref="BK70">IF(BK$3&lt;=INDEX(Inputs!$C:$C,MATCH("End Year",Inputs!$B:$B,0))*12,BK43+BK52,0)</f>
        <v>0</v>
      </c>
      <c r="BL70" s="174">
        <f t="array" ref="BL70">IF(BL$3&lt;=INDEX(Inputs!$C:$C,MATCH("End Year",Inputs!$B:$B,0))*12,BL43+BL52,0)</f>
        <v>0</v>
      </c>
      <c r="BM70" s="174">
        <f t="array" ref="BM70">IF(BM$3&lt;=INDEX(Inputs!$C:$C,MATCH("End Year",Inputs!$B:$B,0))*12,BM43+BM52,0)</f>
        <v>0</v>
      </c>
      <c r="BN70" s="174">
        <f t="array" ref="BN70">IF(BN$3&lt;=INDEX(Inputs!$C:$C,MATCH("End Year",Inputs!$B:$B,0))*12,BN43+BN52,0)</f>
        <v>0</v>
      </c>
      <c r="BO70" s="174">
        <f t="array" ref="BO70">IF(BO$3&lt;=INDEX(Inputs!$C:$C,MATCH("End Year",Inputs!$B:$B,0))*12,BO43+BO52,0)</f>
        <v>0</v>
      </c>
      <c r="BP70" s="174">
        <f t="array" ref="BP70">IF(BP$3&lt;=INDEX(Inputs!$C:$C,MATCH("End Year",Inputs!$B:$B,0))*12,BP43+BP52,0)</f>
        <v>0</v>
      </c>
      <c r="BQ70" s="174">
        <f t="array" ref="BQ70">IF(BQ$3&lt;=INDEX(Inputs!$C:$C,MATCH("End Year",Inputs!$B:$B,0))*12,BQ43+BQ52,0)</f>
        <v>0</v>
      </c>
      <c r="BR70" s="174">
        <f t="array" ref="BR70">IF(BR$3&lt;=INDEX(Inputs!$C:$C,MATCH("End Year",Inputs!$B:$B,0))*12,BR43+BR52,0)</f>
        <v>0</v>
      </c>
      <c r="BS70" s="174">
        <f t="array" ref="BS70">IF(BS$3&lt;=INDEX(Inputs!$C:$C,MATCH("End Year",Inputs!$B:$B,0))*12,BS43+BS52,0)</f>
        <v>0</v>
      </c>
      <c r="BT70" s="174">
        <f t="array" ref="BT70">IF(BT$3&lt;=INDEX(Inputs!$C:$C,MATCH("End Year",Inputs!$B:$B,0))*12,BT43+BT52,0)</f>
        <v>0</v>
      </c>
      <c r="BU70" s="174">
        <f t="array" ref="BU70">IF(BU$3&lt;=INDEX(Inputs!$C:$C,MATCH("End Year",Inputs!$B:$B,0))*12,BU43+BU52,0)</f>
        <v>0</v>
      </c>
      <c r="BV70" s="174">
        <f t="array" ref="BV70">IF(BV$3&lt;=INDEX(Inputs!$C:$C,MATCH("End Year",Inputs!$B:$B,0))*12,BV43+BV52,0)</f>
        <v>0</v>
      </c>
      <c r="BW70" s="174">
        <f t="array" ref="BW70">IF(BW$3&lt;=INDEX(Inputs!$C:$C,MATCH("End Year",Inputs!$B:$B,0))*12,BW43+BW52,0)</f>
        <v>0</v>
      </c>
      <c r="BX70" s="174">
        <f t="array" ref="BX70">IF(BX$3&lt;=INDEX(Inputs!$C:$C,MATCH("End Year",Inputs!$B:$B,0))*12,BX43+BX52,0)</f>
        <v>0</v>
      </c>
      <c r="BY70" s="174">
        <f t="array" ref="BY70">IF(BY$3&lt;=INDEX(Inputs!$C:$C,MATCH("End Year",Inputs!$B:$B,0))*12,BY43+BY52,0)</f>
        <v>0</v>
      </c>
      <c r="BZ70" s="174">
        <f t="array" ref="BZ70">IF(BZ$3&lt;=INDEX(Inputs!$C:$C,MATCH("End Year",Inputs!$B:$B,0))*12,BZ43+BZ52,0)</f>
        <v>0</v>
      </c>
      <c r="CA70" s="174">
        <f t="array" ref="CA70">IF(CA$3&lt;=INDEX(Inputs!$C:$C,MATCH("End Year",Inputs!$B:$B,0))*12,CA43+CA52,0)</f>
        <v>0</v>
      </c>
      <c r="CB70" s="174">
        <f t="array" ref="CB70">IF(CB$3&lt;=INDEX(Inputs!$C:$C,MATCH("End Year",Inputs!$B:$B,0))*12,CB43+CB52,0)</f>
        <v>0</v>
      </c>
      <c r="CC70" s="174">
        <f t="array" ref="CC70">IF(CC$3&lt;=INDEX(Inputs!$C:$C,MATCH("End Year",Inputs!$B:$B,0))*12,CC43+CC52,0)</f>
        <v>0</v>
      </c>
      <c r="CD70" s="174">
        <f t="array" ref="CD70">IF(CD$3&lt;=INDEX(Inputs!$C:$C,MATCH("End Year",Inputs!$B:$B,0))*12,CD43+CD52,0)</f>
        <v>0</v>
      </c>
      <c r="CE70" s="174">
        <f t="array" ref="CE70">IF(CE$3&lt;=INDEX(Inputs!$C:$C,MATCH("End Year",Inputs!$B:$B,0))*12,CE43+CE52,0)</f>
        <v>0</v>
      </c>
      <c r="CF70" s="174">
        <f t="array" ref="CF70">IF(CF$3&lt;=INDEX(Inputs!$C:$C,MATCH("End Year",Inputs!$B:$B,0))*12,CF43+CF52,0)</f>
        <v>0</v>
      </c>
      <c r="CG70" s="174">
        <f t="array" ref="CG70">IF(CG$3&lt;=INDEX(Inputs!$C:$C,MATCH("End Year",Inputs!$B:$B,0))*12,CG43+CG52,0)</f>
        <v>0</v>
      </c>
      <c r="CH70" s="174">
        <f t="array" ref="CH70">IF(CH$3&lt;=INDEX(Inputs!$C:$C,MATCH("End Year",Inputs!$B:$B,0))*12,CH43+CH52,0)</f>
        <v>0</v>
      </c>
      <c r="CI70" s="174">
        <f t="array" ref="CI70">IF(CI$3&lt;=INDEX(Inputs!$C:$C,MATCH("End Year",Inputs!$B:$B,0))*12,CI43+CI52,0)</f>
        <v>0</v>
      </c>
      <c r="CJ70" s="174">
        <f t="array" ref="CJ70">IF(CJ$3&lt;=INDEX(Inputs!$C:$C,MATCH("End Year",Inputs!$B:$B,0))*12,CJ43+CJ52,0)</f>
        <v>0</v>
      </c>
      <c r="CK70" s="174">
        <f t="array" ref="CK70">IF(CK$3&lt;=INDEX(Inputs!$C:$C,MATCH("End Year",Inputs!$B:$B,0))*12,CK43+CK52,0)</f>
        <v>0</v>
      </c>
      <c r="CL70" s="174">
        <f t="array" ref="CL70">IF(CL$3&lt;=INDEX(Inputs!$C:$C,MATCH("End Year",Inputs!$B:$B,0))*12,CL43+CL52,0)</f>
        <v>0</v>
      </c>
      <c r="CM70" s="174">
        <f t="array" ref="CM70">IF(CM$3&lt;=INDEX(Inputs!$C:$C,MATCH("End Year",Inputs!$B:$B,0))*12,CM43+CM52,0)</f>
        <v>0</v>
      </c>
      <c r="CN70" s="174">
        <f t="array" ref="CN70">IF(CN$3&lt;=INDEX(Inputs!$C:$C,MATCH("End Year",Inputs!$B:$B,0))*12,CN43+CN52,0)</f>
        <v>0</v>
      </c>
      <c r="CO70" s="174">
        <f t="array" ref="CO70">IF(CO$3&lt;=INDEX(Inputs!$C:$C,MATCH("End Year",Inputs!$B:$B,0))*12,CO43+CO52,0)</f>
        <v>0</v>
      </c>
      <c r="CP70" s="174">
        <f t="array" ref="CP70">IF(CP$3&lt;=INDEX(Inputs!$C:$C,MATCH("End Year",Inputs!$B:$B,0))*12,CP43+CP52,0)</f>
        <v>0</v>
      </c>
      <c r="CQ70" s="174">
        <f t="array" ref="CQ70">IF(CQ$3&lt;=INDEX(Inputs!$C:$C,MATCH("End Year",Inputs!$B:$B,0))*12,CQ43+CQ52,0)</f>
        <v>0</v>
      </c>
      <c r="CR70" s="174">
        <f t="array" ref="CR70">IF(CR$3&lt;=INDEX(Inputs!$C:$C,MATCH("End Year",Inputs!$B:$B,0))*12,CR43+CR52,0)</f>
        <v>0</v>
      </c>
      <c r="CS70" s="174">
        <f t="array" ref="CS70">IF(CS$3&lt;=INDEX(Inputs!$C:$C,MATCH("End Year",Inputs!$B:$B,0))*12,CS43+CS52,0)</f>
        <v>0</v>
      </c>
      <c r="CT70" s="174">
        <f t="array" ref="CT70">IF(CT$3&lt;=INDEX(Inputs!$C:$C,MATCH("End Year",Inputs!$B:$B,0))*12,CT43+CT52,0)</f>
        <v>0</v>
      </c>
      <c r="CU70" s="174">
        <f t="array" ref="CU70">IF(CU$3&lt;=INDEX(Inputs!$C:$C,MATCH("End Year",Inputs!$B:$B,0))*12,CU43+CU52,0)</f>
        <v>0</v>
      </c>
      <c r="CV70" s="174">
        <f t="array" ref="CV70">IF(CV$3&lt;=INDEX(Inputs!$C:$C,MATCH("End Year",Inputs!$B:$B,0))*12,CV43+CV52,0)</f>
        <v>0</v>
      </c>
      <c r="CW70" s="174">
        <f t="array" ref="CW70">IF(CW$3&lt;=INDEX(Inputs!$C:$C,MATCH("End Year",Inputs!$B:$B,0))*12,CW43+CW52,0)</f>
        <v>0</v>
      </c>
      <c r="CX70" s="174">
        <f t="array" ref="CX70">IF(CX$3&lt;=INDEX(Inputs!$C:$C,MATCH("End Year",Inputs!$B:$B,0))*12,CX43+CX52,0)</f>
        <v>0</v>
      </c>
      <c r="CY70" s="174">
        <f t="array" ref="CY70">IF(CY$3&lt;=INDEX(Inputs!$C:$C,MATCH("End Year",Inputs!$B:$B,0))*12,CY43+CY52,0)</f>
        <v>0</v>
      </c>
      <c r="CZ70" s="174">
        <f t="array" ref="CZ70">IF(CZ$3&lt;=INDEX(Inputs!$C:$C,MATCH("End Year",Inputs!$B:$B,0))*12,CZ43+CZ52,0)</f>
        <v>0</v>
      </c>
      <c r="DA70" s="174">
        <f t="array" ref="DA70">IF(DA$3&lt;=INDEX(Inputs!$C:$C,MATCH("End Year",Inputs!$B:$B,0))*12,DA43+DA52,0)</f>
        <v>0</v>
      </c>
      <c r="DB70" s="174">
        <f t="array" ref="DB70">IF(DB$3&lt;=INDEX(Inputs!$C:$C,MATCH("End Year",Inputs!$B:$B,0))*12,DB43+DB52,0)</f>
        <v>0</v>
      </c>
      <c r="DC70" s="174">
        <f t="array" ref="DC70">IF(DC$3&lt;=INDEX(Inputs!$C:$C,MATCH("End Year",Inputs!$B:$B,0))*12,DC43+DC52,0)</f>
        <v>0</v>
      </c>
      <c r="DD70" s="174">
        <f t="array" ref="DD70">IF(DD$3&lt;=INDEX(Inputs!$C:$C,MATCH("End Year",Inputs!$B:$B,0))*12,DD43+DD52,0)</f>
        <v>0</v>
      </c>
      <c r="DE70" s="174">
        <f t="array" ref="DE70">IF(DE$3&lt;=INDEX(Inputs!$C:$C,MATCH("End Year",Inputs!$B:$B,0))*12,DE43+DE52,0)</f>
        <v>0</v>
      </c>
      <c r="DF70" s="174">
        <f t="array" ref="DF70">IF(DF$3&lt;=INDEX(Inputs!$C:$C,MATCH("End Year",Inputs!$B:$B,0))*12,DF43+DF52,0)</f>
        <v>0</v>
      </c>
      <c r="DG70" s="174">
        <f t="array" ref="DG70">IF(DG$3&lt;=INDEX(Inputs!$C:$C,MATCH("End Year",Inputs!$B:$B,0))*12,DG43+DG52,0)</f>
        <v>0</v>
      </c>
      <c r="DH70" s="174">
        <f t="array" ref="DH70">IF(DH$3&lt;=INDEX(Inputs!$C:$C,MATCH("End Year",Inputs!$B:$B,0))*12,DH43+DH52,0)</f>
        <v>0</v>
      </c>
      <c r="DI70" s="174">
        <f t="array" ref="DI70">IF(DI$3&lt;=INDEX(Inputs!$C:$C,MATCH("End Year",Inputs!$B:$B,0))*12,DI43+DI52,0)</f>
        <v>0</v>
      </c>
      <c r="DJ70" s="174">
        <f t="array" ref="DJ70">IF(DJ$3&lt;=INDEX(Inputs!$C:$C,MATCH("End Year",Inputs!$B:$B,0))*12,DJ43+DJ52,0)</f>
        <v>0</v>
      </c>
      <c r="DK70" s="174">
        <f t="array" ref="DK70">IF(DK$3&lt;=INDEX(Inputs!$C:$C,MATCH("End Year",Inputs!$B:$B,0))*12,DK43+DK52,0)</f>
        <v>0</v>
      </c>
      <c r="DL70" s="174">
        <f t="array" ref="DL70">IF(DL$3&lt;=INDEX(Inputs!$C:$C,MATCH("End Year",Inputs!$B:$B,0))*12,DL43+DL52,0)</f>
        <v>0</v>
      </c>
      <c r="DM70" s="174">
        <f t="array" ref="DM70">IF(DM$3&lt;=INDEX(Inputs!$C:$C,MATCH("End Year",Inputs!$B:$B,0))*12,DM43+DM52,0)</f>
        <v>0</v>
      </c>
      <c r="DN70" s="174">
        <f t="array" ref="DN70">IF(DN$3&lt;=INDEX(Inputs!$C:$C,MATCH("End Year",Inputs!$B:$B,0))*12,DN43+DN52,0)</f>
        <v>0</v>
      </c>
      <c r="DO70" s="174">
        <f t="array" ref="DO70">IF(DO$3&lt;=INDEX(Inputs!$C:$C,MATCH("End Year",Inputs!$B:$B,0))*12,DO43+DO52,0)</f>
        <v>0</v>
      </c>
      <c r="DP70" s="174">
        <f t="array" ref="DP70">IF(DP$3&lt;=INDEX(Inputs!$C:$C,MATCH("End Year",Inputs!$B:$B,0))*12,DP43+DP52,0)</f>
        <v>0</v>
      </c>
      <c r="DQ70" s="174">
        <f t="array" ref="DQ70">IF(DQ$3&lt;=INDEX(Inputs!$C:$C,MATCH("End Year",Inputs!$B:$B,0))*12,DQ43+DQ52,0)</f>
        <v>0</v>
      </c>
      <c r="DR70" s="174">
        <f t="array" ref="DR70">IF(DR$3&lt;=INDEX(Inputs!$C:$C,MATCH("End Year",Inputs!$B:$B,0))*12,DR43+DR52,0)</f>
        <v>0</v>
      </c>
      <c r="DS70" s="44">
        <f t="array" ref="DS70">IF(DS$3&lt;=INDEX(Inputs!$C:$C,MATCH("End Year",Inputs!$B:$B,0))*12,DS43+DS52,0)</f>
        <v>0</v>
      </c>
    </row>
    <row r="71" ht="16.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</row>
    <row r="72" ht="15.0" customHeight="1">
      <c r="A72" s="44"/>
      <c r="B72" s="158" t="s">
        <v>354</v>
      </c>
      <c r="C72" s="160">
        <f t="shared" ref="C72:DS72" si="8">C48+C57+C66</f>
        <v>0</v>
      </c>
      <c r="D72" s="160">
        <f t="shared" si="8"/>
        <v>0</v>
      </c>
      <c r="E72" s="160">
        <f t="shared" si="8"/>
        <v>0</v>
      </c>
      <c r="F72" s="160">
        <f t="shared" si="8"/>
        <v>0</v>
      </c>
      <c r="G72" s="160">
        <f t="shared" si="8"/>
        <v>0</v>
      </c>
      <c r="H72" s="160">
        <f t="shared" si="8"/>
        <v>0</v>
      </c>
      <c r="I72" s="160">
        <f t="shared" si="8"/>
        <v>0</v>
      </c>
      <c r="J72" s="160">
        <f t="shared" si="8"/>
        <v>0</v>
      </c>
      <c r="K72" s="160">
        <f t="shared" si="8"/>
        <v>0</v>
      </c>
      <c r="L72" s="160">
        <f t="shared" si="8"/>
        <v>0</v>
      </c>
      <c r="M72" s="160">
        <f t="shared" si="8"/>
        <v>0</v>
      </c>
      <c r="N72" s="160">
        <f t="shared" si="8"/>
        <v>0</v>
      </c>
      <c r="O72" s="160">
        <f t="shared" si="8"/>
        <v>0</v>
      </c>
      <c r="P72" s="160">
        <f t="shared" si="8"/>
        <v>0</v>
      </c>
      <c r="Q72" s="160">
        <f t="shared" si="8"/>
        <v>0</v>
      </c>
      <c r="R72" s="160">
        <f t="shared" si="8"/>
        <v>0</v>
      </c>
      <c r="S72" s="160">
        <f t="shared" si="8"/>
        <v>0</v>
      </c>
      <c r="T72" s="160">
        <f t="shared" si="8"/>
        <v>0</v>
      </c>
      <c r="U72" s="160">
        <f t="shared" si="8"/>
        <v>0</v>
      </c>
      <c r="V72" s="160">
        <f t="shared" si="8"/>
        <v>0</v>
      </c>
      <c r="W72" s="160">
        <f t="shared" si="8"/>
        <v>0</v>
      </c>
      <c r="X72" s="160">
        <f t="shared" si="8"/>
        <v>0</v>
      </c>
      <c r="Y72" s="160">
        <f t="shared" si="8"/>
        <v>0</v>
      </c>
      <c r="Z72" s="160">
        <f t="shared" si="8"/>
        <v>0</v>
      </c>
      <c r="AA72" s="160">
        <f t="shared" si="8"/>
        <v>0</v>
      </c>
      <c r="AB72" s="160">
        <f t="shared" si="8"/>
        <v>0</v>
      </c>
      <c r="AC72" s="160">
        <f t="shared" si="8"/>
        <v>0</v>
      </c>
      <c r="AD72" s="160">
        <f t="shared" si="8"/>
        <v>0</v>
      </c>
      <c r="AE72" s="160">
        <f t="shared" si="8"/>
        <v>0</v>
      </c>
      <c r="AF72" s="160">
        <f t="shared" si="8"/>
        <v>0</v>
      </c>
      <c r="AG72" s="160">
        <f t="shared" si="8"/>
        <v>0</v>
      </c>
      <c r="AH72" s="160">
        <f t="shared" si="8"/>
        <v>0</v>
      </c>
      <c r="AI72" s="160">
        <f t="shared" si="8"/>
        <v>0</v>
      </c>
      <c r="AJ72" s="160">
        <f t="shared" si="8"/>
        <v>0</v>
      </c>
      <c r="AK72" s="160">
        <f t="shared" si="8"/>
        <v>0</v>
      </c>
      <c r="AL72" s="160">
        <f t="shared" si="8"/>
        <v>0</v>
      </c>
      <c r="AM72" s="160">
        <f t="shared" si="8"/>
        <v>0</v>
      </c>
      <c r="AN72" s="160">
        <f t="shared" si="8"/>
        <v>0</v>
      </c>
      <c r="AO72" s="160">
        <f t="shared" si="8"/>
        <v>0</v>
      </c>
      <c r="AP72" s="160">
        <f t="shared" si="8"/>
        <v>0</v>
      </c>
      <c r="AQ72" s="160">
        <f t="shared" si="8"/>
        <v>0</v>
      </c>
      <c r="AR72" s="160">
        <f t="shared" si="8"/>
        <v>0</v>
      </c>
      <c r="AS72" s="160">
        <f t="shared" si="8"/>
        <v>0</v>
      </c>
      <c r="AT72" s="160">
        <f t="shared" si="8"/>
        <v>0</v>
      </c>
      <c r="AU72" s="160">
        <f t="shared" si="8"/>
        <v>0</v>
      </c>
      <c r="AV72" s="160">
        <f t="shared" si="8"/>
        <v>0</v>
      </c>
      <c r="AW72" s="160">
        <f t="shared" si="8"/>
        <v>0</v>
      </c>
      <c r="AX72" s="160">
        <f t="shared" si="8"/>
        <v>0</v>
      </c>
      <c r="AY72" s="160">
        <f t="shared" si="8"/>
        <v>0</v>
      </c>
      <c r="AZ72" s="160">
        <f t="shared" si="8"/>
        <v>0</v>
      </c>
      <c r="BA72" s="160">
        <f t="shared" si="8"/>
        <v>0</v>
      </c>
      <c r="BB72" s="160">
        <f t="shared" si="8"/>
        <v>0</v>
      </c>
      <c r="BC72" s="160">
        <f t="shared" si="8"/>
        <v>0</v>
      </c>
      <c r="BD72" s="160">
        <f t="shared" si="8"/>
        <v>0</v>
      </c>
      <c r="BE72" s="160">
        <f t="shared" si="8"/>
        <v>0</v>
      </c>
      <c r="BF72" s="160">
        <f t="shared" si="8"/>
        <v>0</v>
      </c>
      <c r="BG72" s="160">
        <f t="shared" si="8"/>
        <v>0</v>
      </c>
      <c r="BH72" s="160">
        <f t="shared" si="8"/>
        <v>0</v>
      </c>
      <c r="BI72" s="160">
        <f t="shared" si="8"/>
        <v>0</v>
      </c>
      <c r="BJ72" s="160">
        <f t="shared" si="8"/>
        <v>0</v>
      </c>
      <c r="BK72" s="160">
        <f t="shared" si="8"/>
        <v>0</v>
      </c>
      <c r="BL72" s="160">
        <f t="shared" si="8"/>
        <v>0</v>
      </c>
      <c r="BM72" s="160">
        <f t="shared" si="8"/>
        <v>0</v>
      </c>
      <c r="BN72" s="160">
        <f t="shared" si="8"/>
        <v>0</v>
      </c>
      <c r="BO72" s="160">
        <f t="shared" si="8"/>
        <v>0</v>
      </c>
      <c r="BP72" s="160">
        <f t="shared" si="8"/>
        <v>0</v>
      </c>
      <c r="BQ72" s="160">
        <f t="shared" si="8"/>
        <v>0</v>
      </c>
      <c r="BR72" s="160">
        <f t="shared" si="8"/>
        <v>0</v>
      </c>
      <c r="BS72" s="160">
        <f t="shared" si="8"/>
        <v>0</v>
      </c>
      <c r="BT72" s="160">
        <f t="shared" si="8"/>
        <v>0</v>
      </c>
      <c r="BU72" s="160">
        <f t="shared" si="8"/>
        <v>0</v>
      </c>
      <c r="BV72" s="160">
        <f t="shared" si="8"/>
        <v>0</v>
      </c>
      <c r="BW72" s="160">
        <f t="shared" si="8"/>
        <v>0</v>
      </c>
      <c r="BX72" s="160">
        <f t="shared" si="8"/>
        <v>0</v>
      </c>
      <c r="BY72" s="160">
        <f t="shared" si="8"/>
        <v>0</v>
      </c>
      <c r="BZ72" s="160">
        <f t="shared" si="8"/>
        <v>0</v>
      </c>
      <c r="CA72" s="160">
        <f t="shared" si="8"/>
        <v>0</v>
      </c>
      <c r="CB72" s="160">
        <f t="shared" si="8"/>
        <v>0</v>
      </c>
      <c r="CC72" s="160">
        <f t="shared" si="8"/>
        <v>0</v>
      </c>
      <c r="CD72" s="160">
        <f t="shared" si="8"/>
        <v>0</v>
      </c>
      <c r="CE72" s="160">
        <f t="shared" si="8"/>
        <v>0</v>
      </c>
      <c r="CF72" s="160">
        <f t="shared" si="8"/>
        <v>0</v>
      </c>
      <c r="CG72" s="160">
        <f t="shared" si="8"/>
        <v>0</v>
      </c>
      <c r="CH72" s="160">
        <f t="shared" si="8"/>
        <v>0</v>
      </c>
      <c r="CI72" s="160">
        <f t="shared" si="8"/>
        <v>0</v>
      </c>
      <c r="CJ72" s="160">
        <f t="shared" si="8"/>
        <v>0</v>
      </c>
      <c r="CK72" s="160">
        <f t="shared" si="8"/>
        <v>0</v>
      </c>
      <c r="CL72" s="160">
        <f t="shared" si="8"/>
        <v>0</v>
      </c>
      <c r="CM72" s="160">
        <f t="shared" si="8"/>
        <v>0</v>
      </c>
      <c r="CN72" s="160">
        <f t="shared" si="8"/>
        <v>0</v>
      </c>
      <c r="CO72" s="160">
        <f t="shared" si="8"/>
        <v>0</v>
      </c>
      <c r="CP72" s="160">
        <f t="shared" si="8"/>
        <v>0</v>
      </c>
      <c r="CQ72" s="160">
        <f t="shared" si="8"/>
        <v>0</v>
      </c>
      <c r="CR72" s="160">
        <f t="shared" si="8"/>
        <v>0</v>
      </c>
      <c r="CS72" s="160">
        <f t="shared" si="8"/>
        <v>0</v>
      </c>
      <c r="CT72" s="160">
        <f t="shared" si="8"/>
        <v>0</v>
      </c>
      <c r="CU72" s="160">
        <f t="shared" si="8"/>
        <v>0</v>
      </c>
      <c r="CV72" s="160">
        <f t="shared" si="8"/>
        <v>0</v>
      </c>
      <c r="CW72" s="160">
        <f t="shared" si="8"/>
        <v>0</v>
      </c>
      <c r="CX72" s="160">
        <f t="shared" si="8"/>
        <v>0</v>
      </c>
      <c r="CY72" s="160">
        <f t="shared" si="8"/>
        <v>0</v>
      </c>
      <c r="CZ72" s="160">
        <f t="shared" si="8"/>
        <v>0</v>
      </c>
      <c r="DA72" s="160">
        <f t="shared" si="8"/>
        <v>0</v>
      </c>
      <c r="DB72" s="160">
        <f t="shared" si="8"/>
        <v>0</v>
      </c>
      <c r="DC72" s="160">
        <f t="shared" si="8"/>
        <v>0</v>
      </c>
      <c r="DD72" s="160">
        <f t="shared" si="8"/>
        <v>0</v>
      </c>
      <c r="DE72" s="160">
        <f t="shared" si="8"/>
        <v>0</v>
      </c>
      <c r="DF72" s="160">
        <f t="shared" si="8"/>
        <v>0</v>
      </c>
      <c r="DG72" s="160">
        <f t="shared" si="8"/>
        <v>0</v>
      </c>
      <c r="DH72" s="160">
        <f t="shared" si="8"/>
        <v>0</v>
      </c>
      <c r="DI72" s="160">
        <f t="shared" si="8"/>
        <v>0</v>
      </c>
      <c r="DJ72" s="160">
        <f t="shared" si="8"/>
        <v>0</v>
      </c>
      <c r="DK72" s="160">
        <f t="shared" si="8"/>
        <v>0</v>
      </c>
      <c r="DL72" s="160">
        <f t="shared" si="8"/>
        <v>0</v>
      </c>
      <c r="DM72" s="160">
        <f t="shared" si="8"/>
        <v>0</v>
      </c>
      <c r="DN72" s="160">
        <f t="shared" si="8"/>
        <v>0</v>
      </c>
      <c r="DO72" s="160">
        <f t="shared" si="8"/>
        <v>0</v>
      </c>
      <c r="DP72" s="160">
        <f t="shared" si="8"/>
        <v>0</v>
      </c>
      <c r="DQ72" s="160">
        <f t="shared" si="8"/>
        <v>0</v>
      </c>
      <c r="DR72" s="160">
        <f t="shared" si="8"/>
        <v>0</v>
      </c>
      <c r="DS72" s="44">
        <f t="shared" si="8"/>
        <v>0</v>
      </c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</row>
    <row r="74" ht="15.0" customHeight="1">
      <c r="A74" s="44"/>
      <c r="B74" s="162" t="s">
        <v>355</v>
      </c>
      <c r="C74" s="175">
        <f t="shared" ref="C74:DS74" si="9">C39+C72+C68+C69+C70</f>
        <v>-350000</v>
      </c>
      <c r="D74" s="175">
        <f t="shared" si="9"/>
        <v>0</v>
      </c>
      <c r="E74" s="163">
        <f t="shared" si="9"/>
        <v>0</v>
      </c>
      <c r="F74" s="163">
        <f t="shared" si="9"/>
        <v>0</v>
      </c>
      <c r="G74" s="163">
        <f t="shared" si="9"/>
        <v>0</v>
      </c>
      <c r="H74" s="163">
        <f t="shared" si="9"/>
        <v>0</v>
      </c>
      <c r="I74" s="163">
        <f t="shared" si="9"/>
        <v>0</v>
      </c>
      <c r="J74" s="163">
        <f t="shared" si="9"/>
        <v>0</v>
      </c>
      <c r="K74" s="163">
        <f t="shared" si="9"/>
        <v>0</v>
      </c>
      <c r="L74" s="163">
        <f t="shared" si="9"/>
        <v>0</v>
      </c>
      <c r="M74" s="163">
        <f t="shared" si="9"/>
        <v>0</v>
      </c>
      <c r="N74" s="163">
        <f t="shared" si="9"/>
        <v>0</v>
      </c>
      <c r="O74" s="163">
        <f t="shared" si="9"/>
        <v>0</v>
      </c>
      <c r="P74" s="163">
        <f t="shared" si="9"/>
        <v>0</v>
      </c>
      <c r="Q74" s="163">
        <f t="shared" si="9"/>
        <v>0</v>
      </c>
      <c r="R74" s="163">
        <f t="shared" si="9"/>
        <v>0</v>
      </c>
      <c r="S74" s="163">
        <f t="shared" si="9"/>
        <v>0</v>
      </c>
      <c r="T74" s="163">
        <f t="shared" si="9"/>
        <v>0</v>
      </c>
      <c r="U74" s="163">
        <f t="shared" si="9"/>
        <v>0</v>
      </c>
      <c r="V74" s="163">
        <f t="shared" si="9"/>
        <v>0</v>
      </c>
      <c r="W74" s="163">
        <f t="shared" si="9"/>
        <v>0</v>
      </c>
      <c r="X74" s="163">
        <f t="shared" si="9"/>
        <v>0</v>
      </c>
      <c r="Y74" s="163">
        <f t="shared" si="9"/>
        <v>0</v>
      </c>
      <c r="Z74" s="163">
        <f t="shared" si="9"/>
        <v>0</v>
      </c>
      <c r="AA74" s="163">
        <f t="shared" si="9"/>
        <v>0</v>
      </c>
      <c r="AB74" s="163">
        <f t="shared" si="9"/>
        <v>0</v>
      </c>
      <c r="AC74" s="163">
        <f t="shared" si="9"/>
        <v>0</v>
      </c>
      <c r="AD74" s="163">
        <f t="shared" si="9"/>
        <v>0</v>
      </c>
      <c r="AE74" s="163">
        <f t="shared" si="9"/>
        <v>0</v>
      </c>
      <c r="AF74" s="163">
        <f t="shared" si="9"/>
        <v>0</v>
      </c>
      <c r="AG74" s="163">
        <f t="shared" si="9"/>
        <v>0</v>
      </c>
      <c r="AH74" s="163">
        <f t="shared" si="9"/>
        <v>0</v>
      </c>
      <c r="AI74" s="163">
        <f t="shared" si="9"/>
        <v>0</v>
      </c>
      <c r="AJ74" s="163">
        <f t="shared" si="9"/>
        <v>0</v>
      </c>
      <c r="AK74" s="163">
        <f t="shared" si="9"/>
        <v>0</v>
      </c>
      <c r="AL74" s="163">
        <f t="shared" si="9"/>
        <v>0</v>
      </c>
      <c r="AM74" s="163">
        <f t="shared" si="9"/>
        <v>0</v>
      </c>
      <c r="AN74" s="163">
        <f t="shared" si="9"/>
        <v>0</v>
      </c>
      <c r="AO74" s="163">
        <f t="shared" si="9"/>
        <v>0</v>
      </c>
      <c r="AP74" s="163">
        <f t="shared" si="9"/>
        <v>0</v>
      </c>
      <c r="AQ74" s="163">
        <f t="shared" si="9"/>
        <v>0</v>
      </c>
      <c r="AR74" s="163">
        <f t="shared" si="9"/>
        <v>0</v>
      </c>
      <c r="AS74" s="163">
        <f t="shared" si="9"/>
        <v>0</v>
      </c>
      <c r="AT74" s="163">
        <f t="shared" si="9"/>
        <v>0</v>
      </c>
      <c r="AU74" s="163">
        <f t="shared" si="9"/>
        <v>0</v>
      </c>
      <c r="AV74" s="163">
        <f t="shared" si="9"/>
        <v>0</v>
      </c>
      <c r="AW74" s="163">
        <f t="shared" si="9"/>
        <v>0</v>
      </c>
      <c r="AX74" s="163">
        <f t="shared" si="9"/>
        <v>0</v>
      </c>
      <c r="AY74" s="163">
        <f t="shared" si="9"/>
        <v>0</v>
      </c>
      <c r="AZ74" s="163">
        <f t="shared" si="9"/>
        <v>0</v>
      </c>
      <c r="BA74" s="163">
        <f t="shared" si="9"/>
        <v>0</v>
      </c>
      <c r="BB74" s="163">
        <f t="shared" si="9"/>
        <v>0</v>
      </c>
      <c r="BC74" s="163">
        <f t="shared" si="9"/>
        <v>0</v>
      </c>
      <c r="BD74" s="163">
        <f t="shared" si="9"/>
        <v>0</v>
      </c>
      <c r="BE74" s="163">
        <f t="shared" si="9"/>
        <v>0</v>
      </c>
      <c r="BF74" s="163">
        <f t="shared" si="9"/>
        <v>0</v>
      </c>
      <c r="BG74" s="163">
        <f t="shared" si="9"/>
        <v>0</v>
      </c>
      <c r="BH74" s="163">
        <f t="shared" si="9"/>
        <v>0</v>
      </c>
      <c r="BI74" s="163">
        <f t="shared" si="9"/>
        <v>0</v>
      </c>
      <c r="BJ74" s="163">
        <f t="shared" si="9"/>
        <v>0</v>
      </c>
      <c r="BK74" s="163">
        <f t="shared" si="9"/>
        <v>0</v>
      </c>
      <c r="BL74" s="163">
        <f t="shared" si="9"/>
        <v>0</v>
      </c>
      <c r="BM74" s="163">
        <f t="shared" si="9"/>
        <v>0</v>
      </c>
      <c r="BN74" s="163">
        <f t="shared" si="9"/>
        <v>0</v>
      </c>
      <c r="BO74" s="163">
        <f t="shared" si="9"/>
        <v>0</v>
      </c>
      <c r="BP74" s="163">
        <f t="shared" si="9"/>
        <v>0</v>
      </c>
      <c r="BQ74" s="163">
        <f t="shared" si="9"/>
        <v>0</v>
      </c>
      <c r="BR74" s="163">
        <f t="shared" si="9"/>
        <v>0</v>
      </c>
      <c r="BS74" s="163">
        <f t="shared" si="9"/>
        <v>0</v>
      </c>
      <c r="BT74" s="163">
        <f t="shared" si="9"/>
        <v>0</v>
      </c>
      <c r="BU74" s="163">
        <f t="shared" si="9"/>
        <v>0</v>
      </c>
      <c r="BV74" s="163">
        <f t="shared" si="9"/>
        <v>0</v>
      </c>
      <c r="BW74" s="163">
        <f t="shared" si="9"/>
        <v>0</v>
      </c>
      <c r="BX74" s="163">
        <f t="shared" si="9"/>
        <v>0</v>
      </c>
      <c r="BY74" s="163">
        <f t="shared" si="9"/>
        <v>0</v>
      </c>
      <c r="BZ74" s="163">
        <f t="shared" si="9"/>
        <v>0</v>
      </c>
      <c r="CA74" s="163">
        <f t="shared" si="9"/>
        <v>0</v>
      </c>
      <c r="CB74" s="163">
        <f t="shared" si="9"/>
        <v>0</v>
      </c>
      <c r="CC74" s="163">
        <f t="shared" si="9"/>
        <v>0</v>
      </c>
      <c r="CD74" s="163">
        <f t="shared" si="9"/>
        <v>0</v>
      </c>
      <c r="CE74" s="163">
        <f t="shared" si="9"/>
        <v>0</v>
      </c>
      <c r="CF74" s="163">
        <f t="shared" si="9"/>
        <v>0</v>
      </c>
      <c r="CG74" s="163">
        <f t="shared" si="9"/>
        <v>0</v>
      </c>
      <c r="CH74" s="163">
        <f t="shared" si="9"/>
        <v>0</v>
      </c>
      <c r="CI74" s="163">
        <f t="shared" si="9"/>
        <v>0</v>
      </c>
      <c r="CJ74" s="163">
        <f t="shared" si="9"/>
        <v>0</v>
      </c>
      <c r="CK74" s="163">
        <f t="shared" si="9"/>
        <v>0</v>
      </c>
      <c r="CL74" s="163">
        <f t="shared" si="9"/>
        <v>0</v>
      </c>
      <c r="CM74" s="163">
        <f t="shared" si="9"/>
        <v>0</v>
      </c>
      <c r="CN74" s="163">
        <f t="shared" si="9"/>
        <v>0</v>
      </c>
      <c r="CO74" s="163">
        <f t="shared" si="9"/>
        <v>0</v>
      </c>
      <c r="CP74" s="163">
        <f t="shared" si="9"/>
        <v>0</v>
      </c>
      <c r="CQ74" s="163">
        <f t="shared" si="9"/>
        <v>0</v>
      </c>
      <c r="CR74" s="163">
        <f t="shared" si="9"/>
        <v>0</v>
      </c>
      <c r="CS74" s="163">
        <f t="shared" si="9"/>
        <v>0</v>
      </c>
      <c r="CT74" s="163">
        <f t="shared" si="9"/>
        <v>0</v>
      </c>
      <c r="CU74" s="163">
        <f t="shared" si="9"/>
        <v>0</v>
      </c>
      <c r="CV74" s="163">
        <f t="shared" si="9"/>
        <v>0</v>
      </c>
      <c r="CW74" s="163">
        <f t="shared" si="9"/>
        <v>0</v>
      </c>
      <c r="CX74" s="163">
        <f t="shared" si="9"/>
        <v>0</v>
      </c>
      <c r="CY74" s="163">
        <f t="shared" si="9"/>
        <v>0</v>
      </c>
      <c r="CZ74" s="163">
        <f t="shared" si="9"/>
        <v>0</v>
      </c>
      <c r="DA74" s="163">
        <f t="shared" si="9"/>
        <v>0</v>
      </c>
      <c r="DB74" s="163">
        <f t="shared" si="9"/>
        <v>0</v>
      </c>
      <c r="DC74" s="163">
        <f t="shared" si="9"/>
        <v>0</v>
      </c>
      <c r="DD74" s="163">
        <f t="shared" si="9"/>
        <v>0</v>
      </c>
      <c r="DE74" s="163">
        <f t="shared" si="9"/>
        <v>0</v>
      </c>
      <c r="DF74" s="163">
        <f t="shared" si="9"/>
        <v>0</v>
      </c>
      <c r="DG74" s="163">
        <f t="shared" si="9"/>
        <v>0</v>
      </c>
      <c r="DH74" s="163">
        <f t="shared" si="9"/>
        <v>0</v>
      </c>
      <c r="DI74" s="163">
        <f t="shared" si="9"/>
        <v>0</v>
      </c>
      <c r="DJ74" s="163">
        <f t="shared" si="9"/>
        <v>0</v>
      </c>
      <c r="DK74" s="163">
        <f t="shared" si="9"/>
        <v>0</v>
      </c>
      <c r="DL74" s="163">
        <f t="shared" si="9"/>
        <v>0</v>
      </c>
      <c r="DM74" s="163">
        <f t="shared" si="9"/>
        <v>0</v>
      </c>
      <c r="DN74" s="163">
        <f t="shared" si="9"/>
        <v>0</v>
      </c>
      <c r="DO74" s="163">
        <f t="shared" si="9"/>
        <v>0</v>
      </c>
      <c r="DP74" s="163">
        <f t="shared" si="9"/>
        <v>0</v>
      </c>
      <c r="DQ74" s="163">
        <f t="shared" si="9"/>
        <v>0</v>
      </c>
      <c r="DR74" s="163">
        <f t="shared" si="9"/>
        <v>0</v>
      </c>
      <c r="DS74" s="161">
        <f t="shared" si="9"/>
        <v>0</v>
      </c>
    </row>
    <row r="75" ht="15.0" customHeight="1">
      <c r="A75" s="44"/>
      <c r="B75" s="101" t="s">
        <v>356</v>
      </c>
      <c r="C75" s="176">
        <f>C74</f>
        <v>-350000</v>
      </c>
      <c r="D75" s="177">
        <f t="shared" ref="D75:DS75" si="10">C75+D74</f>
        <v>-350000</v>
      </c>
      <c r="E75" s="177">
        <f t="shared" si="10"/>
        <v>-350000</v>
      </c>
      <c r="F75" s="177">
        <f t="shared" si="10"/>
        <v>-350000</v>
      </c>
      <c r="G75" s="177">
        <f t="shared" si="10"/>
        <v>-350000</v>
      </c>
      <c r="H75" s="177">
        <f t="shared" si="10"/>
        <v>-350000</v>
      </c>
      <c r="I75" s="177">
        <f t="shared" si="10"/>
        <v>-350000</v>
      </c>
      <c r="J75" s="177">
        <f t="shared" si="10"/>
        <v>-350000</v>
      </c>
      <c r="K75" s="177">
        <f t="shared" si="10"/>
        <v>-350000</v>
      </c>
      <c r="L75" s="177">
        <f t="shared" si="10"/>
        <v>-350000</v>
      </c>
      <c r="M75" s="177">
        <f t="shared" si="10"/>
        <v>-350000</v>
      </c>
      <c r="N75" s="177">
        <f t="shared" si="10"/>
        <v>-350000</v>
      </c>
      <c r="O75" s="177">
        <f t="shared" si="10"/>
        <v>-350000</v>
      </c>
      <c r="P75" s="177">
        <f t="shared" si="10"/>
        <v>-350000</v>
      </c>
      <c r="Q75" s="177">
        <f t="shared" si="10"/>
        <v>-350000</v>
      </c>
      <c r="R75" s="177">
        <f t="shared" si="10"/>
        <v>-350000</v>
      </c>
      <c r="S75" s="177">
        <f t="shared" si="10"/>
        <v>-350000</v>
      </c>
      <c r="T75" s="177">
        <f t="shared" si="10"/>
        <v>-350000</v>
      </c>
      <c r="U75" s="177">
        <f t="shared" si="10"/>
        <v>-350000</v>
      </c>
      <c r="V75" s="177">
        <f t="shared" si="10"/>
        <v>-350000</v>
      </c>
      <c r="W75" s="177">
        <f t="shared" si="10"/>
        <v>-350000</v>
      </c>
      <c r="X75" s="177">
        <f t="shared" si="10"/>
        <v>-350000</v>
      </c>
      <c r="Y75" s="177">
        <f t="shared" si="10"/>
        <v>-350000</v>
      </c>
      <c r="Z75" s="177">
        <f t="shared" si="10"/>
        <v>-350000</v>
      </c>
      <c r="AA75" s="177">
        <f t="shared" si="10"/>
        <v>-350000</v>
      </c>
      <c r="AB75" s="177">
        <f t="shared" si="10"/>
        <v>-350000</v>
      </c>
      <c r="AC75" s="177">
        <f t="shared" si="10"/>
        <v>-350000</v>
      </c>
      <c r="AD75" s="177">
        <f t="shared" si="10"/>
        <v>-350000</v>
      </c>
      <c r="AE75" s="177">
        <f t="shared" si="10"/>
        <v>-350000</v>
      </c>
      <c r="AF75" s="177">
        <f t="shared" si="10"/>
        <v>-350000</v>
      </c>
      <c r="AG75" s="177">
        <f t="shared" si="10"/>
        <v>-350000</v>
      </c>
      <c r="AH75" s="177">
        <f t="shared" si="10"/>
        <v>-350000</v>
      </c>
      <c r="AI75" s="177">
        <f t="shared" si="10"/>
        <v>-350000</v>
      </c>
      <c r="AJ75" s="177">
        <f t="shared" si="10"/>
        <v>-350000</v>
      </c>
      <c r="AK75" s="177">
        <f t="shared" si="10"/>
        <v>-350000</v>
      </c>
      <c r="AL75" s="177">
        <f t="shared" si="10"/>
        <v>-350000</v>
      </c>
      <c r="AM75" s="177">
        <f t="shared" si="10"/>
        <v>-350000</v>
      </c>
      <c r="AN75" s="177">
        <f t="shared" si="10"/>
        <v>-350000</v>
      </c>
      <c r="AO75" s="177">
        <f t="shared" si="10"/>
        <v>-350000</v>
      </c>
      <c r="AP75" s="177">
        <f t="shared" si="10"/>
        <v>-350000</v>
      </c>
      <c r="AQ75" s="177">
        <f t="shared" si="10"/>
        <v>-350000</v>
      </c>
      <c r="AR75" s="177">
        <f t="shared" si="10"/>
        <v>-350000</v>
      </c>
      <c r="AS75" s="177">
        <f t="shared" si="10"/>
        <v>-350000</v>
      </c>
      <c r="AT75" s="177">
        <f t="shared" si="10"/>
        <v>-350000</v>
      </c>
      <c r="AU75" s="177">
        <f t="shared" si="10"/>
        <v>-350000</v>
      </c>
      <c r="AV75" s="177">
        <f t="shared" si="10"/>
        <v>-350000</v>
      </c>
      <c r="AW75" s="177">
        <f t="shared" si="10"/>
        <v>-350000</v>
      </c>
      <c r="AX75" s="177">
        <f t="shared" si="10"/>
        <v>-350000</v>
      </c>
      <c r="AY75" s="177">
        <f t="shared" si="10"/>
        <v>-350000</v>
      </c>
      <c r="AZ75" s="177">
        <f t="shared" si="10"/>
        <v>-350000</v>
      </c>
      <c r="BA75" s="177">
        <f t="shared" si="10"/>
        <v>-350000</v>
      </c>
      <c r="BB75" s="177">
        <f t="shared" si="10"/>
        <v>-350000</v>
      </c>
      <c r="BC75" s="177">
        <f t="shared" si="10"/>
        <v>-350000</v>
      </c>
      <c r="BD75" s="177">
        <f t="shared" si="10"/>
        <v>-350000</v>
      </c>
      <c r="BE75" s="177">
        <f t="shared" si="10"/>
        <v>-350000</v>
      </c>
      <c r="BF75" s="177">
        <f t="shared" si="10"/>
        <v>-350000</v>
      </c>
      <c r="BG75" s="177">
        <f t="shared" si="10"/>
        <v>-350000</v>
      </c>
      <c r="BH75" s="177">
        <f t="shared" si="10"/>
        <v>-350000</v>
      </c>
      <c r="BI75" s="177">
        <f t="shared" si="10"/>
        <v>-350000</v>
      </c>
      <c r="BJ75" s="177">
        <f t="shared" si="10"/>
        <v>-350000</v>
      </c>
      <c r="BK75" s="177">
        <f t="shared" si="10"/>
        <v>-350000</v>
      </c>
      <c r="BL75" s="177">
        <f t="shared" si="10"/>
        <v>-350000</v>
      </c>
      <c r="BM75" s="177">
        <f t="shared" si="10"/>
        <v>-350000</v>
      </c>
      <c r="BN75" s="177">
        <f t="shared" si="10"/>
        <v>-350000</v>
      </c>
      <c r="BO75" s="177">
        <f t="shared" si="10"/>
        <v>-350000</v>
      </c>
      <c r="BP75" s="177">
        <f t="shared" si="10"/>
        <v>-350000</v>
      </c>
      <c r="BQ75" s="177">
        <f t="shared" si="10"/>
        <v>-350000</v>
      </c>
      <c r="BR75" s="177">
        <f t="shared" si="10"/>
        <v>-350000</v>
      </c>
      <c r="BS75" s="177">
        <f t="shared" si="10"/>
        <v>-350000</v>
      </c>
      <c r="BT75" s="177">
        <f t="shared" si="10"/>
        <v>-350000</v>
      </c>
      <c r="BU75" s="177">
        <f t="shared" si="10"/>
        <v>-350000</v>
      </c>
      <c r="BV75" s="177">
        <f t="shared" si="10"/>
        <v>-350000</v>
      </c>
      <c r="BW75" s="177">
        <f t="shared" si="10"/>
        <v>-350000</v>
      </c>
      <c r="BX75" s="177">
        <f t="shared" si="10"/>
        <v>-350000</v>
      </c>
      <c r="BY75" s="177">
        <f t="shared" si="10"/>
        <v>-350000</v>
      </c>
      <c r="BZ75" s="177">
        <f t="shared" si="10"/>
        <v>-350000</v>
      </c>
      <c r="CA75" s="177">
        <f t="shared" si="10"/>
        <v>-350000</v>
      </c>
      <c r="CB75" s="177">
        <f t="shared" si="10"/>
        <v>-350000</v>
      </c>
      <c r="CC75" s="177">
        <f t="shared" si="10"/>
        <v>-350000</v>
      </c>
      <c r="CD75" s="177">
        <f t="shared" si="10"/>
        <v>-350000</v>
      </c>
      <c r="CE75" s="177">
        <f t="shared" si="10"/>
        <v>-350000</v>
      </c>
      <c r="CF75" s="177">
        <f t="shared" si="10"/>
        <v>-350000</v>
      </c>
      <c r="CG75" s="177">
        <f t="shared" si="10"/>
        <v>-350000</v>
      </c>
      <c r="CH75" s="177">
        <f t="shared" si="10"/>
        <v>-350000</v>
      </c>
      <c r="CI75" s="177">
        <f t="shared" si="10"/>
        <v>-350000</v>
      </c>
      <c r="CJ75" s="177">
        <f t="shared" si="10"/>
        <v>-350000</v>
      </c>
      <c r="CK75" s="177">
        <f t="shared" si="10"/>
        <v>-350000</v>
      </c>
      <c r="CL75" s="177">
        <f t="shared" si="10"/>
        <v>-350000</v>
      </c>
      <c r="CM75" s="177">
        <f t="shared" si="10"/>
        <v>-350000</v>
      </c>
      <c r="CN75" s="177">
        <f t="shared" si="10"/>
        <v>-350000</v>
      </c>
      <c r="CO75" s="177">
        <f t="shared" si="10"/>
        <v>-350000</v>
      </c>
      <c r="CP75" s="177">
        <f t="shared" si="10"/>
        <v>-350000</v>
      </c>
      <c r="CQ75" s="177">
        <f t="shared" si="10"/>
        <v>-350000</v>
      </c>
      <c r="CR75" s="177">
        <f t="shared" si="10"/>
        <v>-350000</v>
      </c>
      <c r="CS75" s="177">
        <f t="shared" si="10"/>
        <v>-350000</v>
      </c>
      <c r="CT75" s="177">
        <f t="shared" si="10"/>
        <v>-350000</v>
      </c>
      <c r="CU75" s="177">
        <f t="shared" si="10"/>
        <v>-350000</v>
      </c>
      <c r="CV75" s="177">
        <f t="shared" si="10"/>
        <v>-350000</v>
      </c>
      <c r="CW75" s="177">
        <f t="shared" si="10"/>
        <v>-350000</v>
      </c>
      <c r="CX75" s="177">
        <f t="shared" si="10"/>
        <v>-350000</v>
      </c>
      <c r="CY75" s="177">
        <f t="shared" si="10"/>
        <v>-350000</v>
      </c>
      <c r="CZ75" s="177">
        <f t="shared" si="10"/>
        <v>-350000</v>
      </c>
      <c r="DA75" s="177">
        <f t="shared" si="10"/>
        <v>-350000</v>
      </c>
      <c r="DB75" s="177">
        <f t="shared" si="10"/>
        <v>-350000</v>
      </c>
      <c r="DC75" s="177">
        <f t="shared" si="10"/>
        <v>-350000</v>
      </c>
      <c r="DD75" s="177">
        <f t="shared" si="10"/>
        <v>-350000</v>
      </c>
      <c r="DE75" s="177">
        <f t="shared" si="10"/>
        <v>-350000</v>
      </c>
      <c r="DF75" s="177">
        <f t="shared" si="10"/>
        <v>-350000</v>
      </c>
      <c r="DG75" s="177">
        <f t="shared" si="10"/>
        <v>-350000</v>
      </c>
      <c r="DH75" s="177">
        <f t="shared" si="10"/>
        <v>-350000</v>
      </c>
      <c r="DI75" s="177">
        <f t="shared" si="10"/>
        <v>-350000</v>
      </c>
      <c r="DJ75" s="177">
        <f t="shared" si="10"/>
        <v>-350000</v>
      </c>
      <c r="DK75" s="177">
        <f t="shared" si="10"/>
        <v>-350000</v>
      </c>
      <c r="DL75" s="177">
        <f t="shared" si="10"/>
        <v>-350000</v>
      </c>
      <c r="DM75" s="177">
        <f t="shared" si="10"/>
        <v>-350000</v>
      </c>
      <c r="DN75" s="177">
        <f t="shared" si="10"/>
        <v>-350000</v>
      </c>
      <c r="DO75" s="177">
        <f t="shared" si="10"/>
        <v>-350000</v>
      </c>
      <c r="DP75" s="177">
        <f t="shared" si="10"/>
        <v>-350000</v>
      </c>
      <c r="DQ75" s="177">
        <f t="shared" si="10"/>
        <v>-350000</v>
      </c>
      <c r="DR75" s="177">
        <f t="shared" si="10"/>
        <v>-350000</v>
      </c>
      <c r="DS75" s="178">
        <f t="shared" si="10"/>
        <v>-350000</v>
      </c>
    </row>
    <row r="76" ht="15.0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</row>
    <row r="77" ht="16.5" customHeight="1">
      <c r="A77" s="44"/>
      <c r="B77" s="45" t="s">
        <v>357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44"/>
    </row>
    <row r="78" ht="15.75" customHeight="1">
      <c r="A78" s="44"/>
      <c r="B78" s="46" t="s">
        <v>358</v>
      </c>
      <c r="C78" s="152">
        <f t="array" ref="C78">IF(C$3&lt;=INDEX(Inputs!$C:$C,MATCH("End Year",Inputs!$B:$B,0))*12,IF(C39+C72&lt;=0,0,-C11*Inputs!C92),0)</f>
        <v>0</v>
      </c>
      <c r="D78" s="152">
        <f t="array" ref="D78">IF(D$3&lt;=INDEX(Inputs!$C:$C,MATCH("End Year",Inputs!$B:$B,0))*12,IF(D39+D72&lt;=0,0,-D11*Inputs!C92),0)</f>
        <v>0</v>
      </c>
      <c r="E78" s="152">
        <f t="array" ref="E78">IF(E$3&lt;=INDEX(Inputs!$C:$C,MATCH("End Year",Inputs!$B:$B,0))*12,IF(E39+E72&lt;=0,0,-E11*Inputs!C92),0)</f>
        <v>0</v>
      </c>
      <c r="F78" s="152">
        <f t="array" ref="F78">IF(F$3&lt;=INDEX(Inputs!$C:$C,MATCH("End Year",Inputs!$B:$B,0))*12,IF(F39+F72&lt;=0,0,-F11*Inputs!C92),0)</f>
        <v>0</v>
      </c>
      <c r="G78" s="152">
        <f t="array" ref="G78">IF(G$3&lt;=INDEX(Inputs!$C:$C,MATCH("End Year",Inputs!$B:$B,0))*12,IF(G39+G72&lt;=0,0,-G11*Inputs!C92),0)</f>
        <v>0</v>
      </c>
      <c r="H78" s="152">
        <f t="array" ref="H78">IF(H$3&lt;=INDEX(Inputs!$C:$C,MATCH("End Year",Inputs!$B:$B,0))*12,IF(H39+H72&lt;=0,0,-H11*Inputs!C92),0)</f>
        <v>0</v>
      </c>
      <c r="I78" s="152">
        <f t="array" ref="I78">IF(I$3&lt;=INDEX(Inputs!$C:$C,MATCH("End Year",Inputs!$B:$B,0))*12,IF(I39+I72&lt;=0,0,-I11*Inputs!C92),0)</f>
        <v>0</v>
      </c>
      <c r="J78" s="152">
        <f t="array" ref="J78">IF(J$3&lt;=INDEX(Inputs!$C:$C,MATCH("End Year",Inputs!$B:$B,0))*12,IF(J39+J72&lt;=0,0,-J11*Inputs!C92),0)</f>
        <v>0</v>
      </c>
      <c r="K78" s="152">
        <f t="array" ref="K78">IF(K$3&lt;=INDEX(Inputs!$C:$C,MATCH("End Year",Inputs!$B:$B,0))*12,IF(K39+K72&lt;=0,0,-K11*Inputs!C92),0)</f>
        <v>0</v>
      </c>
      <c r="L78" s="152">
        <f t="array" ref="L78">IF(L$3&lt;=INDEX(Inputs!$C:$C,MATCH("End Year",Inputs!$B:$B,0))*12,IF(L39+L72&lt;=0,0,-L11*Inputs!C92),0)</f>
        <v>0</v>
      </c>
      <c r="M78" s="152">
        <f t="array" ref="M78">IF(M$3&lt;=INDEX(Inputs!$C:$C,MATCH("End Year",Inputs!$B:$B,0))*12,IF(M39+M72&lt;=0,0,-M11*Inputs!C92),0)</f>
        <v>0</v>
      </c>
      <c r="N78" s="152">
        <f t="array" ref="N78">IF(N$3&lt;=INDEX(Inputs!$C:$C,MATCH("End Year",Inputs!$B:$B,0))*12,IF(N39+N72&lt;=0,0,-N11*Inputs!C92),0)</f>
        <v>0</v>
      </c>
      <c r="O78" s="152">
        <f t="array" ref="O78">IF(O$3&lt;=INDEX(Inputs!$C:$C,MATCH("End Year",Inputs!$B:$B,0))*12,IF(O39+O72&lt;=0,0,-O11*Inputs!C92),0)</f>
        <v>0</v>
      </c>
      <c r="P78" s="152">
        <f t="array" ref="P78">IF(P$3&lt;=INDEX(Inputs!$C:$C,MATCH("End Year",Inputs!$B:$B,0))*12,IF(P39+P72&lt;=0,0,-P11*Inputs!C92),0)</f>
        <v>0</v>
      </c>
      <c r="Q78" s="152">
        <f t="array" ref="Q78">IF(Q$3&lt;=INDEX(Inputs!$C:$C,MATCH("End Year",Inputs!$B:$B,0))*12,IF(Q39+Q72&lt;=0,0,-Q11*Inputs!C92),0)</f>
        <v>0</v>
      </c>
      <c r="R78" s="152">
        <f t="array" ref="R78">IF(R$3&lt;=INDEX(Inputs!$C:$C,MATCH("End Year",Inputs!$B:$B,0))*12,IF(R39+R72&lt;=0,0,-R11*Inputs!C92),0)</f>
        <v>0</v>
      </c>
      <c r="S78" s="152">
        <f t="array" ref="S78">IF(S$3&lt;=INDEX(Inputs!$C:$C,MATCH("End Year",Inputs!$B:$B,0))*12,IF(S39+S72&lt;=0,0,-S11*Inputs!C92),0)</f>
        <v>0</v>
      </c>
      <c r="T78" s="152">
        <f t="array" ref="T78">IF(T$3&lt;=INDEX(Inputs!$C:$C,MATCH("End Year",Inputs!$B:$B,0))*12,IF(T39+T72&lt;=0,0,-T11*Inputs!C92),0)</f>
        <v>0</v>
      </c>
      <c r="U78" s="152">
        <f t="array" ref="U78">IF(U$3&lt;=INDEX(Inputs!$C:$C,MATCH("End Year",Inputs!$B:$B,0))*12,IF(U39+U72&lt;=0,0,-U11*Inputs!C92),0)</f>
        <v>0</v>
      </c>
      <c r="V78" s="152">
        <f t="array" ref="V78">IF(V$3&lt;=INDEX(Inputs!$C:$C,MATCH("End Year",Inputs!$B:$B,0))*12,IF(V39+V72&lt;=0,0,-V11*Inputs!C92),0)</f>
        <v>0</v>
      </c>
      <c r="W78" s="152">
        <f t="array" ref="W78">IF(W$3&lt;=INDEX(Inputs!$C:$C,MATCH("End Year",Inputs!$B:$B,0))*12,IF(W39+W72&lt;=0,0,-W11*Inputs!C92),0)</f>
        <v>0</v>
      </c>
      <c r="X78" s="152">
        <f t="array" ref="X78">IF(X$3&lt;=INDEX(Inputs!$C:$C,MATCH("End Year",Inputs!$B:$B,0))*12,IF(X39+X72&lt;=0,0,-X11*Inputs!C92),0)</f>
        <v>0</v>
      </c>
      <c r="Y78" s="152">
        <f t="array" ref="Y78">IF(Y$3&lt;=INDEX(Inputs!$C:$C,MATCH("End Year",Inputs!$B:$B,0))*12,IF(Y39+Y72&lt;=0,0,-Y11*Inputs!C92),0)</f>
        <v>0</v>
      </c>
      <c r="Z78" s="152">
        <f t="array" ref="Z78">IF(Z$3&lt;=INDEX(Inputs!$C:$C,MATCH("End Year",Inputs!$B:$B,0))*12,IF(Z39+Z72&lt;=0,0,-Z11*Inputs!C92),0)</f>
        <v>0</v>
      </c>
      <c r="AA78" s="152">
        <f t="array" ref="AA78">IF(AA$3&lt;=INDEX(Inputs!$C:$C,MATCH("End Year",Inputs!$B:$B,0))*12,IF(AA39+AA72&lt;=0,0,-AA11*Inputs!C92),0)</f>
        <v>0</v>
      </c>
      <c r="AB78" s="152">
        <f t="array" ref="AB78">IF(AB$3&lt;=INDEX(Inputs!$C:$C,MATCH("End Year",Inputs!$B:$B,0))*12,IF(AB39+AB72&lt;=0,0,-AB11*Inputs!C92),0)</f>
        <v>0</v>
      </c>
      <c r="AC78" s="152">
        <f t="array" ref="AC78">IF(AC$3&lt;=INDEX(Inputs!$C:$C,MATCH("End Year",Inputs!$B:$B,0))*12,IF(AC39+AC72&lt;=0,0,-AC11*Inputs!C92),0)</f>
        <v>0</v>
      </c>
      <c r="AD78" s="152">
        <f t="array" ref="AD78">IF(AD$3&lt;=INDEX(Inputs!$C:$C,MATCH("End Year",Inputs!$B:$B,0))*12,IF(AD39+AD72&lt;=0,0,-AD11*Inputs!C92),0)</f>
        <v>0</v>
      </c>
      <c r="AE78" s="152">
        <f t="array" ref="AE78">IF(AE$3&lt;=INDEX(Inputs!$C:$C,MATCH("End Year",Inputs!$B:$B,0))*12,IF(AE39+AE72&lt;=0,0,-AE11*Inputs!C92),0)</f>
        <v>0</v>
      </c>
      <c r="AF78" s="152">
        <f t="array" ref="AF78">IF(AF$3&lt;=INDEX(Inputs!$C:$C,MATCH("End Year",Inputs!$B:$B,0))*12,IF(AF39+AF72&lt;=0,0,-AF11*Inputs!C92),0)</f>
        <v>0</v>
      </c>
      <c r="AG78" s="152">
        <f t="array" ref="AG78">IF(AG$3&lt;=INDEX(Inputs!$C:$C,MATCH("End Year",Inputs!$B:$B,0))*12,IF(AG39+AG72&lt;=0,0,-AG11*Inputs!C92),0)</f>
        <v>0</v>
      </c>
      <c r="AH78" s="152">
        <f t="array" ref="AH78">IF(AH$3&lt;=INDEX(Inputs!$C:$C,MATCH("End Year",Inputs!$B:$B,0))*12,IF(AH39+AH72&lt;=0,0,-AH11*Inputs!C92),0)</f>
        <v>0</v>
      </c>
      <c r="AI78" s="152">
        <f t="array" ref="AI78">IF(AI$3&lt;=INDEX(Inputs!$C:$C,MATCH("End Year",Inputs!$B:$B,0))*12,IF(AI39+AI72&lt;=0,0,-AI11*Inputs!C92),0)</f>
        <v>0</v>
      </c>
      <c r="AJ78" s="152">
        <f t="array" ref="AJ78">IF(AJ$3&lt;=INDEX(Inputs!$C:$C,MATCH("End Year",Inputs!$B:$B,0))*12,IF(AJ39+AJ72&lt;=0,0,-AJ11*Inputs!C92),0)</f>
        <v>0</v>
      </c>
      <c r="AK78" s="152">
        <f t="array" ref="AK78">IF(AK$3&lt;=INDEX(Inputs!$C:$C,MATCH("End Year",Inputs!$B:$B,0))*12,IF(AK39+AK72&lt;=0,0,-AK11*Inputs!C92),0)</f>
        <v>0</v>
      </c>
      <c r="AL78" s="152">
        <f t="array" ref="AL78">IF(AL$3&lt;=INDEX(Inputs!$C:$C,MATCH("End Year",Inputs!$B:$B,0))*12,IF(AL39+AL72&lt;=0,0,-AL11*Inputs!C92),0)</f>
        <v>0</v>
      </c>
      <c r="AM78" s="152">
        <f t="array" ref="AM78">IF(AM$3&lt;=INDEX(Inputs!$C:$C,MATCH("End Year",Inputs!$B:$B,0))*12,IF(AM39+AM72&lt;=0,0,-AM11*Inputs!C92),0)</f>
        <v>0</v>
      </c>
      <c r="AN78" s="152">
        <f t="array" ref="AN78">IF(AN$3&lt;=INDEX(Inputs!$C:$C,MATCH("End Year",Inputs!$B:$B,0))*12,IF(AN39+AN72&lt;=0,0,-AN11*Inputs!C92),0)</f>
        <v>0</v>
      </c>
      <c r="AO78" s="152">
        <f t="array" ref="AO78">IF(AO$3&lt;=INDEX(Inputs!$C:$C,MATCH("End Year",Inputs!$B:$B,0))*12,IF(AO39+AO72&lt;=0,0,-AO11*Inputs!C92),0)</f>
        <v>0</v>
      </c>
      <c r="AP78" s="152">
        <f t="array" ref="AP78">IF(AP$3&lt;=INDEX(Inputs!$C:$C,MATCH("End Year",Inputs!$B:$B,0))*12,IF(AP39+AP72&lt;=0,0,-AP11*Inputs!C92),0)</f>
        <v>0</v>
      </c>
      <c r="AQ78" s="152">
        <f t="array" ref="AQ78">IF(AQ$3&lt;=INDEX(Inputs!$C:$C,MATCH("End Year",Inputs!$B:$B,0))*12,IF(AQ39+AQ72&lt;=0,0,-AQ11*Inputs!C92),0)</f>
        <v>0</v>
      </c>
      <c r="AR78" s="152">
        <f t="array" ref="AR78">IF(AR$3&lt;=INDEX(Inputs!$C:$C,MATCH("End Year",Inputs!$B:$B,0))*12,IF(AR39+AR72&lt;=0,0,-AR11*Inputs!C92),0)</f>
        <v>0</v>
      </c>
      <c r="AS78" s="152">
        <f t="array" ref="AS78">IF(AS$3&lt;=INDEX(Inputs!$C:$C,MATCH("End Year",Inputs!$B:$B,0))*12,IF(AS39+AS72&lt;=0,0,-AS11*Inputs!C92),0)</f>
        <v>0</v>
      </c>
      <c r="AT78" s="152">
        <f t="array" ref="AT78">IF(AT$3&lt;=INDEX(Inputs!$C:$C,MATCH("End Year",Inputs!$B:$B,0))*12,IF(AT39+AT72&lt;=0,0,-AT11*Inputs!C92),0)</f>
        <v>0</v>
      </c>
      <c r="AU78" s="152">
        <f t="array" ref="AU78">IF(AU$3&lt;=INDEX(Inputs!$C:$C,MATCH("End Year",Inputs!$B:$B,0))*12,IF(AU39+AU72&lt;=0,0,-AU11*Inputs!C92),0)</f>
        <v>0</v>
      </c>
      <c r="AV78" s="152">
        <f t="array" ref="AV78">IF(AV$3&lt;=INDEX(Inputs!$C:$C,MATCH("End Year",Inputs!$B:$B,0))*12,IF(AV39+AV72&lt;=0,0,-AV11*Inputs!C92),0)</f>
        <v>0</v>
      </c>
      <c r="AW78" s="152">
        <f t="array" ref="AW78">IF(AW$3&lt;=INDEX(Inputs!$C:$C,MATCH("End Year",Inputs!$B:$B,0))*12,IF(AW39+AW72&lt;=0,0,-AW11*Inputs!C92),0)</f>
        <v>0</v>
      </c>
      <c r="AX78" s="152">
        <f t="array" ref="AX78">IF(AX$3&lt;=INDEX(Inputs!$C:$C,MATCH("End Year",Inputs!$B:$B,0))*12,IF(AX39+AX72&lt;=0,0,-AX11*Inputs!C92),0)</f>
        <v>0</v>
      </c>
      <c r="AY78" s="152">
        <f t="array" ref="AY78">IF(AY$3&lt;=INDEX(Inputs!$C:$C,MATCH("End Year",Inputs!$B:$B,0))*12,IF(AY39+AY72&lt;=0,0,-AY11*Inputs!C92),0)</f>
        <v>0</v>
      </c>
      <c r="AZ78" s="152">
        <f t="array" ref="AZ78">IF(AZ$3&lt;=INDEX(Inputs!$C:$C,MATCH("End Year",Inputs!$B:$B,0))*12,IF(AZ39+AZ72&lt;=0,0,-AZ11*Inputs!C92),0)</f>
        <v>0</v>
      </c>
      <c r="BA78" s="152">
        <f t="array" ref="BA78">IF(BA$3&lt;=INDEX(Inputs!$C:$C,MATCH("End Year",Inputs!$B:$B,0))*12,IF(BA39+BA72&lt;=0,0,-BA11*Inputs!C92),0)</f>
        <v>0</v>
      </c>
      <c r="BB78" s="152">
        <f t="array" ref="BB78">IF(BB$3&lt;=INDEX(Inputs!$C:$C,MATCH("End Year",Inputs!$B:$B,0))*12,IF(BB39+BB72&lt;=0,0,-BB11*Inputs!C92),0)</f>
        <v>0</v>
      </c>
      <c r="BC78" s="152">
        <f t="array" ref="BC78">IF(BC$3&lt;=INDEX(Inputs!$C:$C,MATCH("End Year",Inputs!$B:$B,0))*12,IF(BC39+BC72&lt;=0,0,-BC11*Inputs!C92),0)</f>
        <v>0</v>
      </c>
      <c r="BD78" s="152">
        <f t="array" ref="BD78">IF(BD$3&lt;=INDEX(Inputs!$C:$C,MATCH("End Year",Inputs!$B:$B,0))*12,IF(BD39+BD72&lt;=0,0,-BD11*Inputs!C92),0)</f>
        <v>0</v>
      </c>
      <c r="BE78" s="152">
        <f t="array" ref="BE78">IF(BE$3&lt;=INDEX(Inputs!$C:$C,MATCH("End Year",Inputs!$B:$B,0))*12,IF(BE39+BE72&lt;=0,0,-BE11*Inputs!C92),0)</f>
        <v>0</v>
      </c>
      <c r="BF78" s="152">
        <f t="array" ref="BF78">IF(BF$3&lt;=INDEX(Inputs!$C:$C,MATCH("End Year",Inputs!$B:$B,0))*12,IF(BF39+BF72&lt;=0,0,-BF11*Inputs!C92),0)</f>
        <v>0</v>
      </c>
      <c r="BG78" s="152">
        <f t="array" ref="BG78">IF(BG$3&lt;=INDEX(Inputs!$C:$C,MATCH("End Year",Inputs!$B:$B,0))*12,IF(BG39+BG72&lt;=0,0,-BG11*Inputs!C92),0)</f>
        <v>0</v>
      </c>
      <c r="BH78" s="152">
        <f t="array" ref="BH78">IF(BH$3&lt;=INDEX(Inputs!$C:$C,MATCH("End Year",Inputs!$B:$B,0))*12,IF(BH39+BH72&lt;=0,0,-BH11*Inputs!C92),0)</f>
        <v>0</v>
      </c>
      <c r="BI78" s="152">
        <f t="array" ref="BI78">IF(BI$3&lt;=INDEX(Inputs!$C:$C,MATCH("End Year",Inputs!$B:$B,0))*12,IF(BI39+BI72&lt;=0,0,-BI11*Inputs!C92),0)</f>
        <v>0</v>
      </c>
      <c r="BJ78" s="152">
        <f t="array" ref="BJ78">IF(BJ$3&lt;=INDEX(Inputs!$C:$C,MATCH("End Year",Inputs!$B:$B,0))*12,IF(BJ39+BJ72&lt;=0,0,-BJ11*Inputs!C92),0)</f>
        <v>0</v>
      </c>
      <c r="BK78" s="152">
        <f t="array" ref="BK78">IF(BK$3&lt;=INDEX(Inputs!$C:$C,MATCH("End Year",Inputs!$B:$B,0))*12,IF(BK39+BK72&lt;=0,0,-BK11*Inputs!C92),0)</f>
        <v>0</v>
      </c>
      <c r="BL78" s="152">
        <f t="array" ref="BL78">IF(BL$3&lt;=INDEX(Inputs!$C:$C,MATCH("End Year",Inputs!$B:$B,0))*12,IF(BL39+BL72&lt;=0,0,-BL11*Inputs!C92),0)</f>
        <v>0</v>
      </c>
      <c r="BM78" s="152">
        <f t="array" ref="BM78">IF(BM$3&lt;=INDEX(Inputs!$C:$C,MATCH("End Year",Inputs!$B:$B,0))*12,IF(BM39+BM72&lt;=0,0,-BM11*Inputs!C92),0)</f>
        <v>0</v>
      </c>
      <c r="BN78" s="152">
        <f t="array" ref="BN78">IF(BN$3&lt;=INDEX(Inputs!$C:$C,MATCH("End Year",Inputs!$B:$B,0))*12,IF(BN39+BN72&lt;=0,0,-BN11*Inputs!C92),0)</f>
        <v>0</v>
      </c>
      <c r="BO78" s="152">
        <f t="array" ref="BO78">IF(BO$3&lt;=INDEX(Inputs!$C:$C,MATCH("End Year",Inputs!$B:$B,0))*12,IF(BO39+BO72&lt;=0,0,-BO11*Inputs!C92),0)</f>
        <v>0</v>
      </c>
      <c r="BP78" s="152">
        <f t="array" ref="BP78">IF(BP$3&lt;=INDEX(Inputs!$C:$C,MATCH("End Year",Inputs!$B:$B,0))*12,IF(BP39+BP72&lt;=0,0,-BP11*Inputs!C92),0)</f>
        <v>0</v>
      </c>
      <c r="BQ78" s="152">
        <f t="array" ref="BQ78">IF(BQ$3&lt;=INDEX(Inputs!$C:$C,MATCH("End Year",Inputs!$B:$B,0))*12,IF(BQ39+BQ72&lt;=0,0,-BQ11*Inputs!C92),0)</f>
        <v>0</v>
      </c>
      <c r="BR78" s="152">
        <f t="array" ref="BR78">IF(BR$3&lt;=INDEX(Inputs!$C:$C,MATCH("End Year",Inputs!$B:$B,0))*12,IF(BR39+BR72&lt;=0,0,-BR11*Inputs!C92),0)</f>
        <v>0</v>
      </c>
      <c r="BS78" s="152">
        <f t="array" ref="BS78">IF(BS$3&lt;=INDEX(Inputs!$C:$C,MATCH("End Year",Inputs!$B:$B,0))*12,IF(BS39+BS72&lt;=0,0,-BS11*Inputs!C92),0)</f>
        <v>0</v>
      </c>
      <c r="BT78" s="152">
        <f t="array" ref="BT78">IF(BT$3&lt;=INDEX(Inputs!$C:$C,MATCH("End Year",Inputs!$B:$B,0))*12,IF(BT39+BT72&lt;=0,0,-BT11*Inputs!C92),0)</f>
        <v>0</v>
      </c>
      <c r="BU78" s="152">
        <f t="array" ref="BU78">IF(BU$3&lt;=INDEX(Inputs!$C:$C,MATCH("End Year",Inputs!$B:$B,0))*12,IF(BU39+BU72&lt;=0,0,-BU11*Inputs!C92),0)</f>
        <v>0</v>
      </c>
      <c r="BV78" s="152">
        <f t="array" ref="BV78">IF(BV$3&lt;=INDEX(Inputs!$C:$C,MATCH("End Year",Inputs!$B:$B,0))*12,IF(BV39+BV72&lt;=0,0,-BV11*Inputs!C92),0)</f>
        <v>0</v>
      </c>
      <c r="BW78" s="152">
        <f t="array" ref="BW78">IF(BW$3&lt;=INDEX(Inputs!$C:$C,MATCH("End Year",Inputs!$B:$B,0))*12,IF(BW39+BW72&lt;=0,0,-BW11*Inputs!C92),0)</f>
        <v>0</v>
      </c>
      <c r="BX78" s="152">
        <f t="array" ref="BX78">IF(BX$3&lt;=INDEX(Inputs!$C:$C,MATCH("End Year",Inputs!$B:$B,0))*12,IF(BX39+BX72&lt;=0,0,-BX11*Inputs!C92),0)</f>
        <v>0</v>
      </c>
      <c r="BY78" s="152">
        <f t="array" ref="BY78">IF(BY$3&lt;=INDEX(Inputs!$C:$C,MATCH("End Year",Inputs!$B:$B,0))*12,IF(BY39+BY72&lt;=0,0,-BY11*Inputs!C92),0)</f>
        <v>0</v>
      </c>
      <c r="BZ78" s="152">
        <f t="array" ref="BZ78">IF(BZ$3&lt;=INDEX(Inputs!$C:$C,MATCH("End Year",Inputs!$B:$B,0))*12,IF(BZ39+BZ72&lt;=0,0,-BZ11*Inputs!C92),0)</f>
        <v>0</v>
      </c>
      <c r="CA78" s="152">
        <f t="array" ref="CA78">IF(CA$3&lt;=INDEX(Inputs!$C:$C,MATCH("End Year",Inputs!$B:$B,0))*12,IF(CA39+CA72&lt;=0,0,-CA11*Inputs!C92),0)</f>
        <v>0</v>
      </c>
      <c r="CB78" s="152">
        <f t="array" ref="CB78">IF(CB$3&lt;=INDEX(Inputs!$C:$C,MATCH("End Year",Inputs!$B:$B,0))*12,IF(CB39+CB72&lt;=0,0,-CB11*Inputs!C92),0)</f>
        <v>0</v>
      </c>
      <c r="CC78" s="152">
        <f t="array" ref="CC78">IF(CC$3&lt;=INDEX(Inputs!$C:$C,MATCH("End Year",Inputs!$B:$B,0))*12,IF(CC39+CC72&lt;=0,0,-CC11*Inputs!C92),0)</f>
        <v>0</v>
      </c>
      <c r="CD78" s="152">
        <f t="array" ref="CD78">IF(CD$3&lt;=INDEX(Inputs!$C:$C,MATCH("End Year",Inputs!$B:$B,0))*12,IF(CD39+CD72&lt;=0,0,-CD11*Inputs!C92),0)</f>
        <v>0</v>
      </c>
      <c r="CE78" s="152">
        <f t="array" ref="CE78">IF(CE$3&lt;=INDEX(Inputs!$C:$C,MATCH("End Year",Inputs!$B:$B,0))*12,IF(CE39+CE72&lt;=0,0,-CE11*Inputs!C92),0)</f>
        <v>0</v>
      </c>
      <c r="CF78" s="152">
        <f t="array" ref="CF78">IF(CF$3&lt;=INDEX(Inputs!$C:$C,MATCH("End Year",Inputs!$B:$B,0))*12,IF(CF39+CF72&lt;=0,0,-CF11*Inputs!C92),0)</f>
        <v>0</v>
      </c>
      <c r="CG78" s="152">
        <f t="array" ref="CG78">IF(CG$3&lt;=INDEX(Inputs!$C:$C,MATCH("End Year",Inputs!$B:$B,0))*12,IF(CG39+CG72&lt;=0,0,-CG11*Inputs!C92),0)</f>
        <v>0</v>
      </c>
      <c r="CH78" s="152">
        <f t="array" ref="CH78">IF(CH$3&lt;=INDEX(Inputs!$C:$C,MATCH("End Year",Inputs!$B:$B,0))*12,IF(CH39+CH72&lt;=0,0,-CH11*Inputs!C92),0)</f>
        <v>0</v>
      </c>
      <c r="CI78" s="152">
        <f t="array" ref="CI78">IF(CI$3&lt;=INDEX(Inputs!$C:$C,MATCH("End Year",Inputs!$B:$B,0))*12,IF(CI39+CI72&lt;=0,0,-CI11*Inputs!C92),0)</f>
        <v>0</v>
      </c>
      <c r="CJ78" s="152">
        <f t="array" ref="CJ78">IF(CJ$3&lt;=INDEX(Inputs!$C:$C,MATCH("End Year",Inputs!$B:$B,0))*12,IF(CJ39+CJ72&lt;=0,0,-CJ11*Inputs!C92),0)</f>
        <v>0</v>
      </c>
      <c r="CK78" s="152">
        <f t="array" ref="CK78">IF(CK$3&lt;=INDEX(Inputs!$C:$C,MATCH("End Year",Inputs!$B:$B,0))*12,IF(CK39+CK72&lt;=0,0,-CK11*Inputs!C92),0)</f>
        <v>0</v>
      </c>
      <c r="CL78" s="152">
        <f t="array" ref="CL78">IF(CL$3&lt;=INDEX(Inputs!$C:$C,MATCH("End Year",Inputs!$B:$B,0))*12,IF(CL39+CL72&lt;=0,0,-CL11*Inputs!C92),0)</f>
        <v>0</v>
      </c>
      <c r="CM78" s="152">
        <f t="array" ref="CM78">IF(CM$3&lt;=INDEX(Inputs!$C:$C,MATCH("End Year",Inputs!$B:$B,0))*12,IF(CM39+CM72&lt;=0,0,-CM11*Inputs!C92),0)</f>
        <v>0</v>
      </c>
      <c r="CN78" s="152">
        <f t="array" ref="CN78">IF(CN$3&lt;=INDEX(Inputs!$C:$C,MATCH("End Year",Inputs!$B:$B,0))*12,IF(CN39+CN72&lt;=0,0,-CN11*Inputs!C92),0)</f>
        <v>0</v>
      </c>
      <c r="CO78" s="152">
        <f t="array" ref="CO78">IF(CO$3&lt;=INDEX(Inputs!$C:$C,MATCH("End Year",Inputs!$B:$B,0))*12,IF(CO39+CO72&lt;=0,0,-CO11*Inputs!C92),0)</f>
        <v>0</v>
      </c>
      <c r="CP78" s="152">
        <f t="array" ref="CP78">IF(CP$3&lt;=INDEX(Inputs!$C:$C,MATCH("End Year",Inputs!$B:$B,0))*12,IF(CP39+CP72&lt;=0,0,-CP11*Inputs!C92),0)</f>
        <v>0</v>
      </c>
      <c r="CQ78" s="152">
        <f t="array" ref="CQ78">IF(CQ$3&lt;=INDEX(Inputs!$C:$C,MATCH("End Year",Inputs!$B:$B,0))*12,IF(CQ39+CQ72&lt;=0,0,-CQ11*Inputs!C92),0)</f>
        <v>0</v>
      </c>
      <c r="CR78" s="152">
        <f t="array" ref="CR78">IF(CR$3&lt;=INDEX(Inputs!$C:$C,MATCH("End Year",Inputs!$B:$B,0))*12,IF(CR39+CR72&lt;=0,0,-CR11*Inputs!C92),0)</f>
        <v>0</v>
      </c>
      <c r="CS78" s="152">
        <f t="array" ref="CS78">IF(CS$3&lt;=INDEX(Inputs!$C:$C,MATCH("End Year",Inputs!$B:$B,0))*12,IF(CS39+CS72&lt;=0,0,-CS11*Inputs!C92),0)</f>
        <v>0</v>
      </c>
      <c r="CT78" s="152">
        <f t="array" ref="CT78">IF(CT$3&lt;=INDEX(Inputs!$C:$C,MATCH("End Year",Inputs!$B:$B,0))*12,IF(CT39+CT72&lt;=0,0,-CT11*Inputs!C92),0)</f>
        <v>0</v>
      </c>
      <c r="CU78" s="152">
        <f t="array" ref="CU78">IF(CU$3&lt;=INDEX(Inputs!$C:$C,MATCH("End Year",Inputs!$B:$B,0))*12,IF(CU39+CU72&lt;=0,0,-CU11*Inputs!C92),0)</f>
        <v>0</v>
      </c>
      <c r="CV78" s="152">
        <f t="array" ref="CV78">IF(CV$3&lt;=INDEX(Inputs!$C:$C,MATCH("End Year",Inputs!$B:$B,0))*12,IF(CV39+CV72&lt;=0,0,-CV11*Inputs!C92),0)</f>
        <v>0</v>
      </c>
      <c r="CW78" s="152">
        <f t="array" ref="CW78">IF(CW$3&lt;=INDEX(Inputs!$C:$C,MATCH("End Year",Inputs!$B:$B,0))*12,IF(CW39+CW72&lt;=0,0,-CW11*Inputs!C92),0)</f>
        <v>0</v>
      </c>
      <c r="CX78" s="152">
        <f t="array" ref="CX78">IF(CX$3&lt;=INDEX(Inputs!$C:$C,MATCH("End Year",Inputs!$B:$B,0))*12,IF(CX39+CX72&lt;=0,0,-CX11*Inputs!C92),0)</f>
        <v>0</v>
      </c>
      <c r="CY78" s="152">
        <f t="array" ref="CY78">IF(CY$3&lt;=INDEX(Inputs!$C:$C,MATCH("End Year",Inputs!$B:$B,0))*12,IF(CY39+CY72&lt;=0,0,-CY11*Inputs!C92),0)</f>
        <v>0</v>
      </c>
      <c r="CZ78" s="152">
        <f t="array" ref="CZ78">IF(CZ$3&lt;=INDEX(Inputs!$C:$C,MATCH("End Year",Inputs!$B:$B,0))*12,IF(CZ39+CZ72&lt;=0,0,-CZ11*Inputs!C92),0)</f>
        <v>0</v>
      </c>
      <c r="DA78" s="152">
        <f t="array" ref="DA78">IF(DA$3&lt;=INDEX(Inputs!$C:$C,MATCH("End Year",Inputs!$B:$B,0))*12,IF(DA39+DA72&lt;=0,0,-DA11*Inputs!C92),0)</f>
        <v>0</v>
      </c>
      <c r="DB78" s="152">
        <f t="array" ref="DB78">IF(DB$3&lt;=INDEX(Inputs!$C:$C,MATCH("End Year",Inputs!$B:$B,0))*12,IF(DB39+DB72&lt;=0,0,-DB11*Inputs!C92),0)</f>
        <v>0</v>
      </c>
      <c r="DC78" s="152">
        <f t="array" ref="DC78">IF(DC$3&lt;=INDEX(Inputs!$C:$C,MATCH("End Year",Inputs!$B:$B,0))*12,IF(DC39+DC72&lt;=0,0,-DC11*Inputs!C92),0)</f>
        <v>0</v>
      </c>
      <c r="DD78" s="152">
        <f t="array" ref="DD78">IF(DD$3&lt;=INDEX(Inputs!$C:$C,MATCH("End Year",Inputs!$B:$B,0))*12,IF(DD39+DD72&lt;=0,0,-DD11*Inputs!C92),0)</f>
        <v>0</v>
      </c>
      <c r="DE78" s="152">
        <f t="array" ref="DE78">IF(DE$3&lt;=INDEX(Inputs!$C:$C,MATCH("End Year",Inputs!$B:$B,0))*12,IF(DE39+DE72&lt;=0,0,-DE11*Inputs!C92),0)</f>
        <v>0</v>
      </c>
      <c r="DF78" s="152">
        <f t="array" ref="DF78">IF(DF$3&lt;=INDEX(Inputs!$C:$C,MATCH("End Year",Inputs!$B:$B,0))*12,IF(DF39+DF72&lt;=0,0,-DF11*Inputs!C92),0)</f>
        <v>0</v>
      </c>
      <c r="DG78" s="152">
        <f t="array" ref="DG78">IF(DG$3&lt;=INDEX(Inputs!$C:$C,MATCH("End Year",Inputs!$B:$B,0))*12,IF(DG39+DG72&lt;=0,0,-DG11*Inputs!C92),0)</f>
        <v>0</v>
      </c>
      <c r="DH78" s="152">
        <f t="array" ref="DH78">IF(DH$3&lt;=INDEX(Inputs!$C:$C,MATCH("End Year",Inputs!$B:$B,0))*12,IF(DH39+DH72&lt;=0,0,-DH11*Inputs!C92),0)</f>
        <v>0</v>
      </c>
      <c r="DI78" s="152">
        <f t="array" ref="DI78">IF(DI$3&lt;=INDEX(Inputs!$C:$C,MATCH("End Year",Inputs!$B:$B,0))*12,IF(DI39+DI72&lt;=0,0,-DI11*Inputs!C92),0)</f>
        <v>0</v>
      </c>
      <c r="DJ78" s="152">
        <f t="array" ref="DJ78">IF(DJ$3&lt;=INDEX(Inputs!$C:$C,MATCH("End Year",Inputs!$B:$B,0))*12,IF(DJ39+DJ72&lt;=0,0,-DJ11*Inputs!C92),0)</f>
        <v>0</v>
      </c>
      <c r="DK78" s="152">
        <f t="array" ref="DK78">IF(DK$3&lt;=INDEX(Inputs!$C:$C,MATCH("End Year",Inputs!$B:$B,0))*12,IF(DK39+DK72&lt;=0,0,-DK11*Inputs!C92),0)</f>
        <v>0</v>
      </c>
      <c r="DL78" s="152">
        <f t="array" ref="DL78">IF(DL$3&lt;=INDEX(Inputs!$C:$C,MATCH("End Year",Inputs!$B:$B,0))*12,IF(DL39+DL72&lt;=0,0,-DL11*Inputs!C92),0)</f>
        <v>0</v>
      </c>
      <c r="DM78" s="152">
        <f t="array" ref="DM78">IF(DM$3&lt;=INDEX(Inputs!$C:$C,MATCH("End Year",Inputs!$B:$B,0))*12,IF(DM39+DM72&lt;=0,0,-DM11*Inputs!C92),0)</f>
        <v>0</v>
      </c>
      <c r="DN78" s="152">
        <f t="array" ref="DN78">IF(DN$3&lt;=INDEX(Inputs!$C:$C,MATCH("End Year",Inputs!$B:$B,0))*12,IF(DN39+DN72&lt;=0,0,-DN11*Inputs!C92),0)</f>
        <v>0</v>
      </c>
      <c r="DO78" s="152">
        <f t="array" ref="DO78">IF(DO$3&lt;=INDEX(Inputs!$C:$C,MATCH("End Year",Inputs!$B:$B,0))*12,IF(DO39+DO72&lt;=0,0,-DO11*Inputs!C92),0)</f>
        <v>0</v>
      </c>
      <c r="DP78" s="152">
        <f t="array" ref="DP78">IF(DP$3&lt;=INDEX(Inputs!$C:$C,MATCH("End Year",Inputs!$B:$B,0))*12,IF(DP39+DP72&lt;=0,0,-DP11*Inputs!C92),0)</f>
        <v>0</v>
      </c>
      <c r="DQ78" s="152">
        <f t="array" ref="DQ78">IF(DQ$3&lt;=INDEX(Inputs!$C:$C,MATCH("End Year",Inputs!$B:$B,0))*12,IF(DQ39+DQ72&lt;=0,0,-DQ11*Inputs!C92),0)</f>
        <v>0</v>
      </c>
      <c r="DR78" s="152">
        <f t="array" ref="DR78">IF(DR$3&lt;=INDEX(Inputs!$C:$C,MATCH("End Year",Inputs!$B:$B,0))*12,IF(DR39+DR72&lt;=0,0,-DR11*Inputs!C92),0)</f>
        <v>0</v>
      </c>
      <c r="DS78" s="44">
        <f t="array" ref="DS78">IF(DS$3&lt;=INDEX(Inputs!$C:$C,MATCH("End Year",Inputs!$B:$B,0))*12,IF(DS39+DS72&lt;=0,0,-DS11*Inputs!C92),0)</f>
        <v>0</v>
      </c>
    </row>
    <row r="79" ht="16.5" customHeight="1">
      <c r="A79" s="44"/>
      <c r="B79" s="101" t="s">
        <v>359</v>
      </c>
      <c r="C79" s="173">
        <f t="shared" ref="C79:DS79" si="11">MAX(C39+C72+C78-C81,0)</f>
        <v>0</v>
      </c>
      <c r="D79" s="173">
        <f t="shared" si="11"/>
        <v>0</v>
      </c>
      <c r="E79" s="173">
        <f t="shared" si="11"/>
        <v>0</v>
      </c>
      <c r="F79" s="173">
        <f t="shared" si="11"/>
        <v>0</v>
      </c>
      <c r="G79" s="173">
        <f t="shared" si="11"/>
        <v>0</v>
      </c>
      <c r="H79" s="173">
        <f t="shared" si="11"/>
        <v>0</v>
      </c>
      <c r="I79" s="173">
        <f t="shared" si="11"/>
        <v>0</v>
      </c>
      <c r="J79" s="173">
        <f t="shared" si="11"/>
        <v>0</v>
      </c>
      <c r="K79" s="173">
        <f t="shared" si="11"/>
        <v>0</v>
      </c>
      <c r="L79" s="173">
        <f t="shared" si="11"/>
        <v>0</v>
      </c>
      <c r="M79" s="173">
        <f t="shared" si="11"/>
        <v>0</v>
      </c>
      <c r="N79" s="173">
        <f t="shared" si="11"/>
        <v>0</v>
      </c>
      <c r="O79" s="173">
        <f t="shared" si="11"/>
        <v>0</v>
      </c>
      <c r="P79" s="173">
        <f t="shared" si="11"/>
        <v>0</v>
      </c>
      <c r="Q79" s="173">
        <f t="shared" si="11"/>
        <v>0</v>
      </c>
      <c r="R79" s="173">
        <f t="shared" si="11"/>
        <v>0</v>
      </c>
      <c r="S79" s="173">
        <f t="shared" si="11"/>
        <v>0</v>
      </c>
      <c r="T79" s="173">
        <f t="shared" si="11"/>
        <v>0</v>
      </c>
      <c r="U79" s="173">
        <f t="shared" si="11"/>
        <v>0</v>
      </c>
      <c r="V79" s="173">
        <f t="shared" si="11"/>
        <v>0</v>
      </c>
      <c r="W79" s="173">
        <f t="shared" si="11"/>
        <v>0</v>
      </c>
      <c r="X79" s="173">
        <f t="shared" si="11"/>
        <v>0</v>
      </c>
      <c r="Y79" s="173">
        <f t="shared" si="11"/>
        <v>0</v>
      </c>
      <c r="Z79" s="173">
        <f t="shared" si="11"/>
        <v>0</v>
      </c>
      <c r="AA79" s="173">
        <f t="shared" si="11"/>
        <v>0</v>
      </c>
      <c r="AB79" s="173">
        <f t="shared" si="11"/>
        <v>0</v>
      </c>
      <c r="AC79" s="173">
        <f t="shared" si="11"/>
        <v>0</v>
      </c>
      <c r="AD79" s="173">
        <f t="shared" si="11"/>
        <v>0</v>
      </c>
      <c r="AE79" s="173">
        <f t="shared" si="11"/>
        <v>0</v>
      </c>
      <c r="AF79" s="173">
        <f t="shared" si="11"/>
        <v>0</v>
      </c>
      <c r="AG79" s="173">
        <f t="shared" si="11"/>
        <v>0</v>
      </c>
      <c r="AH79" s="173">
        <f t="shared" si="11"/>
        <v>0</v>
      </c>
      <c r="AI79" s="173">
        <f t="shared" si="11"/>
        <v>0</v>
      </c>
      <c r="AJ79" s="173">
        <f t="shared" si="11"/>
        <v>0</v>
      </c>
      <c r="AK79" s="173">
        <f t="shared" si="11"/>
        <v>0</v>
      </c>
      <c r="AL79" s="173">
        <f t="shared" si="11"/>
        <v>0</v>
      </c>
      <c r="AM79" s="173">
        <f t="shared" si="11"/>
        <v>0</v>
      </c>
      <c r="AN79" s="173">
        <f t="shared" si="11"/>
        <v>0</v>
      </c>
      <c r="AO79" s="173">
        <f t="shared" si="11"/>
        <v>0</v>
      </c>
      <c r="AP79" s="173">
        <f t="shared" si="11"/>
        <v>0</v>
      </c>
      <c r="AQ79" s="173">
        <f t="shared" si="11"/>
        <v>0</v>
      </c>
      <c r="AR79" s="173">
        <f t="shared" si="11"/>
        <v>0</v>
      </c>
      <c r="AS79" s="173">
        <f t="shared" si="11"/>
        <v>0</v>
      </c>
      <c r="AT79" s="173">
        <f t="shared" si="11"/>
        <v>0</v>
      </c>
      <c r="AU79" s="173">
        <f t="shared" si="11"/>
        <v>0</v>
      </c>
      <c r="AV79" s="173">
        <f t="shared" si="11"/>
        <v>0</v>
      </c>
      <c r="AW79" s="173">
        <f t="shared" si="11"/>
        <v>0</v>
      </c>
      <c r="AX79" s="173">
        <f t="shared" si="11"/>
        <v>0</v>
      </c>
      <c r="AY79" s="173">
        <f t="shared" si="11"/>
        <v>0</v>
      </c>
      <c r="AZ79" s="173">
        <f t="shared" si="11"/>
        <v>0</v>
      </c>
      <c r="BA79" s="173">
        <f t="shared" si="11"/>
        <v>0</v>
      </c>
      <c r="BB79" s="173">
        <f t="shared" si="11"/>
        <v>0</v>
      </c>
      <c r="BC79" s="173">
        <f t="shared" si="11"/>
        <v>0</v>
      </c>
      <c r="BD79" s="173">
        <f t="shared" si="11"/>
        <v>0</v>
      </c>
      <c r="BE79" s="173">
        <f t="shared" si="11"/>
        <v>0</v>
      </c>
      <c r="BF79" s="173">
        <f t="shared" si="11"/>
        <v>0</v>
      </c>
      <c r="BG79" s="173">
        <f t="shared" si="11"/>
        <v>0</v>
      </c>
      <c r="BH79" s="173">
        <f t="shared" si="11"/>
        <v>0</v>
      </c>
      <c r="BI79" s="173">
        <f t="shared" si="11"/>
        <v>0</v>
      </c>
      <c r="BJ79" s="173">
        <f t="shared" si="11"/>
        <v>0</v>
      </c>
      <c r="BK79" s="173">
        <f t="shared" si="11"/>
        <v>0</v>
      </c>
      <c r="BL79" s="173">
        <f t="shared" si="11"/>
        <v>0</v>
      </c>
      <c r="BM79" s="173">
        <f t="shared" si="11"/>
        <v>0</v>
      </c>
      <c r="BN79" s="173">
        <f t="shared" si="11"/>
        <v>0</v>
      </c>
      <c r="BO79" s="173">
        <f t="shared" si="11"/>
        <v>0</v>
      </c>
      <c r="BP79" s="173">
        <f t="shared" si="11"/>
        <v>0</v>
      </c>
      <c r="BQ79" s="173">
        <f t="shared" si="11"/>
        <v>0</v>
      </c>
      <c r="BR79" s="173">
        <f t="shared" si="11"/>
        <v>0</v>
      </c>
      <c r="BS79" s="173">
        <f t="shared" si="11"/>
        <v>0</v>
      </c>
      <c r="BT79" s="173">
        <f t="shared" si="11"/>
        <v>0</v>
      </c>
      <c r="BU79" s="173">
        <f t="shared" si="11"/>
        <v>0</v>
      </c>
      <c r="BV79" s="173">
        <f t="shared" si="11"/>
        <v>0</v>
      </c>
      <c r="BW79" s="173">
        <f t="shared" si="11"/>
        <v>0</v>
      </c>
      <c r="BX79" s="173">
        <f t="shared" si="11"/>
        <v>0</v>
      </c>
      <c r="BY79" s="173">
        <f t="shared" si="11"/>
        <v>0</v>
      </c>
      <c r="BZ79" s="173">
        <f t="shared" si="11"/>
        <v>0</v>
      </c>
      <c r="CA79" s="173">
        <f t="shared" si="11"/>
        <v>0</v>
      </c>
      <c r="CB79" s="173">
        <f t="shared" si="11"/>
        <v>0</v>
      </c>
      <c r="CC79" s="173">
        <f t="shared" si="11"/>
        <v>0</v>
      </c>
      <c r="CD79" s="173">
        <f t="shared" si="11"/>
        <v>0</v>
      </c>
      <c r="CE79" s="173">
        <f t="shared" si="11"/>
        <v>0</v>
      </c>
      <c r="CF79" s="173">
        <f t="shared" si="11"/>
        <v>0</v>
      </c>
      <c r="CG79" s="173">
        <f t="shared" si="11"/>
        <v>0</v>
      </c>
      <c r="CH79" s="173">
        <f t="shared" si="11"/>
        <v>0</v>
      </c>
      <c r="CI79" s="173">
        <f t="shared" si="11"/>
        <v>0</v>
      </c>
      <c r="CJ79" s="173">
        <f t="shared" si="11"/>
        <v>0</v>
      </c>
      <c r="CK79" s="173">
        <f t="shared" si="11"/>
        <v>0</v>
      </c>
      <c r="CL79" s="173">
        <f t="shared" si="11"/>
        <v>0</v>
      </c>
      <c r="CM79" s="173">
        <f t="shared" si="11"/>
        <v>0</v>
      </c>
      <c r="CN79" s="173">
        <f t="shared" si="11"/>
        <v>0</v>
      </c>
      <c r="CO79" s="173">
        <f t="shared" si="11"/>
        <v>0</v>
      </c>
      <c r="CP79" s="173">
        <f t="shared" si="11"/>
        <v>0</v>
      </c>
      <c r="CQ79" s="173">
        <f t="shared" si="11"/>
        <v>0</v>
      </c>
      <c r="CR79" s="173">
        <f t="shared" si="11"/>
        <v>0</v>
      </c>
      <c r="CS79" s="173">
        <f t="shared" si="11"/>
        <v>0</v>
      </c>
      <c r="CT79" s="173">
        <f t="shared" si="11"/>
        <v>0</v>
      </c>
      <c r="CU79" s="173">
        <f t="shared" si="11"/>
        <v>0</v>
      </c>
      <c r="CV79" s="173">
        <f t="shared" si="11"/>
        <v>0</v>
      </c>
      <c r="CW79" s="173">
        <f t="shared" si="11"/>
        <v>0</v>
      </c>
      <c r="CX79" s="173">
        <f t="shared" si="11"/>
        <v>0</v>
      </c>
      <c r="CY79" s="173">
        <f t="shared" si="11"/>
        <v>0</v>
      </c>
      <c r="CZ79" s="173">
        <f t="shared" si="11"/>
        <v>0</v>
      </c>
      <c r="DA79" s="173">
        <f t="shared" si="11"/>
        <v>0</v>
      </c>
      <c r="DB79" s="173">
        <f t="shared" si="11"/>
        <v>0</v>
      </c>
      <c r="DC79" s="173">
        <f t="shared" si="11"/>
        <v>0</v>
      </c>
      <c r="DD79" s="173">
        <f t="shared" si="11"/>
        <v>0</v>
      </c>
      <c r="DE79" s="173">
        <f t="shared" si="11"/>
        <v>0</v>
      </c>
      <c r="DF79" s="173">
        <f t="shared" si="11"/>
        <v>0</v>
      </c>
      <c r="DG79" s="173">
        <f t="shared" si="11"/>
        <v>0</v>
      </c>
      <c r="DH79" s="173">
        <f t="shared" si="11"/>
        <v>0</v>
      </c>
      <c r="DI79" s="173">
        <f t="shared" si="11"/>
        <v>0</v>
      </c>
      <c r="DJ79" s="173">
        <f t="shared" si="11"/>
        <v>0</v>
      </c>
      <c r="DK79" s="173">
        <f t="shared" si="11"/>
        <v>0</v>
      </c>
      <c r="DL79" s="173">
        <f t="shared" si="11"/>
        <v>0</v>
      </c>
      <c r="DM79" s="173">
        <f t="shared" si="11"/>
        <v>0</v>
      </c>
      <c r="DN79" s="173">
        <f t="shared" si="11"/>
        <v>0</v>
      </c>
      <c r="DO79" s="173">
        <f t="shared" si="11"/>
        <v>0</v>
      </c>
      <c r="DP79" s="173">
        <f t="shared" si="11"/>
        <v>0</v>
      </c>
      <c r="DQ79" s="173">
        <f t="shared" si="11"/>
        <v>0</v>
      </c>
      <c r="DR79" s="173">
        <f t="shared" si="11"/>
        <v>0</v>
      </c>
      <c r="DS79" s="161">
        <f t="shared" si="11"/>
        <v>0</v>
      </c>
    </row>
    <row r="80" ht="15.0" customHeight="1">
      <c r="A80" s="44"/>
      <c r="B80" s="46" t="str">
        <f>"  Capital Partner ("&amp;TEXT(Inputs!C90,"0.0%")&amp;")"</f>
        <v>  Capital Partner (-24.6%)</v>
      </c>
      <c r="C80" s="152">
        <f>C79*Inputs!C90</f>
        <v>0</v>
      </c>
      <c r="D80" s="152">
        <f>D79*Inputs!C90</f>
        <v>0</v>
      </c>
      <c r="E80" s="152">
        <f>E79*Inputs!C90</f>
        <v>0</v>
      </c>
      <c r="F80" s="152">
        <f>F79*Inputs!C90</f>
        <v>0</v>
      </c>
      <c r="G80" s="152">
        <f>G79*Inputs!C90</f>
        <v>0</v>
      </c>
      <c r="H80" s="152">
        <f>H79*Inputs!C90</f>
        <v>0</v>
      </c>
      <c r="I80" s="152">
        <f>I79*Inputs!C90</f>
        <v>0</v>
      </c>
      <c r="J80" s="152">
        <f>J79*Inputs!C90</f>
        <v>0</v>
      </c>
      <c r="K80" s="152">
        <f>K79*Inputs!C90</f>
        <v>0</v>
      </c>
      <c r="L80" s="152">
        <f>L79*Inputs!C90</f>
        <v>0</v>
      </c>
      <c r="M80" s="152">
        <f>M79*Inputs!C90</f>
        <v>0</v>
      </c>
      <c r="N80" s="152">
        <f>N79*Inputs!C90</f>
        <v>0</v>
      </c>
      <c r="O80" s="152">
        <f>O79*Inputs!C90</f>
        <v>0</v>
      </c>
      <c r="P80" s="152">
        <f>P79*Inputs!C90</f>
        <v>0</v>
      </c>
      <c r="Q80" s="152">
        <f>Q79*Inputs!C90</f>
        <v>0</v>
      </c>
      <c r="R80" s="152">
        <f>R79*Inputs!C90</f>
        <v>0</v>
      </c>
      <c r="S80" s="152">
        <f>S79*Inputs!C90</f>
        <v>0</v>
      </c>
      <c r="T80" s="152">
        <f>T79*Inputs!C90</f>
        <v>0</v>
      </c>
      <c r="U80" s="152">
        <f>U79*Inputs!C90</f>
        <v>0</v>
      </c>
      <c r="V80" s="152">
        <f>V79*Inputs!C90</f>
        <v>0</v>
      </c>
      <c r="W80" s="152">
        <f>W79*Inputs!C90</f>
        <v>0</v>
      </c>
      <c r="X80" s="152">
        <f>X79*Inputs!C90</f>
        <v>0</v>
      </c>
      <c r="Y80" s="152">
        <f>Y79*Inputs!C90</f>
        <v>0</v>
      </c>
      <c r="Z80" s="152">
        <f>Z79*Inputs!C90</f>
        <v>0</v>
      </c>
      <c r="AA80" s="152">
        <f>AA79*Inputs!C90</f>
        <v>0</v>
      </c>
      <c r="AB80" s="152">
        <f>AB79*Inputs!C90</f>
        <v>0</v>
      </c>
      <c r="AC80" s="152">
        <f>AC79*Inputs!C90</f>
        <v>0</v>
      </c>
      <c r="AD80" s="152">
        <f>AD79*Inputs!C90</f>
        <v>0</v>
      </c>
      <c r="AE80" s="152">
        <f>AE79*Inputs!C90</f>
        <v>0</v>
      </c>
      <c r="AF80" s="152">
        <f>AF79*Inputs!C90</f>
        <v>0</v>
      </c>
      <c r="AG80" s="152">
        <f>AG79*Inputs!C90</f>
        <v>0</v>
      </c>
      <c r="AH80" s="152">
        <f>AH79*Inputs!C90</f>
        <v>0</v>
      </c>
      <c r="AI80" s="152">
        <f>AI79*Inputs!C90</f>
        <v>0</v>
      </c>
      <c r="AJ80" s="152">
        <f>AJ79*Inputs!C90</f>
        <v>0</v>
      </c>
      <c r="AK80" s="152">
        <f>AK79*Inputs!C90</f>
        <v>0</v>
      </c>
      <c r="AL80" s="152">
        <f>AL79*Inputs!C90</f>
        <v>0</v>
      </c>
      <c r="AM80" s="152">
        <f>AM79*Inputs!C90</f>
        <v>0</v>
      </c>
      <c r="AN80" s="152">
        <f>AN79*Inputs!C90</f>
        <v>0</v>
      </c>
      <c r="AO80" s="152">
        <f>AO79*Inputs!C90</f>
        <v>0</v>
      </c>
      <c r="AP80" s="152">
        <f>AP79*Inputs!C90</f>
        <v>0</v>
      </c>
      <c r="AQ80" s="152">
        <f>AQ79*Inputs!C90</f>
        <v>0</v>
      </c>
      <c r="AR80" s="152">
        <f>AR79*Inputs!C90</f>
        <v>0</v>
      </c>
      <c r="AS80" s="152">
        <f>AS79*Inputs!C90</f>
        <v>0</v>
      </c>
      <c r="AT80" s="152">
        <f>AT79*Inputs!C90</f>
        <v>0</v>
      </c>
      <c r="AU80" s="152">
        <f>AU79*Inputs!C90</f>
        <v>0</v>
      </c>
      <c r="AV80" s="152">
        <f>AV79*Inputs!C90</f>
        <v>0</v>
      </c>
      <c r="AW80" s="152">
        <f>AW79*Inputs!C90</f>
        <v>0</v>
      </c>
      <c r="AX80" s="152">
        <f>AX79*Inputs!C90</f>
        <v>0</v>
      </c>
      <c r="AY80" s="152">
        <f>AY79*Inputs!C90</f>
        <v>0</v>
      </c>
      <c r="AZ80" s="152">
        <f>AZ79*Inputs!C90</f>
        <v>0</v>
      </c>
      <c r="BA80" s="152">
        <f>BA79*Inputs!C90</f>
        <v>0</v>
      </c>
      <c r="BB80" s="152">
        <f>BB79*Inputs!C90</f>
        <v>0</v>
      </c>
      <c r="BC80" s="152">
        <f>BC79*Inputs!C90</f>
        <v>0</v>
      </c>
      <c r="BD80" s="152">
        <f>BD79*Inputs!C90</f>
        <v>0</v>
      </c>
      <c r="BE80" s="152">
        <f>BE79*Inputs!C90</f>
        <v>0</v>
      </c>
      <c r="BF80" s="152">
        <f>BF79*Inputs!C90</f>
        <v>0</v>
      </c>
      <c r="BG80" s="152">
        <f>BG79*Inputs!C90</f>
        <v>0</v>
      </c>
      <c r="BH80" s="152">
        <f>BH79*Inputs!C90</f>
        <v>0</v>
      </c>
      <c r="BI80" s="152">
        <f>BI79*Inputs!C90</f>
        <v>0</v>
      </c>
      <c r="BJ80" s="152">
        <f>BJ79*Inputs!C90</f>
        <v>0</v>
      </c>
      <c r="BK80" s="152">
        <f>BK79*Inputs!C90</f>
        <v>0</v>
      </c>
      <c r="BL80" s="152">
        <f>BL79*Inputs!C90</f>
        <v>0</v>
      </c>
      <c r="BM80" s="152">
        <f>BM79*Inputs!C90</f>
        <v>0</v>
      </c>
      <c r="BN80" s="152">
        <f>BN79*Inputs!C90</f>
        <v>0</v>
      </c>
      <c r="BO80" s="152">
        <f>BO79*Inputs!C90</f>
        <v>0</v>
      </c>
      <c r="BP80" s="152">
        <f>BP79*Inputs!C90</f>
        <v>0</v>
      </c>
      <c r="BQ80" s="152">
        <f>BQ79*Inputs!C90</f>
        <v>0</v>
      </c>
      <c r="BR80" s="152">
        <f>BR79*Inputs!C90</f>
        <v>0</v>
      </c>
      <c r="BS80" s="152">
        <f>BS79*Inputs!C90</f>
        <v>0</v>
      </c>
      <c r="BT80" s="152">
        <f>BT79*Inputs!C90</f>
        <v>0</v>
      </c>
      <c r="BU80" s="152">
        <f>BU79*Inputs!C90</f>
        <v>0</v>
      </c>
      <c r="BV80" s="152">
        <f>BV79*Inputs!C90</f>
        <v>0</v>
      </c>
      <c r="BW80" s="152">
        <f>BW79*Inputs!C90</f>
        <v>0</v>
      </c>
      <c r="BX80" s="152">
        <f>BX79*Inputs!C90</f>
        <v>0</v>
      </c>
      <c r="BY80" s="152">
        <f>BY79*Inputs!C90</f>
        <v>0</v>
      </c>
      <c r="BZ80" s="152">
        <f>BZ79*Inputs!C90</f>
        <v>0</v>
      </c>
      <c r="CA80" s="152">
        <f>CA79*Inputs!C90</f>
        <v>0</v>
      </c>
      <c r="CB80" s="152">
        <f>CB79*Inputs!C90</f>
        <v>0</v>
      </c>
      <c r="CC80" s="152">
        <f>CC79*Inputs!C90</f>
        <v>0</v>
      </c>
      <c r="CD80" s="152">
        <f>CD79*Inputs!C90</f>
        <v>0</v>
      </c>
      <c r="CE80" s="152">
        <f>CE79*Inputs!C90</f>
        <v>0</v>
      </c>
      <c r="CF80" s="152">
        <f>CF79*Inputs!C90</f>
        <v>0</v>
      </c>
      <c r="CG80" s="152">
        <f>CG79*Inputs!C90</f>
        <v>0</v>
      </c>
      <c r="CH80" s="152">
        <f>CH79*Inputs!C90</f>
        <v>0</v>
      </c>
      <c r="CI80" s="152">
        <f>CI79*Inputs!C90</f>
        <v>0</v>
      </c>
      <c r="CJ80" s="152">
        <f>CJ79*Inputs!C90</f>
        <v>0</v>
      </c>
      <c r="CK80" s="152">
        <f>CK79*Inputs!C90</f>
        <v>0</v>
      </c>
      <c r="CL80" s="152">
        <f>CL79*Inputs!C90</f>
        <v>0</v>
      </c>
      <c r="CM80" s="152">
        <f>CM79*Inputs!C90</f>
        <v>0</v>
      </c>
      <c r="CN80" s="152">
        <f>CN79*Inputs!C90</f>
        <v>0</v>
      </c>
      <c r="CO80" s="152">
        <f>CO79*Inputs!C90</f>
        <v>0</v>
      </c>
      <c r="CP80" s="152">
        <f>CP79*Inputs!C90</f>
        <v>0</v>
      </c>
      <c r="CQ80" s="152">
        <f>CQ79*Inputs!C90</f>
        <v>0</v>
      </c>
      <c r="CR80" s="152">
        <f>CR79*Inputs!C90</f>
        <v>0</v>
      </c>
      <c r="CS80" s="152">
        <f>CS79*Inputs!C90</f>
        <v>0</v>
      </c>
      <c r="CT80" s="152">
        <f>CT79*Inputs!C90</f>
        <v>0</v>
      </c>
      <c r="CU80" s="152">
        <f>CU79*Inputs!C90</f>
        <v>0</v>
      </c>
      <c r="CV80" s="152">
        <f>CV79*Inputs!C90</f>
        <v>0</v>
      </c>
      <c r="CW80" s="152">
        <f>CW79*Inputs!C90</f>
        <v>0</v>
      </c>
      <c r="CX80" s="152">
        <f>CX79*Inputs!C90</f>
        <v>0</v>
      </c>
      <c r="CY80" s="152">
        <f>CY79*Inputs!C90</f>
        <v>0</v>
      </c>
      <c r="CZ80" s="152">
        <f>CZ79*Inputs!C90</f>
        <v>0</v>
      </c>
      <c r="DA80" s="152">
        <f>DA79*Inputs!C90</f>
        <v>0</v>
      </c>
      <c r="DB80" s="152">
        <f>DB79*Inputs!C90</f>
        <v>0</v>
      </c>
      <c r="DC80" s="152">
        <f>DC79*Inputs!C90</f>
        <v>0</v>
      </c>
      <c r="DD80" s="152">
        <f>DD79*Inputs!C90</f>
        <v>0</v>
      </c>
      <c r="DE80" s="152">
        <f>DE79*Inputs!C90</f>
        <v>0</v>
      </c>
      <c r="DF80" s="152">
        <f>DF79*Inputs!C90</f>
        <v>0</v>
      </c>
      <c r="DG80" s="152">
        <f>DG79*Inputs!C90</f>
        <v>0</v>
      </c>
      <c r="DH80" s="152">
        <f>DH79*Inputs!C90</f>
        <v>0</v>
      </c>
      <c r="DI80" s="152">
        <f>DI79*Inputs!C90</f>
        <v>0</v>
      </c>
      <c r="DJ80" s="152">
        <f>DJ79*Inputs!C90</f>
        <v>0</v>
      </c>
      <c r="DK80" s="152">
        <f>DK79*Inputs!C90</f>
        <v>0</v>
      </c>
      <c r="DL80" s="152">
        <f>DL79*Inputs!C90</f>
        <v>0</v>
      </c>
      <c r="DM80" s="152">
        <f>DM79*Inputs!C90</f>
        <v>0</v>
      </c>
      <c r="DN80" s="152">
        <f>DN79*Inputs!C90</f>
        <v>0</v>
      </c>
      <c r="DO80" s="152">
        <f>DO79*Inputs!C90</f>
        <v>0</v>
      </c>
      <c r="DP80" s="152">
        <f>DP79*Inputs!C90</f>
        <v>0</v>
      </c>
      <c r="DQ80" s="152">
        <f>DQ79*Inputs!C90</f>
        <v>0</v>
      </c>
      <c r="DR80" s="152">
        <f>DR79*Inputs!C90</f>
        <v>0</v>
      </c>
      <c r="DS80" s="44">
        <f>DS79*Inputs!C90</f>
        <v>0</v>
      </c>
    </row>
    <row r="81" ht="15.0" customHeight="1">
      <c r="A81" s="44"/>
      <c r="B81" s="46" t="s">
        <v>360</v>
      </c>
      <c r="C81" s="152">
        <f t="array" ref="C81">IF(C$3=INDEX(Inputs!$C:$C,MATCH("End Year",Inputs!$B:$B,0))*12,Inputs!C88,0)</f>
        <v>0</v>
      </c>
      <c r="D81" s="152">
        <f t="array" ref="D81">IF(D$3=INDEX(Inputs!$C:$C,MATCH("End Year",Inputs!$B:$B,0))*12,Inputs!C88,0)</f>
        <v>0</v>
      </c>
      <c r="E81" s="152">
        <f t="array" ref="E81">IF(E$3=INDEX(Inputs!$C:$C,MATCH("End Year",Inputs!$B:$B,0))*12,Inputs!C88,0)</f>
        <v>0</v>
      </c>
      <c r="F81" s="152">
        <f t="array" ref="F81">IF(F$3=INDEX(Inputs!$C:$C,MATCH("End Year",Inputs!$B:$B,0))*12,Inputs!C88,0)</f>
        <v>0</v>
      </c>
      <c r="G81" s="152">
        <f t="array" ref="G81">IF(G$3=INDEX(Inputs!$C:$C,MATCH("End Year",Inputs!$B:$B,0))*12,Inputs!C88,0)</f>
        <v>0</v>
      </c>
      <c r="H81" s="152">
        <f t="array" ref="H81">IF(H$3=INDEX(Inputs!$C:$C,MATCH("End Year",Inputs!$B:$B,0))*12,Inputs!C88,0)</f>
        <v>0</v>
      </c>
      <c r="I81" s="152">
        <f t="array" ref="I81">IF(I$3=INDEX(Inputs!$C:$C,MATCH("End Year",Inputs!$B:$B,0))*12,Inputs!C88,0)</f>
        <v>0</v>
      </c>
      <c r="J81" s="152">
        <f t="array" ref="J81">IF(J$3=INDEX(Inputs!$C:$C,MATCH("End Year",Inputs!$B:$B,0))*12,Inputs!C88,0)</f>
        <v>0</v>
      </c>
      <c r="K81" s="152">
        <f t="array" ref="K81">IF(K$3=INDEX(Inputs!$C:$C,MATCH("End Year",Inputs!$B:$B,0))*12,Inputs!C88,0)</f>
        <v>0</v>
      </c>
      <c r="L81" s="152">
        <f t="array" ref="L81">IF(L$3=INDEX(Inputs!$C:$C,MATCH("End Year",Inputs!$B:$B,0))*12,Inputs!C88,0)</f>
        <v>0</v>
      </c>
      <c r="M81" s="152">
        <f t="array" ref="M81">IF(M$3=INDEX(Inputs!$C:$C,MATCH("End Year",Inputs!$B:$B,0))*12,Inputs!C88,0)</f>
        <v>0</v>
      </c>
      <c r="N81" s="152">
        <f t="array" ref="N81">IF(N$3=INDEX(Inputs!$C:$C,MATCH("End Year",Inputs!$B:$B,0))*12,Inputs!C88,0)</f>
        <v>0</v>
      </c>
      <c r="O81" s="152">
        <f t="array" ref="O81">IF(O$3=INDEX(Inputs!$C:$C,MATCH("End Year",Inputs!$B:$B,0))*12,Inputs!C88,0)</f>
        <v>0</v>
      </c>
      <c r="P81" s="152">
        <f t="array" ref="P81">IF(P$3=INDEX(Inputs!$C:$C,MATCH("End Year",Inputs!$B:$B,0))*12,Inputs!C88,0)</f>
        <v>0</v>
      </c>
      <c r="Q81" s="152">
        <f t="array" ref="Q81">IF(Q$3=INDEX(Inputs!$C:$C,MATCH("End Year",Inputs!$B:$B,0))*12,Inputs!C88,0)</f>
        <v>0</v>
      </c>
      <c r="R81" s="152">
        <f t="array" ref="R81">IF(R$3=INDEX(Inputs!$C:$C,MATCH("End Year",Inputs!$B:$B,0))*12,Inputs!C88,0)</f>
        <v>0</v>
      </c>
      <c r="S81" s="152">
        <f t="array" ref="S81">IF(S$3=INDEX(Inputs!$C:$C,MATCH("End Year",Inputs!$B:$B,0))*12,Inputs!C88,0)</f>
        <v>0</v>
      </c>
      <c r="T81" s="152">
        <f t="array" ref="T81">IF(T$3=INDEX(Inputs!$C:$C,MATCH("End Year",Inputs!$B:$B,0))*12,Inputs!C88,0)</f>
        <v>0</v>
      </c>
      <c r="U81" s="152">
        <f t="array" ref="U81">IF(U$3=INDEX(Inputs!$C:$C,MATCH("End Year",Inputs!$B:$B,0))*12,Inputs!C88,0)</f>
        <v>0</v>
      </c>
      <c r="V81" s="152">
        <f t="array" ref="V81">IF(V$3=INDEX(Inputs!$C:$C,MATCH("End Year",Inputs!$B:$B,0))*12,Inputs!C88,0)</f>
        <v>0</v>
      </c>
      <c r="W81" s="152">
        <f t="array" ref="W81">IF(W$3=INDEX(Inputs!$C:$C,MATCH("End Year",Inputs!$B:$B,0))*12,Inputs!C88,0)</f>
        <v>0</v>
      </c>
      <c r="X81" s="152">
        <f t="array" ref="X81">IF(X$3=INDEX(Inputs!$C:$C,MATCH("End Year",Inputs!$B:$B,0))*12,Inputs!C88,0)</f>
        <v>0</v>
      </c>
      <c r="Y81" s="152">
        <f t="array" ref="Y81">IF(Y$3=INDEX(Inputs!$C:$C,MATCH("End Year",Inputs!$B:$B,0))*12,Inputs!C88,0)</f>
        <v>0</v>
      </c>
      <c r="Z81" s="152">
        <f t="array" ref="Z81">IF(Z$3=INDEX(Inputs!$C:$C,MATCH("End Year",Inputs!$B:$B,0))*12,Inputs!C88,0)</f>
        <v>0</v>
      </c>
      <c r="AA81" s="152">
        <f t="array" ref="AA81">IF(AA$3=INDEX(Inputs!$C:$C,MATCH("End Year",Inputs!$B:$B,0))*12,Inputs!C88,0)</f>
        <v>0</v>
      </c>
      <c r="AB81" s="152">
        <f t="array" ref="AB81">IF(AB$3=INDEX(Inputs!$C:$C,MATCH("End Year",Inputs!$B:$B,0))*12,Inputs!C88,0)</f>
        <v>0</v>
      </c>
      <c r="AC81" s="152">
        <f t="array" ref="AC81">IF(AC$3=INDEX(Inputs!$C:$C,MATCH("End Year",Inputs!$B:$B,0))*12,Inputs!C88,0)</f>
        <v>0</v>
      </c>
      <c r="AD81" s="152">
        <f t="array" ref="AD81">IF(AD$3=INDEX(Inputs!$C:$C,MATCH("End Year",Inputs!$B:$B,0))*12,Inputs!C88,0)</f>
        <v>0</v>
      </c>
      <c r="AE81" s="152">
        <f t="array" ref="AE81">IF(AE$3=INDEX(Inputs!$C:$C,MATCH("End Year",Inputs!$B:$B,0))*12,Inputs!C88,0)</f>
        <v>0</v>
      </c>
      <c r="AF81" s="152">
        <f t="array" ref="AF81">IF(AF$3=INDEX(Inputs!$C:$C,MATCH("End Year",Inputs!$B:$B,0))*12,Inputs!C88,0)</f>
        <v>0</v>
      </c>
      <c r="AG81" s="152">
        <f t="array" ref="AG81">IF(AG$3=INDEX(Inputs!$C:$C,MATCH("End Year",Inputs!$B:$B,0))*12,Inputs!C88,0)</f>
        <v>0</v>
      </c>
      <c r="AH81" s="152">
        <f t="array" ref="AH81">IF(AH$3=INDEX(Inputs!$C:$C,MATCH("End Year",Inputs!$B:$B,0))*12,Inputs!C88,0)</f>
        <v>0</v>
      </c>
      <c r="AI81" s="152">
        <f t="array" ref="AI81">IF(AI$3=INDEX(Inputs!$C:$C,MATCH("End Year",Inputs!$B:$B,0))*12,Inputs!C88,0)</f>
        <v>0</v>
      </c>
      <c r="AJ81" s="152">
        <f t="array" ref="AJ81">IF(AJ$3=INDEX(Inputs!$C:$C,MATCH("End Year",Inputs!$B:$B,0))*12,Inputs!C88,0)</f>
        <v>0</v>
      </c>
      <c r="AK81" s="152">
        <f t="array" ref="AK81">IF(AK$3=INDEX(Inputs!$C:$C,MATCH("End Year",Inputs!$B:$B,0))*12,Inputs!C88,0)</f>
        <v>0</v>
      </c>
      <c r="AL81" s="152">
        <f t="array" ref="AL81">IF(AL$3=INDEX(Inputs!$C:$C,MATCH("End Year",Inputs!$B:$B,0))*12,Inputs!C88,0)</f>
        <v>0</v>
      </c>
      <c r="AM81" s="152">
        <f t="array" ref="AM81">IF(AM$3=INDEX(Inputs!$C:$C,MATCH("End Year",Inputs!$B:$B,0))*12,Inputs!C88,0)</f>
        <v>0</v>
      </c>
      <c r="AN81" s="152">
        <f t="array" ref="AN81">IF(AN$3=INDEX(Inputs!$C:$C,MATCH("End Year",Inputs!$B:$B,0))*12,Inputs!C88,0)</f>
        <v>0</v>
      </c>
      <c r="AO81" s="152">
        <f t="array" ref="AO81">IF(AO$3=INDEX(Inputs!$C:$C,MATCH("End Year",Inputs!$B:$B,0))*12,Inputs!C88,0)</f>
        <v>0</v>
      </c>
      <c r="AP81" s="152">
        <f t="array" ref="AP81">IF(AP$3=INDEX(Inputs!$C:$C,MATCH("End Year",Inputs!$B:$B,0))*12,Inputs!C88,0)</f>
        <v>0</v>
      </c>
      <c r="AQ81" s="152">
        <f t="array" ref="AQ81">IF(AQ$3=INDEX(Inputs!$C:$C,MATCH("End Year",Inputs!$B:$B,0))*12,Inputs!C88,0)</f>
        <v>0</v>
      </c>
      <c r="AR81" s="152">
        <f t="array" ref="AR81">IF(AR$3=INDEX(Inputs!$C:$C,MATCH("End Year",Inputs!$B:$B,0))*12,Inputs!C88,0)</f>
        <v>0</v>
      </c>
      <c r="AS81" s="152">
        <f t="array" ref="AS81">IF(AS$3=INDEX(Inputs!$C:$C,MATCH("End Year",Inputs!$B:$B,0))*12,Inputs!C88,0)</f>
        <v>0</v>
      </c>
      <c r="AT81" s="152">
        <f t="array" ref="AT81">IF(AT$3=INDEX(Inputs!$C:$C,MATCH("End Year",Inputs!$B:$B,0))*12,Inputs!C88,0)</f>
        <v>0</v>
      </c>
      <c r="AU81" s="152">
        <f t="array" ref="AU81">IF(AU$3=INDEX(Inputs!$C:$C,MATCH("End Year",Inputs!$B:$B,0))*12,Inputs!C88,0)</f>
        <v>0</v>
      </c>
      <c r="AV81" s="152">
        <f t="array" ref="AV81">IF(AV$3=INDEX(Inputs!$C:$C,MATCH("End Year",Inputs!$B:$B,0))*12,Inputs!C88,0)</f>
        <v>0</v>
      </c>
      <c r="AW81" s="152">
        <f t="array" ref="AW81">IF(AW$3=INDEX(Inputs!$C:$C,MATCH("End Year",Inputs!$B:$B,0))*12,Inputs!C88,0)</f>
        <v>0</v>
      </c>
      <c r="AX81" s="152">
        <f t="array" ref="AX81">IF(AX$3=INDEX(Inputs!$C:$C,MATCH("End Year",Inputs!$B:$B,0))*12,Inputs!C88,0)</f>
        <v>0</v>
      </c>
      <c r="AY81" s="152">
        <f t="array" ref="AY81">IF(AY$3=INDEX(Inputs!$C:$C,MATCH("End Year",Inputs!$B:$B,0))*12,Inputs!C88,0)</f>
        <v>0</v>
      </c>
      <c r="AZ81" s="152">
        <f t="array" ref="AZ81">IF(AZ$3=INDEX(Inputs!$C:$C,MATCH("End Year",Inputs!$B:$B,0))*12,Inputs!C88,0)</f>
        <v>0</v>
      </c>
      <c r="BA81" s="152">
        <f t="array" ref="BA81">IF(BA$3=INDEX(Inputs!$C:$C,MATCH("End Year",Inputs!$B:$B,0))*12,Inputs!C88,0)</f>
        <v>0</v>
      </c>
      <c r="BB81" s="152">
        <f t="array" ref="BB81">IF(BB$3=INDEX(Inputs!$C:$C,MATCH("End Year",Inputs!$B:$B,0))*12,Inputs!C88,0)</f>
        <v>0</v>
      </c>
      <c r="BC81" s="152">
        <f t="array" ref="BC81">IF(BC$3=INDEX(Inputs!$C:$C,MATCH("End Year",Inputs!$B:$B,0))*12,Inputs!C88,0)</f>
        <v>0</v>
      </c>
      <c r="BD81" s="152">
        <f t="array" ref="BD81">IF(BD$3=INDEX(Inputs!$C:$C,MATCH("End Year",Inputs!$B:$B,0))*12,Inputs!C88,0)</f>
        <v>0</v>
      </c>
      <c r="BE81" s="152">
        <f t="array" ref="BE81">IF(BE$3=INDEX(Inputs!$C:$C,MATCH("End Year",Inputs!$B:$B,0))*12,Inputs!C88,0)</f>
        <v>0</v>
      </c>
      <c r="BF81" s="152">
        <f t="array" ref="BF81">IF(BF$3=INDEX(Inputs!$C:$C,MATCH("End Year",Inputs!$B:$B,0))*12,Inputs!C88,0)</f>
        <v>0</v>
      </c>
      <c r="BG81" s="152">
        <f t="array" ref="BG81">IF(BG$3=INDEX(Inputs!$C:$C,MATCH("End Year",Inputs!$B:$B,0))*12,Inputs!C88,0)</f>
        <v>0</v>
      </c>
      <c r="BH81" s="152">
        <f t="array" ref="BH81">IF(BH$3=INDEX(Inputs!$C:$C,MATCH("End Year",Inputs!$B:$B,0))*12,Inputs!C88,0)</f>
        <v>0</v>
      </c>
      <c r="BI81" s="152">
        <f t="array" ref="BI81">IF(BI$3=INDEX(Inputs!$C:$C,MATCH("End Year",Inputs!$B:$B,0))*12,Inputs!C88,0)</f>
        <v>0</v>
      </c>
      <c r="BJ81" s="152">
        <f t="array" ref="BJ81">IF(BJ$3=INDEX(Inputs!$C:$C,MATCH("End Year",Inputs!$B:$B,0))*12,Inputs!C88,0)</f>
        <v>0</v>
      </c>
      <c r="BK81" s="152">
        <f t="array" ref="BK81">IF(BK$3=INDEX(Inputs!$C:$C,MATCH("End Year",Inputs!$B:$B,0))*12,Inputs!C88,0)</f>
        <v>0</v>
      </c>
      <c r="BL81" s="152">
        <f t="array" ref="BL81">IF(BL$3=INDEX(Inputs!$C:$C,MATCH("End Year",Inputs!$B:$B,0))*12,Inputs!C88,0)</f>
        <v>0</v>
      </c>
      <c r="BM81" s="152">
        <f t="array" ref="BM81">IF(BM$3=INDEX(Inputs!$C:$C,MATCH("End Year",Inputs!$B:$B,0))*12,Inputs!C88,0)</f>
        <v>0</v>
      </c>
      <c r="BN81" s="152">
        <f t="array" ref="BN81">IF(BN$3=INDEX(Inputs!$C:$C,MATCH("End Year",Inputs!$B:$B,0))*12,Inputs!C88,0)</f>
        <v>0</v>
      </c>
      <c r="BO81" s="152">
        <f t="array" ref="BO81">IF(BO$3=INDEX(Inputs!$C:$C,MATCH("End Year",Inputs!$B:$B,0))*12,Inputs!C88,0)</f>
        <v>0</v>
      </c>
      <c r="BP81" s="152">
        <f t="array" ref="BP81">IF(BP$3=INDEX(Inputs!$C:$C,MATCH("End Year",Inputs!$B:$B,0))*12,Inputs!C88,0)</f>
        <v>0</v>
      </c>
      <c r="BQ81" s="152">
        <f t="array" ref="BQ81">IF(BQ$3=INDEX(Inputs!$C:$C,MATCH("End Year",Inputs!$B:$B,0))*12,Inputs!C88,0)</f>
        <v>0</v>
      </c>
      <c r="BR81" s="152">
        <f t="array" ref="BR81">IF(BR$3=INDEX(Inputs!$C:$C,MATCH("End Year",Inputs!$B:$B,0))*12,Inputs!C88,0)</f>
        <v>0</v>
      </c>
      <c r="BS81" s="152">
        <f t="array" ref="BS81">IF(BS$3=INDEX(Inputs!$C:$C,MATCH("End Year",Inputs!$B:$B,0))*12,Inputs!C88,0)</f>
        <v>0</v>
      </c>
      <c r="BT81" s="152">
        <f t="array" ref="BT81">IF(BT$3=INDEX(Inputs!$C:$C,MATCH("End Year",Inputs!$B:$B,0))*12,Inputs!C88,0)</f>
        <v>0</v>
      </c>
      <c r="BU81" s="152">
        <f t="array" ref="BU81">IF(BU$3=INDEX(Inputs!$C:$C,MATCH("End Year",Inputs!$B:$B,0))*12,Inputs!C88,0)</f>
        <v>0</v>
      </c>
      <c r="BV81" s="152">
        <f t="array" ref="BV81">IF(BV$3=INDEX(Inputs!$C:$C,MATCH("End Year",Inputs!$B:$B,0))*12,Inputs!C88,0)</f>
        <v>0</v>
      </c>
      <c r="BW81" s="152">
        <f t="array" ref="BW81">IF(BW$3=INDEX(Inputs!$C:$C,MATCH("End Year",Inputs!$B:$B,0))*12,Inputs!C88,0)</f>
        <v>0</v>
      </c>
      <c r="BX81" s="152">
        <f t="array" ref="BX81">IF(BX$3=INDEX(Inputs!$C:$C,MATCH("End Year",Inputs!$B:$B,0))*12,Inputs!C88,0)</f>
        <v>0</v>
      </c>
      <c r="BY81" s="152">
        <f t="array" ref="BY81">IF(BY$3=INDEX(Inputs!$C:$C,MATCH("End Year",Inputs!$B:$B,0))*12,Inputs!C88,0)</f>
        <v>0</v>
      </c>
      <c r="BZ81" s="152">
        <f t="array" ref="BZ81">IF(BZ$3=INDEX(Inputs!$C:$C,MATCH("End Year",Inputs!$B:$B,0))*12,Inputs!C88,0)</f>
        <v>0</v>
      </c>
      <c r="CA81" s="152">
        <f t="array" ref="CA81">IF(CA$3=INDEX(Inputs!$C:$C,MATCH("End Year",Inputs!$B:$B,0))*12,Inputs!C88,0)</f>
        <v>0</v>
      </c>
      <c r="CB81" s="152">
        <f t="array" ref="CB81">IF(CB$3=INDEX(Inputs!$C:$C,MATCH("End Year",Inputs!$B:$B,0))*12,Inputs!C88,0)</f>
        <v>0</v>
      </c>
      <c r="CC81" s="152">
        <f t="array" ref="CC81">IF(CC$3=INDEX(Inputs!$C:$C,MATCH("End Year",Inputs!$B:$B,0))*12,Inputs!C88,0)</f>
        <v>0</v>
      </c>
      <c r="CD81" s="152">
        <f t="array" ref="CD81">IF(CD$3=INDEX(Inputs!$C:$C,MATCH("End Year",Inputs!$B:$B,0))*12,Inputs!C88,0)</f>
        <v>0</v>
      </c>
      <c r="CE81" s="152">
        <f t="array" ref="CE81">IF(CE$3=INDEX(Inputs!$C:$C,MATCH("End Year",Inputs!$B:$B,0))*12,Inputs!C88,0)</f>
        <v>0</v>
      </c>
      <c r="CF81" s="152">
        <f t="array" ref="CF81">IF(CF$3=INDEX(Inputs!$C:$C,MATCH("End Year",Inputs!$B:$B,0))*12,Inputs!C88,0)</f>
        <v>0</v>
      </c>
      <c r="CG81" s="152">
        <f t="array" ref="CG81">IF(CG$3=INDEX(Inputs!$C:$C,MATCH("End Year",Inputs!$B:$B,0))*12,Inputs!C88,0)</f>
        <v>0</v>
      </c>
      <c r="CH81" s="152">
        <f t="array" ref="CH81">IF(CH$3=INDEX(Inputs!$C:$C,MATCH("End Year",Inputs!$B:$B,0))*12,Inputs!C88,0)</f>
        <v>0</v>
      </c>
      <c r="CI81" s="152">
        <f t="array" ref="CI81">IF(CI$3=INDEX(Inputs!$C:$C,MATCH("End Year",Inputs!$B:$B,0))*12,Inputs!C88,0)</f>
        <v>0</v>
      </c>
      <c r="CJ81" s="152">
        <f t="array" ref="CJ81">IF(CJ$3=INDEX(Inputs!$C:$C,MATCH("End Year",Inputs!$B:$B,0))*12,Inputs!C88,0)</f>
        <v>0</v>
      </c>
      <c r="CK81" s="152">
        <f t="array" ref="CK81">IF(CK$3=INDEX(Inputs!$C:$C,MATCH("End Year",Inputs!$B:$B,0))*12,Inputs!C88,0)</f>
        <v>0</v>
      </c>
      <c r="CL81" s="152">
        <f t="array" ref="CL81">IF(CL$3=INDEX(Inputs!$C:$C,MATCH("End Year",Inputs!$B:$B,0))*12,Inputs!C88,0)</f>
        <v>0</v>
      </c>
      <c r="CM81" s="152">
        <f t="array" ref="CM81">IF(CM$3=INDEX(Inputs!$C:$C,MATCH("End Year",Inputs!$B:$B,0))*12,Inputs!C88,0)</f>
        <v>0</v>
      </c>
      <c r="CN81" s="152">
        <f t="array" ref="CN81">IF(CN$3=INDEX(Inputs!$C:$C,MATCH("End Year",Inputs!$B:$B,0))*12,Inputs!C88,0)</f>
        <v>0</v>
      </c>
      <c r="CO81" s="152">
        <f t="array" ref="CO81">IF(CO$3=INDEX(Inputs!$C:$C,MATCH("End Year",Inputs!$B:$B,0))*12,Inputs!C88,0)</f>
        <v>0</v>
      </c>
      <c r="CP81" s="152">
        <f t="array" ref="CP81">IF(CP$3=INDEX(Inputs!$C:$C,MATCH("End Year",Inputs!$B:$B,0))*12,Inputs!C88,0)</f>
        <v>0</v>
      </c>
      <c r="CQ81" s="152">
        <f t="array" ref="CQ81">IF(CQ$3=INDEX(Inputs!$C:$C,MATCH("End Year",Inputs!$B:$B,0))*12,Inputs!C88,0)</f>
        <v>0</v>
      </c>
      <c r="CR81" s="152">
        <f t="array" ref="CR81">IF(CR$3=INDEX(Inputs!$C:$C,MATCH("End Year",Inputs!$B:$B,0))*12,Inputs!C88,0)</f>
        <v>0</v>
      </c>
      <c r="CS81" s="152">
        <f t="array" ref="CS81">IF(CS$3=INDEX(Inputs!$C:$C,MATCH("End Year",Inputs!$B:$B,0))*12,Inputs!C88,0)</f>
        <v>0</v>
      </c>
      <c r="CT81" s="152">
        <f t="array" ref="CT81">IF(CT$3=INDEX(Inputs!$C:$C,MATCH("End Year",Inputs!$B:$B,0))*12,Inputs!C88,0)</f>
        <v>0</v>
      </c>
      <c r="CU81" s="152">
        <f t="array" ref="CU81">IF(CU$3=INDEX(Inputs!$C:$C,MATCH("End Year",Inputs!$B:$B,0))*12,Inputs!C88,0)</f>
        <v>0</v>
      </c>
      <c r="CV81" s="152">
        <f t="array" ref="CV81">IF(CV$3=INDEX(Inputs!$C:$C,MATCH("End Year",Inputs!$B:$B,0))*12,Inputs!C88,0)</f>
        <v>0</v>
      </c>
      <c r="CW81" s="152">
        <f t="array" ref="CW81">IF(CW$3=INDEX(Inputs!$C:$C,MATCH("End Year",Inputs!$B:$B,0))*12,Inputs!C88,0)</f>
        <v>0</v>
      </c>
      <c r="CX81" s="152">
        <f t="array" ref="CX81">IF(CX$3=INDEX(Inputs!$C:$C,MATCH("End Year",Inputs!$B:$B,0))*12,Inputs!C88,0)</f>
        <v>0</v>
      </c>
      <c r="CY81" s="152">
        <f t="array" ref="CY81">IF(CY$3=INDEX(Inputs!$C:$C,MATCH("End Year",Inputs!$B:$B,0))*12,Inputs!C88,0)</f>
        <v>0</v>
      </c>
      <c r="CZ81" s="152">
        <f t="array" ref="CZ81">IF(CZ$3=INDEX(Inputs!$C:$C,MATCH("End Year",Inputs!$B:$B,0))*12,Inputs!C88,0)</f>
        <v>0</v>
      </c>
      <c r="DA81" s="152">
        <f t="array" ref="DA81">IF(DA$3=INDEX(Inputs!$C:$C,MATCH("End Year",Inputs!$B:$B,0))*12,Inputs!C88,0)</f>
        <v>0</v>
      </c>
      <c r="DB81" s="152">
        <f t="array" ref="DB81">IF(DB$3=INDEX(Inputs!$C:$C,MATCH("End Year",Inputs!$B:$B,0))*12,Inputs!C88,0)</f>
        <v>0</v>
      </c>
      <c r="DC81" s="152">
        <f t="array" ref="DC81">IF(DC$3=INDEX(Inputs!$C:$C,MATCH("End Year",Inputs!$B:$B,0))*12,Inputs!C88,0)</f>
        <v>0</v>
      </c>
      <c r="DD81" s="152">
        <f t="array" ref="DD81">IF(DD$3=INDEX(Inputs!$C:$C,MATCH("End Year",Inputs!$B:$B,0))*12,Inputs!C88,0)</f>
        <v>0</v>
      </c>
      <c r="DE81" s="152">
        <f t="array" ref="DE81">IF(DE$3=INDEX(Inputs!$C:$C,MATCH("End Year",Inputs!$B:$B,0))*12,Inputs!C88,0)</f>
        <v>0</v>
      </c>
      <c r="DF81" s="152">
        <f t="array" ref="DF81">IF(DF$3=INDEX(Inputs!$C:$C,MATCH("End Year",Inputs!$B:$B,0))*12,Inputs!C88,0)</f>
        <v>0</v>
      </c>
      <c r="DG81" s="152">
        <f t="array" ref="DG81">IF(DG$3=INDEX(Inputs!$C:$C,MATCH("End Year",Inputs!$B:$B,0))*12,Inputs!C88,0)</f>
        <v>0</v>
      </c>
      <c r="DH81" s="152">
        <f t="array" ref="DH81">IF(DH$3=INDEX(Inputs!$C:$C,MATCH("End Year",Inputs!$B:$B,0))*12,Inputs!C88,0)</f>
        <v>0</v>
      </c>
      <c r="DI81" s="152">
        <f t="array" ref="DI81">IF(DI$3=INDEX(Inputs!$C:$C,MATCH("End Year",Inputs!$B:$B,0))*12,Inputs!C88,0)</f>
        <v>0</v>
      </c>
      <c r="DJ81" s="152">
        <f t="array" ref="DJ81">IF(DJ$3=INDEX(Inputs!$C:$C,MATCH("End Year",Inputs!$B:$B,0))*12,Inputs!C88,0)</f>
        <v>0</v>
      </c>
      <c r="DK81" s="152">
        <f t="array" ref="DK81">IF(DK$3=INDEX(Inputs!$C:$C,MATCH("End Year",Inputs!$B:$B,0))*12,Inputs!C88,0)</f>
        <v>0</v>
      </c>
      <c r="DL81" s="152">
        <f t="array" ref="DL81">IF(DL$3=INDEX(Inputs!$C:$C,MATCH("End Year",Inputs!$B:$B,0))*12,Inputs!C88,0)</f>
        <v>0</v>
      </c>
      <c r="DM81" s="152">
        <f t="array" ref="DM81">IF(DM$3=INDEX(Inputs!$C:$C,MATCH("End Year",Inputs!$B:$B,0))*12,Inputs!C88,0)</f>
        <v>0</v>
      </c>
      <c r="DN81" s="152">
        <f t="array" ref="DN81">IF(DN$3=INDEX(Inputs!$C:$C,MATCH("End Year",Inputs!$B:$B,0))*12,Inputs!C88,0)</f>
        <v>0</v>
      </c>
      <c r="DO81" s="152">
        <f t="array" ref="DO81">IF(DO$3=INDEX(Inputs!$C:$C,MATCH("End Year",Inputs!$B:$B,0))*12,Inputs!C88,0)</f>
        <v>0</v>
      </c>
      <c r="DP81" s="152">
        <f t="array" ref="DP81">IF(DP$3=INDEX(Inputs!$C:$C,MATCH("End Year",Inputs!$B:$B,0))*12,Inputs!C88,0)</f>
        <v>0</v>
      </c>
      <c r="DQ81" s="152">
        <f t="array" ref="DQ81">IF(DQ$3=INDEX(Inputs!$C:$C,MATCH("End Year",Inputs!$B:$B,0))*12,Inputs!C88,0)</f>
        <v>0</v>
      </c>
      <c r="DR81" s="152">
        <f t="array" ref="DR81">IF(DR$3=INDEX(Inputs!$C:$C,MATCH("End Year",Inputs!$B:$B,0))*12,Inputs!C88,0)</f>
        <v>0</v>
      </c>
      <c r="DS81" s="161">
        <f t="array" ref="DS81">IF(DS$3=INDEX(Inputs!$C:$C,MATCH("End Year",Inputs!$B:$B,0))*12,Inputs!C88,0)</f>
        <v>85000</v>
      </c>
    </row>
    <row r="82" ht="15.0" customHeight="1">
      <c r="A82" s="44"/>
      <c r="B82" s="46" t="str">
        <f>"  Manager ("&amp;TEXT(Inputs!C91,"0.0%")&amp;")"</f>
        <v>  Manager (124.6%)</v>
      </c>
      <c r="C82" s="152">
        <f>C79*Inputs!C91</f>
        <v>0</v>
      </c>
      <c r="D82" s="152">
        <f>D79*Inputs!C91</f>
        <v>0</v>
      </c>
      <c r="E82" s="152">
        <f>E79*Inputs!C91</f>
        <v>0</v>
      </c>
      <c r="F82" s="152">
        <f>F79*Inputs!C91</f>
        <v>0</v>
      </c>
      <c r="G82" s="152">
        <f>G79*Inputs!C91</f>
        <v>0</v>
      </c>
      <c r="H82" s="152">
        <f>H79*Inputs!C91</f>
        <v>0</v>
      </c>
      <c r="I82" s="152">
        <f>I79*Inputs!C91</f>
        <v>0</v>
      </c>
      <c r="J82" s="152">
        <f>J79*Inputs!C91</f>
        <v>0</v>
      </c>
      <c r="K82" s="152">
        <f>K79*Inputs!C91</f>
        <v>0</v>
      </c>
      <c r="L82" s="152">
        <f>L79*Inputs!C91</f>
        <v>0</v>
      </c>
      <c r="M82" s="152">
        <f>M79*Inputs!C91</f>
        <v>0</v>
      </c>
      <c r="N82" s="152">
        <f>N79*Inputs!C91</f>
        <v>0</v>
      </c>
      <c r="O82" s="152">
        <f>O79*Inputs!C91</f>
        <v>0</v>
      </c>
      <c r="P82" s="152">
        <f>P79*Inputs!C91</f>
        <v>0</v>
      </c>
      <c r="Q82" s="152">
        <f>Q79*Inputs!C91</f>
        <v>0</v>
      </c>
      <c r="R82" s="152">
        <f>R79*Inputs!C91</f>
        <v>0</v>
      </c>
      <c r="S82" s="152">
        <f>S79*Inputs!C91</f>
        <v>0</v>
      </c>
      <c r="T82" s="152">
        <f>T79*Inputs!C91</f>
        <v>0</v>
      </c>
      <c r="U82" s="152">
        <f>U79*Inputs!C91</f>
        <v>0</v>
      </c>
      <c r="V82" s="152">
        <f>V79*Inputs!C91</f>
        <v>0</v>
      </c>
      <c r="W82" s="152">
        <f>W79*Inputs!C91</f>
        <v>0</v>
      </c>
      <c r="X82" s="152">
        <f>X79*Inputs!C91</f>
        <v>0</v>
      </c>
      <c r="Y82" s="152">
        <f>Y79*Inputs!C91</f>
        <v>0</v>
      </c>
      <c r="Z82" s="152">
        <f>Z79*Inputs!C91</f>
        <v>0</v>
      </c>
      <c r="AA82" s="152">
        <f>AA79*Inputs!C91</f>
        <v>0</v>
      </c>
      <c r="AB82" s="152">
        <f>AB79*Inputs!C91</f>
        <v>0</v>
      </c>
      <c r="AC82" s="152">
        <f>AC79*Inputs!C91</f>
        <v>0</v>
      </c>
      <c r="AD82" s="152">
        <f>AD79*Inputs!C91</f>
        <v>0</v>
      </c>
      <c r="AE82" s="152">
        <f>AE79*Inputs!C91</f>
        <v>0</v>
      </c>
      <c r="AF82" s="152">
        <f>AF79*Inputs!C91</f>
        <v>0</v>
      </c>
      <c r="AG82" s="152">
        <f>AG79*Inputs!C91</f>
        <v>0</v>
      </c>
      <c r="AH82" s="152">
        <f>AH79*Inputs!C91</f>
        <v>0</v>
      </c>
      <c r="AI82" s="152">
        <f>AI79*Inputs!C91</f>
        <v>0</v>
      </c>
      <c r="AJ82" s="152">
        <f>AJ79*Inputs!C91</f>
        <v>0</v>
      </c>
      <c r="AK82" s="152">
        <f>AK79*Inputs!C91</f>
        <v>0</v>
      </c>
      <c r="AL82" s="152">
        <f>AL79*Inputs!C91</f>
        <v>0</v>
      </c>
      <c r="AM82" s="152">
        <f>AM79*Inputs!C91</f>
        <v>0</v>
      </c>
      <c r="AN82" s="152">
        <f>AN79*Inputs!C91</f>
        <v>0</v>
      </c>
      <c r="AO82" s="152">
        <f>AO79*Inputs!C91</f>
        <v>0</v>
      </c>
      <c r="AP82" s="152">
        <f>AP79*Inputs!C91</f>
        <v>0</v>
      </c>
      <c r="AQ82" s="152">
        <f>AQ79*Inputs!C91</f>
        <v>0</v>
      </c>
      <c r="AR82" s="152">
        <f>AR79*Inputs!C91</f>
        <v>0</v>
      </c>
      <c r="AS82" s="152">
        <f>AS79*Inputs!C91</f>
        <v>0</v>
      </c>
      <c r="AT82" s="152">
        <f>AT79*Inputs!C91</f>
        <v>0</v>
      </c>
      <c r="AU82" s="152">
        <f>AU79*Inputs!C91</f>
        <v>0</v>
      </c>
      <c r="AV82" s="152">
        <f>AV79*Inputs!C91</f>
        <v>0</v>
      </c>
      <c r="AW82" s="152">
        <f>AW79*Inputs!C91</f>
        <v>0</v>
      </c>
      <c r="AX82" s="152">
        <f>AX79*Inputs!C91</f>
        <v>0</v>
      </c>
      <c r="AY82" s="152">
        <f>AY79*Inputs!C91</f>
        <v>0</v>
      </c>
      <c r="AZ82" s="152">
        <f>AZ79*Inputs!C91</f>
        <v>0</v>
      </c>
      <c r="BA82" s="152">
        <f>BA79*Inputs!C91</f>
        <v>0</v>
      </c>
      <c r="BB82" s="152">
        <f>BB79*Inputs!C91</f>
        <v>0</v>
      </c>
      <c r="BC82" s="152">
        <f>BC79*Inputs!C91</f>
        <v>0</v>
      </c>
      <c r="BD82" s="152">
        <f>BD79*Inputs!C91</f>
        <v>0</v>
      </c>
      <c r="BE82" s="152">
        <f>BE79*Inputs!C91</f>
        <v>0</v>
      </c>
      <c r="BF82" s="152">
        <f>BF79*Inputs!C91</f>
        <v>0</v>
      </c>
      <c r="BG82" s="152">
        <f>BG79*Inputs!C91</f>
        <v>0</v>
      </c>
      <c r="BH82" s="152">
        <f>BH79*Inputs!C91</f>
        <v>0</v>
      </c>
      <c r="BI82" s="152">
        <f>BI79*Inputs!C91</f>
        <v>0</v>
      </c>
      <c r="BJ82" s="152">
        <f>BJ79*Inputs!C91</f>
        <v>0</v>
      </c>
      <c r="BK82" s="152">
        <f>BK79*Inputs!C91</f>
        <v>0</v>
      </c>
      <c r="BL82" s="152">
        <f>BL79*Inputs!C91</f>
        <v>0</v>
      </c>
      <c r="BM82" s="152">
        <f>BM79*Inputs!C91</f>
        <v>0</v>
      </c>
      <c r="BN82" s="152">
        <f>BN79*Inputs!C91</f>
        <v>0</v>
      </c>
      <c r="BO82" s="152">
        <f>BO79*Inputs!C91</f>
        <v>0</v>
      </c>
      <c r="BP82" s="152">
        <f>BP79*Inputs!C91</f>
        <v>0</v>
      </c>
      <c r="BQ82" s="152">
        <f>BQ79*Inputs!C91</f>
        <v>0</v>
      </c>
      <c r="BR82" s="152">
        <f>BR79*Inputs!C91</f>
        <v>0</v>
      </c>
      <c r="BS82" s="152">
        <f>BS79*Inputs!C91</f>
        <v>0</v>
      </c>
      <c r="BT82" s="152">
        <f>BT79*Inputs!C91</f>
        <v>0</v>
      </c>
      <c r="BU82" s="152">
        <f>BU79*Inputs!C91</f>
        <v>0</v>
      </c>
      <c r="BV82" s="152">
        <f>BV79*Inputs!C91</f>
        <v>0</v>
      </c>
      <c r="BW82" s="152">
        <f>BW79*Inputs!C91</f>
        <v>0</v>
      </c>
      <c r="BX82" s="152">
        <f>BX79*Inputs!C91</f>
        <v>0</v>
      </c>
      <c r="BY82" s="152">
        <f>BY79*Inputs!C91</f>
        <v>0</v>
      </c>
      <c r="BZ82" s="152">
        <f>BZ79*Inputs!C91</f>
        <v>0</v>
      </c>
      <c r="CA82" s="152">
        <f>CA79*Inputs!C91</f>
        <v>0</v>
      </c>
      <c r="CB82" s="152">
        <f>CB79*Inputs!C91</f>
        <v>0</v>
      </c>
      <c r="CC82" s="152">
        <f>CC79*Inputs!C91</f>
        <v>0</v>
      </c>
      <c r="CD82" s="152">
        <f>CD79*Inputs!C91</f>
        <v>0</v>
      </c>
      <c r="CE82" s="152">
        <f>CE79*Inputs!C91</f>
        <v>0</v>
      </c>
      <c r="CF82" s="152">
        <f>CF79*Inputs!C91</f>
        <v>0</v>
      </c>
      <c r="CG82" s="152">
        <f>CG79*Inputs!C91</f>
        <v>0</v>
      </c>
      <c r="CH82" s="152">
        <f>CH79*Inputs!C91</f>
        <v>0</v>
      </c>
      <c r="CI82" s="152">
        <f>CI79*Inputs!C91</f>
        <v>0</v>
      </c>
      <c r="CJ82" s="152">
        <f>CJ79*Inputs!C91</f>
        <v>0</v>
      </c>
      <c r="CK82" s="152">
        <f>CK79*Inputs!C91</f>
        <v>0</v>
      </c>
      <c r="CL82" s="152">
        <f>CL79*Inputs!C91</f>
        <v>0</v>
      </c>
      <c r="CM82" s="152">
        <f>CM79*Inputs!C91</f>
        <v>0</v>
      </c>
      <c r="CN82" s="152">
        <f>CN79*Inputs!C91</f>
        <v>0</v>
      </c>
      <c r="CO82" s="152">
        <f>CO79*Inputs!C91</f>
        <v>0</v>
      </c>
      <c r="CP82" s="152">
        <f>CP79*Inputs!C91</f>
        <v>0</v>
      </c>
      <c r="CQ82" s="152">
        <f>CQ79*Inputs!C91</f>
        <v>0</v>
      </c>
      <c r="CR82" s="152">
        <f>CR79*Inputs!C91</f>
        <v>0</v>
      </c>
      <c r="CS82" s="152">
        <f>CS79*Inputs!C91</f>
        <v>0</v>
      </c>
      <c r="CT82" s="152">
        <f>CT79*Inputs!C91</f>
        <v>0</v>
      </c>
      <c r="CU82" s="152">
        <f>CU79*Inputs!C91</f>
        <v>0</v>
      </c>
      <c r="CV82" s="152">
        <f>CV79*Inputs!C91</f>
        <v>0</v>
      </c>
      <c r="CW82" s="152">
        <f>CW79*Inputs!C91</f>
        <v>0</v>
      </c>
      <c r="CX82" s="152">
        <f>CX79*Inputs!C91</f>
        <v>0</v>
      </c>
      <c r="CY82" s="152">
        <f>CY79*Inputs!C91</f>
        <v>0</v>
      </c>
      <c r="CZ82" s="152">
        <f>CZ79*Inputs!C91</f>
        <v>0</v>
      </c>
      <c r="DA82" s="152">
        <f>DA79*Inputs!C91</f>
        <v>0</v>
      </c>
      <c r="DB82" s="152">
        <f>DB79*Inputs!C91</f>
        <v>0</v>
      </c>
      <c r="DC82" s="152">
        <f>DC79*Inputs!C91</f>
        <v>0</v>
      </c>
      <c r="DD82" s="152">
        <f>DD79*Inputs!C91</f>
        <v>0</v>
      </c>
      <c r="DE82" s="152">
        <f>DE79*Inputs!C91</f>
        <v>0</v>
      </c>
      <c r="DF82" s="152">
        <f>DF79*Inputs!C91</f>
        <v>0</v>
      </c>
      <c r="DG82" s="152">
        <f>DG79*Inputs!C91</f>
        <v>0</v>
      </c>
      <c r="DH82" s="152">
        <f>DH79*Inputs!C91</f>
        <v>0</v>
      </c>
      <c r="DI82" s="152">
        <f>DI79*Inputs!C91</f>
        <v>0</v>
      </c>
      <c r="DJ82" s="152">
        <f>DJ79*Inputs!C91</f>
        <v>0</v>
      </c>
      <c r="DK82" s="152">
        <f>DK79*Inputs!C91</f>
        <v>0</v>
      </c>
      <c r="DL82" s="152">
        <f>DL79*Inputs!C91</f>
        <v>0</v>
      </c>
      <c r="DM82" s="152">
        <f>DM79*Inputs!C91</f>
        <v>0</v>
      </c>
      <c r="DN82" s="152">
        <f>DN79*Inputs!C91</f>
        <v>0</v>
      </c>
      <c r="DO82" s="152">
        <f>DO79*Inputs!C91</f>
        <v>0</v>
      </c>
      <c r="DP82" s="152">
        <f>DP79*Inputs!C91</f>
        <v>0</v>
      </c>
      <c r="DQ82" s="152">
        <f>DQ79*Inputs!C91</f>
        <v>0</v>
      </c>
      <c r="DR82" s="152">
        <f>DR79*Inputs!C91</f>
        <v>0</v>
      </c>
      <c r="DS82" s="44">
        <f>DS79*Inputs!C91</f>
        <v>0</v>
      </c>
    </row>
    <row r="83" ht="15.75" customHeight="1">
      <c r="A83" s="44"/>
      <c r="B83" s="158" t="s">
        <v>361</v>
      </c>
      <c r="C83" s="160">
        <f t="shared" ref="C83:DS83" si="12">C80+C81+C82</f>
        <v>0</v>
      </c>
      <c r="D83" s="160">
        <f t="shared" si="12"/>
        <v>0</v>
      </c>
      <c r="E83" s="160">
        <f t="shared" si="12"/>
        <v>0</v>
      </c>
      <c r="F83" s="160">
        <f t="shared" si="12"/>
        <v>0</v>
      </c>
      <c r="G83" s="160">
        <f t="shared" si="12"/>
        <v>0</v>
      </c>
      <c r="H83" s="160">
        <f t="shared" si="12"/>
        <v>0</v>
      </c>
      <c r="I83" s="160">
        <f t="shared" si="12"/>
        <v>0</v>
      </c>
      <c r="J83" s="160">
        <f t="shared" si="12"/>
        <v>0</v>
      </c>
      <c r="K83" s="160">
        <f t="shared" si="12"/>
        <v>0</v>
      </c>
      <c r="L83" s="160">
        <f t="shared" si="12"/>
        <v>0</v>
      </c>
      <c r="M83" s="160">
        <f t="shared" si="12"/>
        <v>0</v>
      </c>
      <c r="N83" s="160">
        <f t="shared" si="12"/>
        <v>0</v>
      </c>
      <c r="O83" s="160">
        <f t="shared" si="12"/>
        <v>0</v>
      </c>
      <c r="P83" s="160">
        <f t="shared" si="12"/>
        <v>0</v>
      </c>
      <c r="Q83" s="160">
        <f t="shared" si="12"/>
        <v>0</v>
      </c>
      <c r="R83" s="160">
        <f t="shared" si="12"/>
        <v>0</v>
      </c>
      <c r="S83" s="160">
        <f t="shared" si="12"/>
        <v>0</v>
      </c>
      <c r="T83" s="160">
        <f t="shared" si="12"/>
        <v>0</v>
      </c>
      <c r="U83" s="160">
        <f t="shared" si="12"/>
        <v>0</v>
      </c>
      <c r="V83" s="160">
        <f t="shared" si="12"/>
        <v>0</v>
      </c>
      <c r="W83" s="160">
        <f t="shared" si="12"/>
        <v>0</v>
      </c>
      <c r="X83" s="160">
        <f t="shared" si="12"/>
        <v>0</v>
      </c>
      <c r="Y83" s="160">
        <f t="shared" si="12"/>
        <v>0</v>
      </c>
      <c r="Z83" s="160">
        <f t="shared" si="12"/>
        <v>0</v>
      </c>
      <c r="AA83" s="160">
        <f t="shared" si="12"/>
        <v>0</v>
      </c>
      <c r="AB83" s="160">
        <f t="shared" si="12"/>
        <v>0</v>
      </c>
      <c r="AC83" s="160">
        <f t="shared" si="12"/>
        <v>0</v>
      </c>
      <c r="AD83" s="160">
        <f t="shared" si="12"/>
        <v>0</v>
      </c>
      <c r="AE83" s="160">
        <f t="shared" si="12"/>
        <v>0</v>
      </c>
      <c r="AF83" s="160">
        <f t="shared" si="12"/>
        <v>0</v>
      </c>
      <c r="AG83" s="160">
        <f t="shared" si="12"/>
        <v>0</v>
      </c>
      <c r="AH83" s="160">
        <f t="shared" si="12"/>
        <v>0</v>
      </c>
      <c r="AI83" s="160">
        <f t="shared" si="12"/>
        <v>0</v>
      </c>
      <c r="AJ83" s="160">
        <f t="shared" si="12"/>
        <v>0</v>
      </c>
      <c r="AK83" s="160">
        <f t="shared" si="12"/>
        <v>0</v>
      </c>
      <c r="AL83" s="160">
        <f t="shared" si="12"/>
        <v>0</v>
      </c>
      <c r="AM83" s="160">
        <f t="shared" si="12"/>
        <v>0</v>
      </c>
      <c r="AN83" s="160">
        <f t="shared" si="12"/>
        <v>0</v>
      </c>
      <c r="AO83" s="160">
        <f t="shared" si="12"/>
        <v>0</v>
      </c>
      <c r="AP83" s="160">
        <f t="shared" si="12"/>
        <v>0</v>
      </c>
      <c r="AQ83" s="160">
        <f t="shared" si="12"/>
        <v>0</v>
      </c>
      <c r="AR83" s="160">
        <f t="shared" si="12"/>
        <v>0</v>
      </c>
      <c r="AS83" s="160">
        <f t="shared" si="12"/>
        <v>0</v>
      </c>
      <c r="AT83" s="160">
        <f t="shared" si="12"/>
        <v>0</v>
      </c>
      <c r="AU83" s="160">
        <f t="shared" si="12"/>
        <v>0</v>
      </c>
      <c r="AV83" s="160">
        <f t="shared" si="12"/>
        <v>0</v>
      </c>
      <c r="AW83" s="160">
        <f t="shared" si="12"/>
        <v>0</v>
      </c>
      <c r="AX83" s="160">
        <f t="shared" si="12"/>
        <v>0</v>
      </c>
      <c r="AY83" s="160">
        <f t="shared" si="12"/>
        <v>0</v>
      </c>
      <c r="AZ83" s="160">
        <f t="shared" si="12"/>
        <v>0</v>
      </c>
      <c r="BA83" s="160">
        <f t="shared" si="12"/>
        <v>0</v>
      </c>
      <c r="BB83" s="160">
        <f t="shared" si="12"/>
        <v>0</v>
      </c>
      <c r="BC83" s="160">
        <f t="shared" si="12"/>
        <v>0</v>
      </c>
      <c r="BD83" s="160">
        <f t="shared" si="12"/>
        <v>0</v>
      </c>
      <c r="BE83" s="160">
        <f t="shared" si="12"/>
        <v>0</v>
      </c>
      <c r="BF83" s="160">
        <f t="shared" si="12"/>
        <v>0</v>
      </c>
      <c r="BG83" s="160">
        <f t="shared" si="12"/>
        <v>0</v>
      </c>
      <c r="BH83" s="160">
        <f t="shared" si="12"/>
        <v>0</v>
      </c>
      <c r="BI83" s="160">
        <f t="shared" si="12"/>
        <v>0</v>
      </c>
      <c r="BJ83" s="160">
        <f t="shared" si="12"/>
        <v>0</v>
      </c>
      <c r="BK83" s="160">
        <f t="shared" si="12"/>
        <v>0</v>
      </c>
      <c r="BL83" s="160">
        <f t="shared" si="12"/>
        <v>0</v>
      </c>
      <c r="BM83" s="160">
        <f t="shared" si="12"/>
        <v>0</v>
      </c>
      <c r="BN83" s="160">
        <f t="shared" si="12"/>
        <v>0</v>
      </c>
      <c r="BO83" s="160">
        <f t="shared" si="12"/>
        <v>0</v>
      </c>
      <c r="BP83" s="160">
        <f t="shared" si="12"/>
        <v>0</v>
      </c>
      <c r="BQ83" s="160">
        <f t="shared" si="12"/>
        <v>0</v>
      </c>
      <c r="BR83" s="160">
        <f t="shared" si="12"/>
        <v>0</v>
      </c>
      <c r="BS83" s="160">
        <f t="shared" si="12"/>
        <v>0</v>
      </c>
      <c r="BT83" s="160">
        <f t="shared" si="12"/>
        <v>0</v>
      </c>
      <c r="BU83" s="160">
        <f t="shared" si="12"/>
        <v>0</v>
      </c>
      <c r="BV83" s="160">
        <f t="shared" si="12"/>
        <v>0</v>
      </c>
      <c r="BW83" s="160">
        <f t="shared" si="12"/>
        <v>0</v>
      </c>
      <c r="BX83" s="160">
        <f t="shared" si="12"/>
        <v>0</v>
      </c>
      <c r="BY83" s="160">
        <f t="shared" si="12"/>
        <v>0</v>
      </c>
      <c r="BZ83" s="160">
        <f t="shared" si="12"/>
        <v>0</v>
      </c>
      <c r="CA83" s="160">
        <f t="shared" si="12"/>
        <v>0</v>
      </c>
      <c r="CB83" s="160">
        <f t="shared" si="12"/>
        <v>0</v>
      </c>
      <c r="CC83" s="160">
        <f t="shared" si="12"/>
        <v>0</v>
      </c>
      <c r="CD83" s="160">
        <f t="shared" si="12"/>
        <v>0</v>
      </c>
      <c r="CE83" s="160">
        <f t="shared" si="12"/>
        <v>0</v>
      </c>
      <c r="CF83" s="160">
        <f t="shared" si="12"/>
        <v>0</v>
      </c>
      <c r="CG83" s="160">
        <f t="shared" si="12"/>
        <v>0</v>
      </c>
      <c r="CH83" s="160">
        <f t="shared" si="12"/>
        <v>0</v>
      </c>
      <c r="CI83" s="160">
        <f t="shared" si="12"/>
        <v>0</v>
      </c>
      <c r="CJ83" s="160">
        <f t="shared" si="12"/>
        <v>0</v>
      </c>
      <c r="CK83" s="160">
        <f t="shared" si="12"/>
        <v>0</v>
      </c>
      <c r="CL83" s="160">
        <f t="shared" si="12"/>
        <v>0</v>
      </c>
      <c r="CM83" s="160">
        <f t="shared" si="12"/>
        <v>0</v>
      </c>
      <c r="CN83" s="160">
        <f t="shared" si="12"/>
        <v>0</v>
      </c>
      <c r="CO83" s="160">
        <f t="shared" si="12"/>
        <v>0</v>
      </c>
      <c r="CP83" s="160">
        <f t="shared" si="12"/>
        <v>0</v>
      </c>
      <c r="CQ83" s="160">
        <f t="shared" si="12"/>
        <v>0</v>
      </c>
      <c r="CR83" s="160">
        <f t="shared" si="12"/>
        <v>0</v>
      </c>
      <c r="CS83" s="160">
        <f t="shared" si="12"/>
        <v>0</v>
      </c>
      <c r="CT83" s="160">
        <f t="shared" si="12"/>
        <v>0</v>
      </c>
      <c r="CU83" s="160">
        <f t="shared" si="12"/>
        <v>0</v>
      </c>
      <c r="CV83" s="160">
        <f t="shared" si="12"/>
        <v>0</v>
      </c>
      <c r="CW83" s="160">
        <f t="shared" si="12"/>
        <v>0</v>
      </c>
      <c r="CX83" s="160">
        <f t="shared" si="12"/>
        <v>0</v>
      </c>
      <c r="CY83" s="160">
        <f t="shared" si="12"/>
        <v>0</v>
      </c>
      <c r="CZ83" s="160">
        <f t="shared" si="12"/>
        <v>0</v>
      </c>
      <c r="DA83" s="160">
        <f t="shared" si="12"/>
        <v>0</v>
      </c>
      <c r="DB83" s="160">
        <f t="shared" si="12"/>
        <v>0</v>
      </c>
      <c r="DC83" s="160">
        <f t="shared" si="12"/>
        <v>0</v>
      </c>
      <c r="DD83" s="160">
        <f t="shared" si="12"/>
        <v>0</v>
      </c>
      <c r="DE83" s="160">
        <f t="shared" si="12"/>
        <v>0</v>
      </c>
      <c r="DF83" s="160">
        <f t="shared" si="12"/>
        <v>0</v>
      </c>
      <c r="DG83" s="160">
        <f t="shared" si="12"/>
        <v>0</v>
      </c>
      <c r="DH83" s="160">
        <f t="shared" si="12"/>
        <v>0</v>
      </c>
      <c r="DI83" s="160">
        <f t="shared" si="12"/>
        <v>0</v>
      </c>
      <c r="DJ83" s="160">
        <f t="shared" si="12"/>
        <v>0</v>
      </c>
      <c r="DK83" s="160">
        <f t="shared" si="12"/>
        <v>0</v>
      </c>
      <c r="DL83" s="160">
        <f t="shared" si="12"/>
        <v>0</v>
      </c>
      <c r="DM83" s="160">
        <f t="shared" si="12"/>
        <v>0</v>
      </c>
      <c r="DN83" s="160">
        <f t="shared" si="12"/>
        <v>0</v>
      </c>
      <c r="DO83" s="160">
        <f t="shared" si="12"/>
        <v>0</v>
      </c>
      <c r="DP83" s="160">
        <f t="shared" si="12"/>
        <v>0</v>
      </c>
      <c r="DQ83" s="160">
        <f t="shared" si="12"/>
        <v>0</v>
      </c>
      <c r="DR83" s="160">
        <f t="shared" si="12"/>
        <v>0</v>
      </c>
      <c r="DS83" s="161">
        <f t="shared" si="12"/>
        <v>85000</v>
      </c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</row>
    <row r="85" ht="15.75" customHeight="1">
      <c r="A85" s="44"/>
      <c r="B85" s="45" t="s">
        <v>362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44"/>
    </row>
    <row r="86" ht="15.75" customHeight="1">
      <c r="A86" s="44"/>
      <c r="B86" s="46" t="s">
        <v>363</v>
      </c>
      <c r="C86" s="152">
        <f>C20</f>
        <v>0</v>
      </c>
      <c r="D86" s="152">
        <f t="shared" ref="D86:DS86" si="13">C86+D20</f>
        <v>0</v>
      </c>
      <c r="E86" s="152">
        <f t="shared" si="13"/>
        <v>0</v>
      </c>
      <c r="F86" s="152">
        <f t="shared" si="13"/>
        <v>0</v>
      </c>
      <c r="G86" s="152">
        <f t="shared" si="13"/>
        <v>0</v>
      </c>
      <c r="H86" s="152">
        <f t="shared" si="13"/>
        <v>0</v>
      </c>
      <c r="I86" s="152">
        <f t="shared" si="13"/>
        <v>0</v>
      </c>
      <c r="J86" s="152">
        <f t="shared" si="13"/>
        <v>0</v>
      </c>
      <c r="K86" s="152">
        <f t="shared" si="13"/>
        <v>0</v>
      </c>
      <c r="L86" s="152">
        <f t="shared" si="13"/>
        <v>0</v>
      </c>
      <c r="M86" s="152">
        <f t="shared" si="13"/>
        <v>0</v>
      </c>
      <c r="N86" s="152">
        <f t="shared" si="13"/>
        <v>0</v>
      </c>
      <c r="O86" s="152">
        <f t="shared" si="13"/>
        <v>0</v>
      </c>
      <c r="P86" s="152">
        <f t="shared" si="13"/>
        <v>0</v>
      </c>
      <c r="Q86" s="152">
        <f t="shared" si="13"/>
        <v>0</v>
      </c>
      <c r="R86" s="152">
        <f t="shared" si="13"/>
        <v>0</v>
      </c>
      <c r="S86" s="152">
        <f t="shared" si="13"/>
        <v>0</v>
      </c>
      <c r="T86" s="152">
        <f t="shared" si="13"/>
        <v>0</v>
      </c>
      <c r="U86" s="152">
        <f t="shared" si="13"/>
        <v>0</v>
      </c>
      <c r="V86" s="152">
        <f t="shared" si="13"/>
        <v>0</v>
      </c>
      <c r="W86" s="152">
        <f t="shared" si="13"/>
        <v>0</v>
      </c>
      <c r="X86" s="152">
        <f t="shared" si="13"/>
        <v>0</v>
      </c>
      <c r="Y86" s="152">
        <f t="shared" si="13"/>
        <v>0</v>
      </c>
      <c r="Z86" s="152">
        <f t="shared" si="13"/>
        <v>0</v>
      </c>
      <c r="AA86" s="152">
        <f t="shared" si="13"/>
        <v>0</v>
      </c>
      <c r="AB86" s="152">
        <f t="shared" si="13"/>
        <v>0</v>
      </c>
      <c r="AC86" s="152">
        <f t="shared" si="13"/>
        <v>0</v>
      </c>
      <c r="AD86" s="152">
        <f t="shared" si="13"/>
        <v>0</v>
      </c>
      <c r="AE86" s="152">
        <f t="shared" si="13"/>
        <v>0</v>
      </c>
      <c r="AF86" s="152">
        <f t="shared" si="13"/>
        <v>0</v>
      </c>
      <c r="AG86" s="152">
        <f t="shared" si="13"/>
        <v>0</v>
      </c>
      <c r="AH86" s="152">
        <f t="shared" si="13"/>
        <v>0</v>
      </c>
      <c r="AI86" s="152">
        <f t="shared" si="13"/>
        <v>0</v>
      </c>
      <c r="AJ86" s="152">
        <f t="shared" si="13"/>
        <v>0</v>
      </c>
      <c r="AK86" s="152">
        <f t="shared" si="13"/>
        <v>0</v>
      </c>
      <c r="AL86" s="152">
        <f t="shared" si="13"/>
        <v>0</v>
      </c>
      <c r="AM86" s="152">
        <f t="shared" si="13"/>
        <v>0</v>
      </c>
      <c r="AN86" s="152">
        <f t="shared" si="13"/>
        <v>0</v>
      </c>
      <c r="AO86" s="152">
        <f t="shared" si="13"/>
        <v>0</v>
      </c>
      <c r="AP86" s="152">
        <f t="shared" si="13"/>
        <v>0</v>
      </c>
      <c r="AQ86" s="152">
        <f t="shared" si="13"/>
        <v>0</v>
      </c>
      <c r="AR86" s="152">
        <f t="shared" si="13"/>
        <v>0</v>
      </c>
      <c r="AS86" s="152">
        <f t="shared" si="13"/>
        <v>0</v>
      </c>
      <c r="AT86" s="152">
        <f t="shared" si="13"/>
        <v>0</v>
      </c>
      <c r="AU86" s="152">
        <f t="shared" si="13"/>
        <v>0</v>
      </c>
      <c r="AV86" s="152">
        <f t="shared" si="13"/>
        <v>0</v>
      </c>
      <c r="AW86" s="152">
        <f t="shared" si="13"/>
        <v>0</v>
      </c>
      <c r="AX86" s="152">
        <f t="shared" si="13"/>
        <v>0</v>
      </c>
      <c r="AY86" s="152">
        <f t="shared" si="13"/>
        <v>0</v>
      </c>
      <c r="AZ86" s="152">
        <f t="shared" si="13"/>
        <v>0</v>
      </c>
      <c r="BA86" s="152">
        <f t="shared" si="13"/>
        <v>0</v>
      </c>
      <c r="BB86" s="152">
        <f t="shared" si="13"/>
        <v>0</v>
      </c>
      <c r="BC86" s="152">
        <f t="shared" si="13"/>
        <v>0</v>
      </c>
      <c r="BD86" s="152">
        <f t="shared" si="13"/>
        <v>0</v>
      </c>
      <c r="BE86" s="152">
        <f t="shared" si="13"/>
        <v>0</v>
      </c>
      <c r="BF86" s="152">
        <f t="shared" si="13"/>
        <v>0</v>
      </c>
      <c r="BG86" s="152">
        <f t="shared" si="13"/>
        <v>0</v>
      </c>
      <c r="BH86" s="152">
        <f t="shared" si="13"/>
        <v>0</v>
      </c>
      <c r="BI86" s="152">
        <f t="shared" si="13"/>
        <v>0</v>
      </c>
      <c r="BJ86" s="152">
        <f t="shared" si="13"/>
        <v>0</v>
      </c>
      <c r="BK86" s="152">
        <f t="shared" si="13"/>
        <v>0</v>
      </c>
      <c r="BL86" s="152">
        <f t="shared" si="13"/>
        <v>0</v>
      </c>
      <c r="BM86" s="152">
        <f t="shared" si="13"/>
        <v>0</v>
      </c>
      <c r="BN86" s="152">
        <f t="shared" si="13"/>
        <v>0</v>
      </c>
      <c r="BO86" s="152">
        <f t="shared" si="13"/>
        <v>0</v>
      </c>
      <c r="BP86" s="152">
        <f t="shared" si="13"/>
        <v>0</v>
      </c>
      <c r="BQ86" s="152">
        <f t="shared" si="13"/>
        <v>0</v>
      </c>
      <c r="BR86" s="152">
        <f t="shared" si="13"/>
        <v>0</v>
      </c>
      <c r="BS86" s="152">
        <f t="shared" si="13"/>
        <v>0</v>
      </c>
      <c r="BT86" s="152">
        <f t="shared" si="13"/>
        <v>0</v>
      </c>
      <c r="BU86" s="152">
        <f t="shared" si="13"/>
        <v>0</v>
      </c>
      <c r="BV86" s="152">
        <f t="shared" si="13"/>
        <v>0</v>
      </c>
      <c r="BW86" s="152">
        <f t="shared" si="13"/>
        <v>0</v>
      </c>
      <c r="BX86" s="152">
        <f t="shared" si="13"/>
        <v>0</v>
      </c>
      <c r="BY86" s="152">
        <f t="shared" si="13"/>
        <v>0</v>
      </c>
      <c r="BZ86" s="152">
        <f t="shared" si="13"/>
        <v>0</v>
      </c>
      <c r="CA86" s="152">
        <f t="shared" si="13"/>
        <v>0</v>
      </c>
      <c r="CB86" s="152">
        <f t="shared" si="13"/>
        <v>0</v>
      </c>
      <c r="CC86" s="152">
        <f t="shared" si="13"/>
        <v>0</v>
      </c>
      <c r="CD86" s="152">
        <f t="shared" si="13"/>
        <v>0</v>
      </c>
      <c r="CE86" s="152">
        <f t="shared" si="13"/>
        <v>0</v>
      </c>
      <c r="CF86" s="152">
        <f t="shared" si="13"/>
        <v>0</v>
      </c>
      <c r="CG86" s="152">
        <f t="shared" si="13"/>
        <v>0</v>
      </c>
      <c r="CH86" s="152">
        <f t="shared" si="13"/>
        <v>0</v>
      </c>
      <c r="CI86" s="152">
        <f t="shared" si="13"/>
        <v>0</v>
      </c>
      <c r="CJ86" s="152">
        <f t="shared" si="13"/>
        <v>0</v>
      </c>
      <c r="CK86" s="152">
        <f t="shared" si="13"/>
        <v>0</v>
      </c>
      <c r="CL86" s="152">
        <f t="shared" si="13"/>
        <v>0</v>
      </c>
      <c r="CM86" s="152">
        <f t="shared" si="13"/>
        <v>0</v>
      </c>
      <c r="CN86" s="152">
        <f t="shared" si="13"/>
        <v>0</v>
      </c>
      <c r="CO86" s="152">
        <f t="shared" si="13"/>
        <v>0</v>
      </c>
      <c r="CP86" s="152">
        <f t="shared" si="13"/>
        <v>0</v>
      </c>
      <c r="CQ86" s="152">
        <f t="shared" si="13"/>
        <v>0</v>
      </c>
      <c r="CR86" s="152">
        <f t="shared" si="13"/>
        <v>0</v>
      </c>
      <c r="CS86" s="152">
        <f t="shared" si="13"/>
        <v>0</v>
      </c>
      <c r="CT86" s="152">
        <f t="shared" si="13"/>
        <v>0</v>
      </c>
      <c r="CU86" s="152">
        <f t="shared" si="13"/>
        <v>0</v>
      </c>
      <c r="CV86" s="152">
        <f t="shared" si="13"/>
        <v>0</v>
      </c>
      <c r="CW86" s="152">
        <f t="shared" si="13"/>
        <v>0</v>
      </c>
      <c r="CX86" s="152">
        <f t="shared" si="13"/>
        <v>0</v>
      </c>
      <c r="CY86" s="152">
        <f t="shared" si="13"/>
        <v>0</v>
      </c>
      <c r="CZ86" s="152">
        <f t="shared" si="13"/>
        <v>0</v>
      </c>
      <c r="DA86" s="152">
        <f t="shared" si="13"/>
        <v>0</v>
      </c>
      <c r="DB86" s="152">
        <f t="shared" si="13"/>
        <v>0</v>
      </c>
      <c r="DC86" s="152">
        <f t="shared" si="13"/>
        <v>0</v>
      </c>
      <c r="DD86" s="152">
        <f t="shared" si="13"/>
        <v>0</v>
      </c>
      <c r="DE86" s="152">
        <f t="shared" si="13"/>
        <v>0</v>
      </c>
      <c r="DF86" s="152">
        <f t="shared" si="13"/>
        <v>0</v>
      </c>
      <c r="DG86" s="152">
        <f t="shared" si="13"/>
        <v>0</v>
      </c>
      <c r="DH86" s="152">
        <f t="shared" si="13"/>
        <v>0</v>
      </c>
      <c r="DI86" s="152">
        <f t="shared" si="13"/>
        <v>0</v>
      </c>
      <c r="DJ86" s="152">
        <f t="shared" si="13"/>
        <v>0</v>
      </c>
      <c r="DK86" s="152">
        <f t="shared" si="13"/>
        <v>0</v>
      </c>
      <c r="DL86" s="152">
        <f t="shared" si="13"/>
        <v>0</v>
      </c>
      <c r="DM86" s="152">
        <f t="shared" si="13"/>
        <v>0</v>
      </c>
      <c r="DN86" s="152">
        <f t="shared" si="13"/>
        <v>0</v>
      </c>
      <c r="DO86" s="152">
        <f t="shared" si="13"/>
        <v>0</v>
      </c>
      <c r="DP86" s="152">
        <f t="shared" si="13"/>
        <v>0</v>
      </c>
      <c r="DQ86" s="152">
        <f t="shared" si="13"/>
        <v>0</v>
      </c>
      <c r="DR86" s="152">
        <f t="shared" si="13"/>
        <v>0</v>
      </c>
      <c r="DS86" s="161">
        <f t="shared" si="13"/>
        <v>0</v>
      </c>
    </row>
    <row r="87" ht="15.75" customHeight="1">
      <c r="A87" s="44"/>
      <c r="B87" s="46" t="s">
        <v>364</v>
      </c>
      <c r="C87" s="152">
        <f>C74</f>
        <v>-350000</v>
      </c>
      <c r="D87" s="152">
        <f t="shared" ref="D87:DS87" si="14">C87+D74</f>
        <v>-350000</v>
      </c>
      <c r="E87" s="152">
        <f t="shared" si="14"/>
        <v>-350000</v>
      </c>
      <c r="F87" s="152">
        <f t="shared" si="14"/>
        <v>-350000</v>
      </c>
      <c r="G87" s="152">
        <f t="shared" si="14"/>
        <v>-350000</v>
      </c>
      <c r="H87" s="152">
        <f t="shared" si="14"/>
        <v>-350000</v>
      </c>
      <c r="I87" s="152">
        <f t="shared" si="14"/>
        <v>-350000</v>
      </c>
      <c r="J87" s="152">
        <f t="shared" si="14"/>
        <v>-350000</v>
      </c>
      <c r="K87" s="152">
        <f t="shared" si="14"/>
        <v>-350000</v>
      </c>
      <c r="L87" s="152">
        <f t="shared" si="14"/>
        <v>-350000</v>
      </c>
      <c r="M87" s="152">
        <f t="shared" si="14"/>
        <v>-350000</v>
      </c>
      <c r="N87" s="152">
        <f t="shared" si="14"/>
        <v>-350000</v>
      </c>
      <c r="O87" s="152">
        <f t="shared" si="14"/>
        <v>-350000</v>
      </c>
      <c r="P87" s="152">
        <f t="shared" si="14"/>
        <v>-350000</v>
      </c>
      <c r="Q87" s="152">
        <f t="shared" si="14"/>
        <v>-350000</v>
      </c>
      <c r="R87" s="152">
        <f t="shared" si="14"/>
        <v>-350000</v>
      </c>
      <c r="S87" s="152">
        <f t="shared" si="14"/>
        <v>-350000</v>
      </c>
      <c r="T87" s="152">
        <f t="shared" si="14"/>
        <v>-350000</v>
      </c>
      <c r="U87" s="152">
        <f t="shared" si="14"/>
        <v>-350000</v>
      </c>
      <c r="V87" s="152">
        <f t="shared" si="14"/>
        <v>-350000</v>
      </c>
      <c r="W87" s="152">
        <f t="shared" si="14"/>
        <v>-350000</v>
      </c>
      <c r="X87" s="152">
        <f t="shared" si="14"/>
        <v>-350000</v>
      </c>
      <c r="Y87" s="152">
        <f t="shared" si="14"/>
        <v>-350000</v>
      </c>
      <c r="Z87" s="152">
        <f t="shared" si="14"/>
        <v>-350000</v>
      </c>
      <c r="AA87" s="152">
        <f t="shared" si="14"/>
        <v>-350000</v>
      </c>
      <c r="AB87" s="152">
        <f t="shared" si="14"/>
        <v>-350000</v>
      </c>
      <c r="AC87" s="152">
        <f t="shared" si="14"/>
        <v>-350000</v>
      </c>
      <c r="AD87" s="152">
        <f t="shared" si="14"/>
        <v>-350000</v>
      </c>
      <c r="AE87" s="152">
        <f t="shared" si="14"/>
        <v>-350000</v>
      </c>
      <c r="AF87" s="152">
        <f t="shared" si="14"/>
        <v>-350000</v>
      </c>
      <c r="AG87" s="152">
        <f t="shared" si="14"/>
        <v>-350000</v>
      </c>
      <c r="AH87" s="152">
        <f t="shared" si="14"/>
        <v>-350000</v>
      </c>
      <c r="AI87" s="152">
        <f t="shared" si="14"/>
        <v>-350000</v>
      </c>
      <c r="AJ87" s="152">
        <f t="shared" si="14"/>
        <v>-350000</v>
      </c>
      <c r="AK87" s="152">
        <f t="shared" si="14"/>
        <v>-350000</v>
      </c>
      <c r="AL87" s="152">
        <f t="shared" si="14"/>
        <v>-350000</v>
      </c>
      <c r="AM87" s="152">
        <f t="shared" si="14"/>
        <v>-350000</v>
      </c>
      <c r="AN87" s="152">
        <f t="shared" si="14"/>
        <v>-350000</v>
      </c>
      <c r="AO87" s="152">
        <f t="shared" si="14"/>
        <v>-350000</v>
      </c>
      <c r="AP87" s="152">
        <f t="shared" si="14"/>
        <v>-350000</v>
      </c>
      <c r="AQ87" s="152">
        <f t="shared" si="14"/>
        <v>-350000</v>
      </c>
      <c r="AR87" s="152">
        <f t="shared" si="14"/>
        <v>-350000</v>
      </c>
      <c r="AS87" s="152">
        <f t="shared" si="14"/>
        <v>-350000</v>
      </c>
      <c r="AT87" s="152">
        <f t="shared" si="14"/>
        <v>-350000</v>
      </c>
      <c r="AU87" s="152">
        <f t="shared" si="14"/>
        <v>-350000</v>
      </c>
      <c r="AV87" s="152">
        <f t="shared" si="14"/>
        <v>-350000</v>
      </c>
      <c r="AW87" s="152">
        <f t="shared" si="14"/>
        <v>-350000</v>
      </c>
      <c r="AX87" s="152">
        <f t="shared" si="14"/>
        <v>-350000</v>
      </c>
      <c r="AY87" s="152">
        <f t="shared" si="14"/>
        <v>-350000</v>
      </c>
      <c r="AZ87" s="152">
        <f t="shared" si="14"/>
        <v>-350000</v>
      </c>
      <c r="BA87" s="152">
        <f t="shared" si="14"/>
        <v>-350000</v>
      </c>
      <c r="BB87" s="152">
        <f t="shared" si="14"/>
        <v>-350000</v>
      </c>
      <c r="BC87" s="152">
        <f t="shared" si="14"/>
        <v>-350000</v>
      </c>
      <c r="BD87" s="152">
        <f t="shared" si="14"/>
        <v>-350000</v>
      </c>
      <c r="BE87" s="152">
        <f t="shared" si="14"/>
        <v>-350000</v>
      </c>
      <c r="BF87" s="152">
        <f t="shared" si="14"/>
        <v>-350000</v>
      </c>
      <c r="BG87" s="152">
        <f t="shared" si="14"/>
        <v>-350000</v>
      </c>
      <c r="BH87" s="152">
        <f t="shared" si="14"/>
        <v>-350000</v>
      </c>
      <c r="BI87" s="152">
        <f t="shared" si="14"/>
        <v>-350000</v>
      </c>
      <c r="BJ87" s="152">
        <f t="shared" si="14"/>
        <v>-350000</v>
      </c>
      <c r="BK87" s="152">
        <f t="shared" si="14"/>
        <v>-350000</v>
      </c>
      <c r="BL87" s="152">
        <f t="shared" si="14"/>
        <v>-350000</v>
      </c>
      <c r="BM87" s="152">
        <f t="shared" si="14"/>
        <v>-350000</v>
      </c>
      <c r="BN87" s="152">
        <f t="shared" si="14"/>
        <v>-350000</v>
      </c>
      <c r="BO87" s="152">
        <f t="shared" si="14"/>
        <v>-350000</v>
      </c>
      <c r="BP87" s="152">
        <f t="shared" si="14"/>
        <v>-350000</v>
      </c>
      <c r="BQ87" s="152">
        <f t="shared" si="14"/>
        <v>-350000</v>
      </c>
      <c r="BR87" s="152">
        <f t="shared" si="14"/>
        <v>-350000</v>
      </c>
      <c r="BS87" s="152">
        <f t="shared" si="14"/>
        <v>-350000</v>
      </c>
      <c r="BT87" s="152">
        <f t="shared" si="14"/>
        <v>-350000</v>
      </c>
      <c r="BU87" s="152">
        <f t="shared" si="14"/>
        <v>-350000</v>
      </c>
      <c r="BV87" s="152">
        <f t="shared" si="14"/>
        <v>-350000</v>
      </c>
      <c r="BW87" s="152">
        <f t="shared" si="14"/>
        <v>-350000</v>
      </c>
      <c r="BX87" s="152">
        <f t="shared" si="14"/>
        <v>-350000</v>
      </c>
      <c r="BY87" s="152">
        <f t="shared" si="14"/>
        <v>-350000</v>
      </c>
      <c r="BZ87" s="152">
        <f t="shared" si="14"/>
        <v>-350000</v>
      </c>
      <c r="CA87" s="152">
        <f t="shared" si="14"/>
        <v>-350000</v>
      </c>
      <c r="CB87" s="152">
        <f t="shared" si="14"/>
        <v>-350000</v>
      </c>
      <c r="CC87" s="152">
        <f t="shared" si="14"/>
        <v>-350000</v>
      </c>
      <c r="CD87" s="152">
        <f t="shared" si="14"/>
        <v>-350000</v>
      </c>
      <c r="CE87" s="152">
        <f t="shared" si="14"/>
        <v>-350000</v>
      </c>
      <c r="CF87" s="152">
        <f t="shared" si="14"/>
        <v>-350000</v>
      </c>
      <c r="CG87" s="152">
        <f t="shared" si="14"/>
        <v>-350000</v>
      </c>
      <c r="CH87" s="152">
        <f t="shared" si="14"/>
        <v>-350000</v>
      </c>
      <c r="CI87" s="152">
        <f t="shared" si="14"/>
        <v>-350000</v>
      </c>
      <c r="CJ87" s="152">
        <f t="shared" si="14"/>
        <v>-350000</v>
      </c>
      <c r="CK87" s="152">
        <f t="shared" si="14"/>
        <v>-350000</v>
      </c>
      <c r="CL87" s="152">
        <f t="shared" si="14"/>
        <v>-350000</v>
      </c>
      <c r="CM87" s="152">
        <f t="shared" si="14"/>
        <v>-350000</v>
      </c>
      <c r="CN87" s="152">
        <f t="shared" si="14"/>
        <v>-350000</v>
      </c>
      <c r="CO87" s="152">
        <f t="shared" si="14"/>
        <v>-350000</v>
      </c>
      <c r="CP87" s="152">
        <f t="shared" si="14"/>
        <v>-350000</v>
      </c>
      <c r="CQ87" s="152">
        <f t="shared" si="14"/>
        <v>-350000</v>
      </c>
      <c r="CR87" s="152">
        <f t="shared" si="14"/>
        <v>-350000</v>
      </c>
      <c r="CS87" s="152">
        <f t="shared" si="14"/>
        <v>-350000</v>
      </c>
      <c r="CT87" s="152">
        <f t="shared" si="14"/>
        <v>-350000</v>
      </c>
      <c r="CU87" s="152">
        <f t="shared" si="14"/>
        <v>-350000</v>
      </c>
      <c r="CV87" s="152">
        <f t="shared" si="14"/>
        <v>-350000</v>
      </c>
      <c r="CW87" s="152">
        <f t="shared" si="14"/>
        <v>-350000</v>
      </c>
      <c r="CX87" s="152">
        <f t="shared" si="14"/>
        <v>-350000</v>
      </c>
      <c r="CY87" s="152">
        <f t="shared" si="14"/>
        <v>-350000</v>
      </c>
      <c r="CZ87" s="152">
        <f t="shared" si="14"/>
        <v>-350000</v>
      </c>
      <c r="DA87" s="152">
        <f t="shared" si="14"/>
        <v>-350000</v>
      </c>
      <c r="DB87" s="152">
        <f t="shared" si="14"/>
        <v>-350000</v>
      </c>
      <c r="DC87" s="152">
        <f t="shared" si="14"/>
        <v>-350000</v>
      </c>
      <c r="DD87" s="152">
        <f t="shared" si="14"/>
        <v>-350000</v>
      </c>
      <c r="DE87" s="152">
        <f t="shared" si="14"/>
        <v>-350000</v>
      </c>
      <c r="DF87" s="152">
        <f t="shared" si="14"/>
        <v>-350000</v>
      </c>
      <c r="DG87" s="152">
        <f t="shared" si="14"/>
        <v>-350000</v>
      </c>
      <c r="DH87" s="152">
        <f t="shared" si="14"/>
        <v>-350000</v>
      </c>
      <c r="DI87" s="152">
        <f t="shared" si="14"/>
        <v>-350000</v>
      </c>
      <c r="DJ87" s="152">
        <f t="shared" si="14"/>
        <v>-350000</v>
      </c>
      <c r="DK87" s="152">
        <f t="shared" si="14"/>
        <v>-350000</v>
      </c>
      <c r="DL87" s="152">
        <f t="shared" si="14"/>
        <v>-350000</v>
      </c>
      <c r="DM87" s="152">
        <f t="shared" si="14"/>
        <v>-350000</v>
      </c>
      <c r="DN87" s="152">
        <f t="shared" si="14"/>
        <v>-350000</v>
      </c>
      <c r="DO87" s="152">
        <f t="shared" si="14"/>
        <v>-350000</v>
      </c>
      <c r="DP87" s="152">
        <f t="shared" si="14"/>
        <v>-350000</v>
      </c>
      <c r="DQ87" s="152">
        <f t="shared" si="14"/>
        <v>-350000</v>
      </c>
      <c r="DR87" s="152">
        <f t="shared" si="14"/>
        <v>-350000</v>
      </c>
      <c r="DS87" s="161">
        <f t="shared" si="14"/>
        <v>-350000</v>
      </c>
    </row>
    <row r="88" ht="15.75" customHeight="1">
      <c r="A88" s="44"/>
      <c r="B88" s="46" t="s">
        <v>365</v>
      </c>
      <c r="C88" s="179" t="str">
        <f t="shared" ref="C88:DS88" si="15">IF(C72=0,"-",C20/ABS(C72))</f>
        <v>-</v>
      </c>
      <c r="D88" s="179" t="str">
        <f t="shared" si="15"/>
        <v>-</v>
      </c>
      <c r="E88" s="179" t="str">
        <f t="shared" si="15"/>
        <v>-</v>
      </c>
      <c r="F88" s="179" t="str">
        <f t="shared" si="15"/>
        <v>-</v>
      </c>
      <c r="G88" s="179" t="str">
        <f t="shared" si="15"/>
        <v>-</v>
      </c>
      <c r="H88" s="179" t="str">
        <f t="shared" si="15"/>
        <v>-</v>
      </c>
      <c r="I88" s="179" t="str">
        <f t="shared" si="15"/>
        <v>-</v>
      </c>
      <c r="J88" s="179" t="str">
        <f t="shared" si="15"/>
        <v>-</v>
      </c>
      <c r="K88" s="179" t="str">
        <f t="shared" si="15"/>
        <v>-</v>
      </c>
      <c r="L88" s="179" t="str">
        <f t="shared" si="15"/>
        <v>-</v>
      </c>
      <c r="M88" s="179" t="str">
        <f t="shared" si="15"/>
        <v>-</v>
      </c>
      <c r="N88" s="179" t="str">
        <f t="shared" si="15"/>
        <v>-</v>
      </c>
      <c r="O88" s="179" t="str">
        <f t="shared" si="15"/>
        <v>-</v>
      </c>
      <c r="P88" s="179" t="str">
        <f t="shared" si="15"/>
        <v>-</v>
      </c>
      <c r="Q88" s="179" t="str">
        <f t="shared" si="15"/>
        <v>-</v>
      </c>
      <c r="R88" s="179" t="str">
        <f t="shared" si="15"/>
        <v>-</v>
      </c>
      <c r="S88" s="179" t="str">
        <f t="shared" si="15"/>
        <v>-</v>
      </c>
      <c r="T88" s="179" t="str">
        <f t="shared" si="15"/>
        <v>-</v>
      </c>
      <c r="U88" s="179" t="str">
        <f t="shared" si="15"/>
        <v>-</v>
      </c>
      <c r="V88" s="179" t="str">
        <f t="shared" si="15"/>
        <v>-</v>
      </c>
      <c r="W88" s="179" t="str">
        <f t="shared" si="15"/>
        <v>-</v>
      </c>
      <c r="X88" s="179" t="str">
        <f t="shared" si="15"/>
        <v>-</v>
      </c>
      <c r="Y88" s="179" t="str">
        <f t="shared" si="15"/>
        <v>-</v>
      </c>
      <c r="Z88" s="179" t="str">
        <f t="shared" si="15"/>
        <v>-</v>
      </c>
      <c r="AA88" s="179" t="str">
        <f t="shared" si="15"/>
        <v>-</v>
      </c>
      <c r="AB88" s="179" t="str">
        <f t="shared" si="15"/>
        <v>-</v>
      </c>
      <c r="AC88" s="179" t="str">
        <f t="shared" si="15"/>
        <v>-</v>
      </c>
      <c r="AD88" s="179" t="str">
        <f t="shared" si="15"/>
        <v>-</v>
      </c>
      <c r="AE88" s="179" t="str">
        <f t="shared" si="15"/>
        <v>-</v>
      </c>
      <c r="AF88" s="179" t="str">
        <f t="shared" si="15"/>
        <v>-</v>
      </c>
      <c r="AG88" s="179" t="str">
        <f t="shared" si="15"/>
        <v>-</v>
      </c>
      <c r="AH88" s="179" t="str">
        <f t="shared" si="15"/>
        <v>-</v>
      </c>
      <c r="AI88" s="179" t="str">
        <f t="shared" si="15"/>
        <v>-</v>
      </c>
      <c r="AJ88" s="179" t="str">
        <f t="shared" si="15"/>
        <v>-</v>
      </c>
      <c r="AK88" s="179" t="str">
        <f t="shared" si="15"/>
        <v>-</v>
      </c>
      <c r="AL88" s="179" t="str">
        <f t="shared" si="15"/>
        <v>-</v>
      </c>
      <c r="AM88" s="179" t="str">
        <f t="shared" si="15"/>
        <v>-</v>
      </c>
      <c r="AN88" s="179" t="str">
        <f t="shared" si="15"/>
        <v>-</v>
      </c>
      <c r="AO88" s="179" t="str">
        <f t="shared" si="15"/>
        <v>-</v>
      </c>
      <c r="AP88" s="179" t="str">
        <f t="shared" si="15"/>
        <v>-</v>
      </c>
      <c r="AQ88" s="179" t="str">
        <f t="shared" si="15"/>
        <v>-</v>
      </c>
      <c r="AR88" s="179" t="str">
        <f t="shared" si="15"/>
        <v>-</v>
      </c>
      <c r="AS88" s="179" t="str">
        <f t="shared" si="15"/>
        <v>-</v>
      </c>
      <c r="AT88" s="179" t="str">
        <f t="shared" si="15"/>
        <v>-</v>
      </c>
      <c r="AU88" s="179" t="str">
        <f t="shared" si="15"/>
        <v>-</v>
      </c>
      <c r="AV88" s="179" t="str">
        <f t="shared" si="15"/>
        <v>-</v>
      </c>
      <c r="AW88" s="179" t="str">
        <f t="shared" si="15"/>
        <v>-</v>
      </c>
      <c r="AX88" s="179" t="str">
        <f t="shared" si="15"/>
        <v>-</v>
      </c>
      <c r="AY88" s="179" t="str">
        <f t="shared" si="15"/>
        <v>-</v>
      </c>
      <c r="AZ88" s="179" t="str">
        <f t="shared" si="15"/>
        <v>-</v>
      </c>
      <c r="BA88" s="179" t="str">
        <f t="shared" si="15"/>
        <v>-</v>
      </c>
      <c r="BB88" s="179" t="str">
        <f t="shared" si="15"/>
        <v>-</v>
      </c>
      <c r="BC88" s="179" t="str">
        <f t="shared" si="15"/>
        <v>-</v>
      </c>
      <c r="BD88" s="179" t="str">
        <f t="shared" si="15"/>
        <v>-</v>
      </c>
      <c r="BE88" s="179" t="str">
        <f t="shared" si="15"/>
        <v>-</v>
      </c>
      <c r="BF88" s="179" t="str">
        <f t="shared" si="15"/>
        <v>-</v>
      </c>
      <c r="BG88" s="179" t="str">
        <f t="shared" si="15"/>
        <v>-</v>
      </c>
      <c r="BH88" s="179" t="str">
        <f t="shared" si="15"/>
        <v>-</v>
      </c>
      <c r="BI88" s="179" t="str">
        <f t="shared" si="15"/>
        <v>-</v>
      </c>
      <c r="BJ88" s="179" t="str">
        <f t="shared" si="15"/>
        <v>-</v>
      </c>
      <c r="BK88" s="179" t="str">
        <f t="shared" si="15"/>
        <v>-</v>
      </c>
      <c r="BL88" s="179" t="str">
        <f t="shared" si="15"/>
        <v>-</v>
      </c>
      <c r="BM88" s="179" t="str">
        <f t="shared" si="15"/>
        <v>-</v>
      </c>
      <c r="BN88" s="179" t="str">
        <f t="shared" si="15"/>
        <v>-</v>
      </c>
      <c r="BO88" s="179" t="str">
        <f t="shared" si="15"/>
        <v>-</v>
      </c>
      <c r="BP88" s="179" t="str">
        <f t="shared" si="15"/>
        <v>-</v>
      </c>
      <c r="BQ88" s="179" t="str">
        <f t="shared" si="15"/>
        <v>-</v>
      </c>
      <c r="BR88" s="179" t="str">
        <f t="shared" si="15"/>
        <v>-</v>
      </c>
      <c r="BS88" s="179" t="str">
        <f t="shared" si="15"/>
        <v>-</v>
      </c>
      <c r="BT88" s="179" t="str">
        <f t="shared" si="15"/>
        <v>-</v>
      </c>
      <c r="BU88" s="179" t="str">
        <f t="shared" si="15"/>
        <v>-</v>
      </c>
      <c r="BV88" s="179" t="str">
        <f t="shared" si="15"/>
        <v>-</v>
      </c>
      <c r="BW88" s="179" t="str">
        <f t="shared" si="15"/>
        <v>-</v>
      </c>
      <c r="BX88" s="179" t="str">
        <f t="shared" si="15"/>
        <v>-</v>
      </c>
      <c r="BY88" s="179" t="str">
        <f t="shared" si="15"/>
        <v>-</v>
      </c>
      <c r="BZ88" s="179" t="str">
        <f t="shared" si="15"/>
        <v>-</v>
      </c>
      <c r="CA88" s="179" t="str">
        <f t="shared" si="15"/>
        <v>-</v>
      </c>
      <c r="CB88" s="179" t="str">
        <f t="shared" si="15"/>
        <v>-</v>
      </c>
      <c r="CC88" s="179" t="str">
        <f t="shared" si="15"/>
        <v>-</v>
      </c>
      <c r="CD88" s="179" t="str">
        <f t="shared" si="15"/>
        <v>-</v>
      </c>
      <c r="CE88" s="179" t="str">
        <f t="shared" si="15"/>
        <v>-</v>
      </c>
      <c r="CF88" s="179" t="str">
        <f t="shared" si="15"/>
        <v>-</v>
      </c>
      <c r="CG88" s="179" t="str">
        <f t="shared" si="15"/>
        <v>-</v>
      </c>
      <c r="CH88" s="179" t="str">
        <f t="shared" si="15"/>
        <v>-</v>
      </c>
      <c r="CI88" s="179" t="str">
        <f t="shared" si="15"/>
        <v>-</v>
      </c>
      <c r="CJ88" s="179" t="str">
        <f t="shared" si="15"/>
        <v>-</v>
      </c>
      <c r="CK88" s="179" t="str">
        <f t="shared" si="15"/>
        <v>-</v>
      </c>
      <c r="CL88" s="179" t="str">
        <f t="shared" si="15"/>
        <v>-</v>
      </c>
      <c r="CM88" s="179" t="str">
        <f t="shared" si="15"/>
        <v>-</v>
      </c>
      <c r="CN88" s="179" t="str">
        <f t="shared" si="15"/>
        <v>-</v>
      </c>
      <c r="CO88" s="179" t="str">
        <f t="shared" si="15"/>
        <v>-</v>
      </c>
      <c r="CP88" s="179" t="str">
        <f t="shared" si="15"/>
        <v>-</v>
      </c>
      <c r="CQ88" s="179" t="str">
        <f t="shared" si="15"/>
        <v>-</v>
      </c>
      <c r="CR88" s="179" t="str">
        <f t="shared" si="15"/>
        <v>-</v>
      </c>
      <c r="CS88" s="179" t="str">
        <f t="shared" si="15"/>
        <v>-</v>
      </c>
      <c r="CT88" s="179" t="str">
        <f t="shared" si="15"/>
        <v>-</v>
      </c>
      <c r="CU88" s="179" t="str">
        <f t="shared" si="15"/>
        <v>-</v>
      </c>
      <c r="CV88" s="179" t="str">
        <f t="shared" si="15"/>
        <v>-</v>
      </c>
      <c r="CW88" s="179" t="str">
        <f t="shared" si="15"/>
        <v>-</v>
      </c>
      <c r="CX88" s="179" t="str">
        <f t="shared" si="15"/>
        <v>-</v>
      </c>
      <c r="CY88" s="179" t="str">
        <f t="shared" si="15"/>
        <v>-</v>
      </c>
      <c r="CZ88" s="179" t="str">
        <f t="shared" si="15"/>
        <v>-</v>
      </c>
      <c r="DA88" s="179" t="str">
        <f t="shared" si="15"/>
        <v>-</v>
      </c>
      <c r="DB88" s="179" t="str">
        <f t="shared" si="15"/>
        <v>-</v>
      </c>
      <c r="DC88" s="179" t="str">
        <f t="shared" si="15"/>
        <v>-</v>
      </c>
      <c r="DD88" s="179" t="str">
        <f t="shared" si="15"/>
        <v>-</v>
      </c>
      <c r="DE88" s="179" t="str">
        <f t="shared" si="15"/>
        <v>-</v>
      </c>
      <c r="DF88" s="179" t="str">
        <f t="shared" si="15"/>
        <v>-</v>
      </c>
      <c r="DG88" s="179" t="str">
        <f t="shared" si="15"/>
        <v>-</v>
      </c>
      <c r="DH88" s="179" t="str">
        <f t="shared" si="15"/>
        <v>-</v>
      </c>
      <c r="DI88" s="179" t="str">
        <f t="shared" si="15"/>
        <v>-</v>
      </c>
      <c r="DJ88" s="179" t="str">
        <f t="shared" si="15"/>
        <v>-</v>
      </c>
      <c r="DK88" s="179" t="str">
        <f t="shared" si="15"/>
        <v>-</v>
      </c>
      <c r="DL88" s="179" t="str">
        <f t="shared" si="15"/>
        <v>-</v>
      </c>
      <c r="DM88" s="179" t="str">
        <f t="shared" si="15"/>
        <v>-</v>
      </c>
      <c r="DN88" s="179" t="str">
        <f t="shared" si="15"/>
        <v>-</v>
      </c>
      <c r="DO88" s="179" t="str">
        <f t="shared" si="15"/>
        <v>-</v>
      </c>
      <c r="DP88" s="179" t="str">
        <f t="shared" si="15"/>
        <v>-</v>
      </c>
      <c r="DQ88" s="179" t="str">
        <f t="shared" si="15"/>
        <v>-</v>
      </c>
      <c r="DR88" s="179" t="str">
        <f t="shared" si="15"/>
        <v>-</v>
      </c>
      <c r="DS88" s="44" t="str">
        <f t="shared" si="15"/>
        <v>-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</row>
  </sheetData>
  <mergeCells count="11">
    <mergeCell ref="B50:DR50"/>
    <mergeCell ref="B59:DR59"/>
    <mergeCell ref="B77:DR77"/>
    <mergeCell ref="B85:DR85"/>
    <mergeCell ref="A1:DS1"/>
    <mergeCell ref="A2:DS2"/>
    <mergeCell ref="B7:DR7"/>
    <mergeCell ref="B15:DR15"/>
    <mergeCell ref="B22:DR22"/>
    <mergeCell ref="B25:DR25"/>
    <mergeCell ref="B41:DR4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44.14"/>
    <col customWidth="1" min="3" max="3" width="12.57"/>
    <col customWidth="1" min="4" max="4" width="9.71"/>
    <col customWidth="1" min="5" max="5" width="9.86"/>
    <col customWidth="1" min="6" max="10" width="9.71"/>
    <col customWidth="1" min="11" max="18" width="9.86"/>
    <col customWidth="1" min="19" max="21" width="9.71"/>
    <col customWidth="1" min="22" max="22" width="11.29"/>
    <col customWidth="1" min="23" max="41" width="11.14"/>
    <col customWidth="1" min="42" max="42" width="12.57"/>
    <col customWidth="1" min="43" max="43" width="7.43"/>
  </cols>
  <sheetData>
    <row r="1" ht="27.75" customHeight="1">
      <c r="A1" s="42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3.5" customHeight="1">
      <c r="A2" s="43" t="s">
        <v>367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24.0" customHeight="1">
      <c r="A3" s="44"/>
      <c r="B3" s="180" t="s">
        <v>368</v>
      </c>
      <c r="C3" s="181">
        <v>1.0</v>
      </c>
      <c r="D3" s="181">
        <v>2.0</v>
      </c>
      <c r="E3" s="181">
        <v>3.0</v>
      </c>
      <c r="F3" s="181">
        <v>4.0</v>
      </c>
      <c r="G3" s="181">
        <v>5.0</v>
      </c>
      <c r="H3" s="181">
        <v>6.0</v>
      </c>
      <c r="I3" s="181">
        <v>7.0</v>
      </c>
      <c r="J3" s="181">
        <v>8.0</v>
      </c>
      <c r="K3" s="181">
        <v>9.0</v>
      </c>
      <c r="L3" s="181">
        <v>10.0</v>
      </c>
      <c r="M3" s="181">
        <v>11.0</v>
      </c>
      <c r="N3" s="181">
        <v>12.0</v>
      </c>
      <c r="O3" s="181">
        <v>13.0</v>
      </c>
      <c r="P3" s="181">
        <v>14.0</v>
      </c>
      <c r="Q3" s="181">
        <v>15.0</v>
      </c>
      <c r="R3" s="181">
        <v>16.0</v>
      </c>
      <c r="S3" s="181">
        <v>17.0</v>
      </c>
      <c r="T3" s="181">
        <v>18.0</v>
      </c>
      <c r="U3" s="181">
        <v>19.0</v>
      </c>
      <c r="V3" s="181">
        <v>20.0</v>
      </c>
      <c r="W3" s="181">
        <v>21.0</v>
      </c>
      <c r="X3" s="181">
        <v>22.0</v>
      </c>
      <c r="Y3" s="181">
        <v>23.0</v>
      </c>
      <c r="Z3" s="181">
        <v>24.0</v>
      </c>
      <c r="AA3" s="181">
        <v>25.0</v>
      </c>
      <c r="AB3" s="181">
        <v>26.0</v>
      </c>
      <c r="AC3" s="181">
        <v>27.0</v>
      </c>
      <c r="AD3" s="181">
        <v>28.0</v>
      </c>
      <c r="AE3" s="181">
        <v>29.0</v>
      </c>
      <c r="AF3" s="181">
        <v>30.0</v>
      </c>
      <c r="AG3" s="181">
        <v>31.0</v>
      </c>
      <c r="AH3" s="181">
        <v>32.0</v>
      </c>
      <c r="AI3" s="181">
        <v>33.0</v>
      </c>
      <c r="AJ3" s="181">
        <v>34.0</v>
      </c>
      <c r="AK3" s="181">
        <v>35.0</v>
      </c>
      <c r="AL3" s="181">
        <v>36.0</v>
      </c>
      <c r="AM3" s="181">
        <v>37.0</v>
      </c>
      <c r="AN3" s="181">
        <v>38.0</v>
      </c>
      <c r="AO3" s="181">
        <v>39.0</v>
      </c>
      <c r="AP3" s="181">
        <v>40.0</v>
      </c>
      <c r="AQ3" s="44"/>
    </row>
    <row r="4" ht="15.75" customHeight="1">
      <c r="A4" s="44"/>
      <c r="B4" s="182" t="s">
        <v>315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44"/>
    </row>
    <row r="5" ht="15.75" customHeight="1">
      <c r="A5" s="44"/>
      <c r="B5" s="184" t="s">
        <v>97</v>
      </c>
      <c r="C5" s="185">
        <f>SUMIF('Monthly CF'!$C$4:$DR$4,C$3,'Monthly CF'!$C$8:$DR$8)</f>
        <v>0</v>
      </c>
      <c r="D5" s="185">
        <f>SUMIF('Monthly CF'!$C$4:$DR$4,D$3,'Monthly CF'!$C$8:$DR$8)</f>
        <v>0</v>
      </c>
      <c r="E5" s="185">
        <f>SUMIF('Monthly CF'!$C$4:$DR$4,E$3,'Monthly CF'!$C$8:$DR$8)</f>
        <v>0</v>
      </c>
      <c r="F5" s="185">
        <f>SUMIF('Monthly CF'!$C$4:$DR$4,F$3,'Monthly CF'!$C$8:$DR$8)</f>
        <v>0</v>
      </c>
      <c r="G5" s="185">
        <f>SUMIF('Monthly CF'!$C$4:$DR$4,G$3,'Monthly CF'!$C$8:$DR$8)</f>
        <v>0</v>
      </c>
      <c r="H5" s="185">
        <f>SUMIF('Monthly CF'!$C$4:$DR$4,H$3,'Monthly CF'!$C$8:$DR$8)</f>
        <v>0</v>
      </c>
      <c r="I5" s="185">
        <f>SUMIF('Monthly CF'!$C$4:$DR$4,I$3,'Monthly CF'!$C$8:$DR$8)</f>
        <v>0</v>
      </c>
      <c r="J5" s="185">
        <f>SUMIF('Monthly CF'!$C$4:$DR$4,J$3,'Monthly CF'!$C$8:$DR$8)</f>
        <v>0</v>
      </c>
      <c r="K5" s="185">
        <f>SUMIF('Monthly CF'!$C$4:$DR$4,K$3,'Monthly CF'!$C$8:$DR$8)</f>
        <v>0</v>
      </c>
      <c r="L5" s="185">
        <f>SUMIF('Monthly CF'!$C$4:$DR$4,L$3,'Monthly CF'!$C$8:$DR$8)</f>
        <v>0</v>
      </c>
      <c r="M5" s="185">
        <f>SUMIF('Monthly CF'!$C$4:$DR$4,M$3,'Monthly CF'!$C$8:$DR$8)</f>
        <v>0</v>
      </c>
      <c r="N5" s="185">
        <f>SUMIF('Monthly CF'!$C$4:$DR$4,N$3,'Monthly CF'!$C$8:$DR$8)</f>
        <v>0</v>
      </c>
      <c r="O5" s="185">
        <f>SUMIF('Monthly CF'!$C$4:$DR$4,O$3,'Monthly CF'!$C$8:$DR$8)</f>
        <v>0</v>
      </c>
      <c r="P5" s="185">
        <f>SUMIF('Monthly CF'!$C$4:$DR$4,P$3,'Monthly CF'!$C$8:$DR$8)</f>
        <v>0</v>
      </c>
      <c r="Q5" s="185">
        <f>SUMIF('Monthly CF'!$C$4:$DR$4,Q$3,'Monthly CF'!$C$8:$DR$8)</f>
        <v>0</v>
      </c>
      <c r="R5" s="185">
        <f>SUMIF('Monthly CF'!$C$4:$DR$4,R$3,'Monthly CF'!$C$8:$DR$8)</f>
        <v>0</v>
      </c>
      <c r="S5" s="185">
        <f>SUMIF('Monthly CF'!$C$4:$DR$4,S$3,'Monthly CF'!$C$8:$DR$8)</f>
        <v>0</v>
      </c>
      <c r="T5" s="185">
        <f>SUMIF('Monthly CF'!$C$4:$DR$4,T$3,'Monthly CF'!$C$8:$DR$8)</f>
        <v>0</v>
      </c>
      <c r="U5" s="185">
        <f>SUMIF('Monthly CF'!$C$4:$DR$4,U$3,'Monthly CF'!$C$8:$DR$8)</f>
        <v>0</v>
      </c>
      <c r="V5" s="185">
        <f>SUMIF('Monthly CF'!$C$4:$DR$4,V$3,'Monthly CF'!$C$8:$DR$8)</f>
        <v>0</v>
      </c>
      <c r="W5" s="185">
        <f>SUMIF('Monthly CF'!$C$4:$DR$4,W$3,'Monthly CF'!$C$8:$DR$8)</f>
        <v>0</v>
      </c>
      <c r="X5" s="185">
        <f>SUMIF('Monthly CF'!$C$4:$DR$4,X$3,'Monthly CF'!$C$8:$DR$8)</f>
        <v>0</v>
      </c>
      <c r="Y5" s="185">
        <f>SUMIF('Monthly CF'!$C$4:$DR$4,Y$3,'Monthly CF'!$C$8:$DR$8)</f>
        <v>0</v>
      </c>
      <c r="Z5" s="185">
        <f>SUMIF('Monthly CF'!$C$4:$DR$4,Z$3,'Monthly CF'!$C$8:$DR$8)</f>
        <v>0</v>
      </c>
      <c r="AA5" s="185">
        <f>SUMIF('Monthly CF'!$C$4:$DR$4,AA$3,'Monthly CF'!$C$8:$DR$8)</f>
        <v>0</v>
      </c>
      <c r="AB5" s="185">
        <f>SUMIF('Monthly CF'!$C$4:$DR$4,AB$3,'Monthly CF'!$C$8:$DR$8)</f>
        <v>0</v>
      </c>
      <c r="AC5" s="185">
        <f>SUMIF('Monthly CF'!$C$4:$DR$4,AC$3,'Monthly CF'!$C$8:$DR$8)</f>
        <v>0</v>
      </c>
      <c r="AD5" s="185">
        <f>SUMIF('Monthly CF'!$C$4:$DR$4,AD$3,'Monthly CF'!$C$8:$DR$8)</f>
        <v>0</v>
      </c>
      <c r="AE5" s="185">
        <f>SUMIF('Monthly CF'!$C$4:$DR$4,AE$3,'Monthly CF'!$C$8:$DR$8)</f>
        <v>0</v>
      </c>
      <c r="AF5" s="185">
        <f>SUMIF('Monthly CF'!$C$4:$DR$4,AF$3,'Monthly CF'!$C$8:$DR$8)</f>
        <v>0</v>
      </c>
      <c r="AG5" s="185">
        <f>SUMIF('Monthly CF'!$C$4:$DR$4,AG$3,'Monthly CF'!$C$8:$DR$8)</f>
        <v>0</v>
      </c>
      <c r="AH5" s="185">
        <f>SUMIF('Monthly CF'!$C$4:$DR$4,AH$3,'Monthly CF'!$C$8:$DR$8)</f>
        <v>0</v>
      </c>
      <c r="AI5" s="185">
        <f>SUMIF('Monthly CF'!$C$4:$DR$4,AI$3,'Monthly CF'!$C$8:$DR$8)</f>
        <v>0</v>
      </c>
      <c r="AJ5" s="185">
        <f>SUMIF('Monthly CF'!$C$4:$DR$4,AJ$3,'Monthly CF'!$C$8:$DR$8)</f>
        <v>0</v>
      </c>
      <c r="AK5" s="185">
        <f>SUMIF('Monthly CF'!$C$4:$DR$4,AK$3,'Monthly CF'!$C$8:$DR$8)</f>
        <v>0</v>
      </c>
      <c r="AL5" s="185">
        <f>SUMIF('Monthly CF'!$C$4:$DR$4,AL$3,'Monthly CF'!$C$8:$DR$8)</f>
        <v>0</v>
      </c>
      <c r="AM5" s="185">
        <f>SUMIF('Monthly CF'!$C$4:$DR$4,AM$3,'Monthly CF'!$C$8:$DR$8)</f>
        <v>0</v>
      </c>
      <c r="AN5" s="185">
        <f>SUMIF('Monthly CF'!$C$4:$DR$4,AN$3,'Monthly CF'!$C$8:$DR$8)</f>
        <v>0</v>
      </c>
      <c r="AO5" s="185">
        <f>SUMIF('Monthly CF'!$C$4:$DR$4,AO$3,'Monthly CF'!$C$8:$DR$8)</f>
        <v>0</v>
      </c>
      <c r="AP5" s="185">
        <f>SUMIF('Monthly CF'!$C$4:$DR$4,AP$3,'Monthly CF'!$C$8:$DR$8)</f>
        <v>0</v>
      </c>
      <c r="AQ5" s="44">
        <f>SUMIF('Monthly CF'!$C$4:$DR$4,AQ$3,'Monthly CF'!$C$8:$DR$8)</f>
        <v>0</v>
      </c>
    </row>
    <row r="6" ht="15.75" customHeight="1">
      <c r="A6" s="44"/>
      <c r="B6" s="184" t="s">
        <v>316</v>
      </c>
      <c r="C6" s="185">
        <f>SUMIF('Monthly CF'!$C$4:$DR$4,C$3,'Monthly CF'!$C$9:$DR$9)</f>
        <v>0</v>
      </c>
      <c r="D6" s="185">
        <f>SUMIF('Monthly CF'!$C$4:$DR$4,D$3,'Monthly CF'!$C$9:$DR$9)</f>
        <v>0</v>
      </c>
      <c r="E6" s="185">
        <f>SUMIF('Monthly CF'!$C$4:$DR$4,E$3,'Monthly CF'!$C$9:$DR$9)</f>
        <v>0</v>
      </c>
      <c r="F6" s="185">
        <f>SUMIF('Monthly CF'!$C$4:$DR$4,F$3,'Monthly CF'!$C$9:$DR$9)</f>
        <v>0</v>
      </c>
      <c r="G6" s="185">
        <f>SUMIF('Monthly CF'!$C$4:$DR$4,G$3,'Monthly CF'!$C$9:$DR$9)</f>
        <v>0</v>
      </c>
      <c r="H6" s="185">
        <f>SUMIF('Monthly CF'!$C$4:$DR$4,H$3,'Monthly CF'!$C$9:$DR$9)</f>
        <v>0</v>
      </c>
      <c r="I6" s="185">
        <f>SUMIF('Monthly CF'!$C$4:$DR$4,I$3,'Monthly CF'!$C$9:$DR$9)</f>
        <v>0</v>
      </c>
      <c r="J6" s="185">
        <f>SUMIF('Monthly CF'!$C$4:$DR$4,J$3,'Monthly CF'!$C$9:$DR$9)</f>
        <v>0</v>
      </c>
      <c r="K6" s="185">
        <f>SUMIF('Monthly CF'!$C$4:$DR$4,K$3,'Monthly CF'!$C$9:$DR$9)</f>
        <v>0</v>
      </c>
      <c r="L6" s="185">
        <f>SUMIF('Monthly CF'!$C$4:$DR$4,L$3,'Monthly CF'!$C$9:$DR$9)</f>
        <v>0</v>
      </c>
      <c r="M6" s="185">
        <f>SUMIF('Monthly CF'!$C$4:$DR$4,M$3,'Monthly CF'!$C$9:$DR$9)</f>
        <v>0</v>
      </c>
      <c r="N6" s="185">
        <f>SUMIF('Monthly CF'!$C$4:$DR$4,N$3,'Monthly CF'!$C$9:$DR$9)</f>
        <v>0</v>
      </c>
      <c r="O6" s="185">
        <f>SUMIF('Monthly CF'!$C$4:$DR$4,O$3,'Monthly CF'!$C$9:$DR$9)</f>
        <v>0</v>
      </c>
      <c r="P6" s="185">
        <f>SUMIF('Monthly CF'!$C$4:$DR$4,P$3,'Monthly CF'!$C$9:$DR$9)</f>
        <v>0</v>
      </c>
      <c r="Q6" s="185">
        <f>SUMIF('Monthly CF'!$C$4:$DR$4,Q$3,'Monthly CF'!$C$9:$DR$9)</f>
        <v>0</v>
      </c>
      <c r="R6" s="185">
        <f>SUMIF('Monthly CF'!$C$4:$DR$4,R$3,'Monthly CF'!$C$9:$DR$9)</f>
        <v>0</v>
      </c>
      <c r="S6" s="185">
        <f>SUMIF('Monthly CF'!$C$4:$DR$4,S$3,'Monthly CF'!$C$9:$DR$9)</f>
        <v>0</v>
      </c>
      <c r="T6" s="185">
        <f>SUMIF('Monthly CF'!$C$4:$DR$4,T$3,'Monthly CF'!$C$9:$DR$9)</f>
        <v>0</v>
      </c>
      <c r="U6" s="185">
        <f>SUMIF('Monthly CF'!$C$4:$DR$4,U$3,'Monthly CF'!$C$9:$DR$9)</f>
        <v>0</v>
      </c>
      <c r="V6" s="185">
        <f>SUMIF('Monthly CF'!$C$4:$DR$4,V$3,'Monthly CF'!$C$9:$DR$9)</f>
        <v>0</v>
      </c>
      <c r="W6" s="185">
        <f>SUMIF('Monthly CF'!$C$4:$DR$4,W$3,'Monthly CF'!$C$9:$DR$9)</f>
        <v>0</v>
      </c>
      <c r="X6" s="185">
        <f>SUMIF('Monthly CF'!$C$4:$DR$4,X$3,'Monthly CF'!$C$9:$DR$9)</f>
        <v>0</v>
      </c>
      <c r="Y6" s="185">
        <f>SUMIF('Monthly CF'!$C$4:$DR$4,Y$3,'Monthly CF'!$C$9:$DR$9)</f>
        <v>0</v>
      </c>
      <c r="Z6" s="185">
        <f>SUMIF('Monthly CF'!$C$4:$DR$4,Z$3,'Monthly CF'!$C$9:$DR$9)</f>
        <v>0</v>
      </c>
      <c r="AA6" s="185">
        <f>SUMIF('Monthly CF'!$C$4:$DR$4,AA$3,'Monthly CF'!$C$9:$DR$9)</f>
        <v>0</v>
      </c>
      <c r="AB6" s="185">
        <f>SUMIF('Monthly CF'!$C$4:$DR$4,AB$3,'Monthly CF'!$C$9:$DR$9)</f>
        <v>0</v>
      </c>
      <c r="AC6" s="185">
        <f>SUMIF('Monthly CF'!$C$4:$DR$4,AC$3,'Monthly CF'!$C$9:$DR$9)</f>
        <v>0</v>
      </c>
      <c r="AD6" s="185">
        <f>SUMIF('Monthly CF'!$C$4:$DR$4,AD$3,'Monthly CF'!$C$9:$DR$9)</f>
        <v>0</v>
      </c>
      <c r="AE6" s="185">
        <f>SUMIF('Monthly CF'!$C$4:$DR$4,AE$3,'Monthly CF'!$C$9:$DR$9)</f>
        <v>0</v>
      </c>
      <c r="AF6" s="185">
        <f>SUMIF('Monthly CF'!$C$4:$DR$4,AF$3,'Monthly CF'!$C$9:$DR$9)</f>
        <v>0</v>
      </c>
      <c r="AG6" s="185">
        <f>SUMIF('Monthly CF'!$C$4:$DR$4,AG$3,'Monthly CF'!$C$9:$DR$9)</f>
        <v>0</v>
      </c>
      <c r="AH6" s="185">
        <f>SUMIF('Monthly CF'!$C$4:$DR$4,AH$3,'Monthly CF'!$C$9:$DR$9)</f>
        <v>0</v>
      </c>
      <c r="AI6" s="185">
        <f>SUMIF('Monthly CF'!$C$4:$DR$4,AI$3,'Monthly CF'!$C$9:$DR$9)</f>
        <v>0</v>
      </c>
      <c r="AJ6" s="185">
        <f>SUMIF('Monthly CF'!$C$4:$DR$4,AJ$3,'Monthly CF'!$C$9:$DR$9)</f>
        <v>0</v>
      </c>
      <c r="AK6" s="185">
        <f>SUMIF('Monthly CF'!$C$4:$DR$4,AK$3,'Monthly CF'!$C$9:$DR$9)</f>
        <v>0</v>
      </c>
      <c r="AL6" s="185">
        <f>SUMIF('Monthly CF'!$C$4:$DR$4,AL$3,'Monthly CF'!$C$9:$DR$9)</f>
        <v>0</v>
      </c>
      <c r="AM6" s="185">
        <f>SUMIF('Monthly CF'!$C$4:$DR$4,AM$3,'Monthly CF'!$C$9:$DR$9)</f>
        <v>0</v>
      </c>
      <c r="AN6" s="185">
        <f>SUMIF('Monthly CF'!$C$4:$DR$4,AN$3,'Monthly CF'!$C$9:$DR$9)</f>
        <v>0</v>
      </c>
      <c r="AO6" s="185">
        <f>SUMIF('Monthly CF'!$C$4:$DR$4,AO$3,'Monthly CF'!$C$9:$DR$9)</f>
        <v>0</v>
      </c>
      <c r="AP6" s="185">
        <f>SUMIF('Monthly CF'!$C$4:$DR$4,AP$3,'Monthly CF'!$C$9:$DR$9)</f>
        <v>0</v>
      </c>
      <c r="AQ6" s="44">
        <f>SUMIF('Monthly CF'!$C$4:$DR$4,AQ$3,'Monthly CF'!$C$9:$DR$9)</f>
        <v>0</v>
      </c>
    </row>
    <row r="7" ht="15.75" customHeight="1">
      <c r="A7" s="44"/>
      <c r="B7" s="184" t="s">
        <v>317</v>
      </c>
      <c r="C7" s="57">
        <f>SUMIF('Monthly CF'!$C$4:$DR$4,C$3,'Monthly CF'!$C$10:$DR$10)</f>
        <v>0</v>
      </c>
      <c r="D7" s="57">
        <f>SUMIF('Monthly CF'!$C$4:$DR$4,D$3,'Monthly CF'!$C$10:$DR$10)</f>
        <v>0</v>
      </c>
      <c r="E7" s="57">
        <f>SUMIF('Monthly CF'!$C$4:$DR$4,E$3,'Monthly CF'!$C$10:$DR$10)</f>
        <v>0</v>
      </c>
      <c r="F7" s="57">
        <f>SUMIF('Monthly CF'!$C$4:$DR$4,F$3,'Monthly CF'!$C$10:$DR$10)</f>
        <v>0</v>
      </c>
      <c r="G7" s="57">
        <f>SUMIF('Monthly CF'!$C$4:$DR$4,G$3,'Monthly CF'!$C$10:$DR$10)</f>
        <v>0</v>
      </c>
      <c r="H7" s="57">
        <f>SUMIF('Monthly CF'!$C$4:$DR$4,H$3,'Monthly CF'!$C$10:$DR$10)</f>
        <v>0</v>
      </c>
      <c r="I7" s="57">
        <f>SUMIF('Monthly CF'!$C$4:$DR$4,I$3,'Monthly CF'!$C$10:$DR$10)</f>
        <v>0</v>
      </c>
      <c r="J7" s="57">
        <f>SUMIF('Monthly CF'!$C$4:$DR$4,J$3,'Monthly CF'!$C$10:$DR$10)</f>
        <v>0</v>
      </c>
      <c r="K7" s="57">
        <f>SUMIF('Monthly CF'!$C$4:$DR$4,K$3,'Monthly CF'!$C$10:$DR$10)</f>
        <v>0</v>
      </c>
      <c r="L7" s="57">
        <f>SUMIF('Monthly CF'!$C$4:$DR$4,L$3,'Monthly CF'!$C$10:$DR$10)</f>
        <v>0</v>
      </c>
      <c r="M7" s="57">
        <f>SUMIF('Monthly CF'!$C$4:$DR$4,M$3,'Monthly CF'!$C$10:$DR$10)</f>
        <v>0</v>
      </c>
      <c r="N7" s="57">
        <f>SUMIF('Monthly CF'!$C$4:$DR$4,N$3,'Monthly CF'!$C$10:$DR$10)</f>
        <v>0</v>
      </c>
      <c r="O7" s="57">
        <f>SUMIF('Monthly CF'!$C$4:$DR$4,O$3,'Monthly CF'!$C$10:$DR$10)</f>
        <v>0</v>
      </c>
      <c r="P7" s="57">
        <f>SUMIF('Monthly CF'!$C$4:$DR$4,P$3,'Monthly CF'!$C$10:$DR$10)</f>
        <v>0</v>
      </c>
      <c r="Q7" s="57">
        <f>SUMIF('Monthly CF'!$C$4:$DR$4,Q$3,'Monthly CF'!$C$10:$DR$10)</f>
        <v>0</v>
      </c>
      <c r="R7" s="57">
        <f>SUMIF('Monthly CF'!$C$4:$DR$4,R$3,'Monthly CF'!$C$10:$DR$10)</f>
        <v>0</v>
      </c>
      <c r="S7" s="57">
        <f>SUMIF('Monthly CF'!$C$4:$DR$4,S$3,'Monthly CF'!$C$10:$DR$10)</f>
        <v>0</v>
      </c>
      <c r="T7" s="57">
        <f>SUMIF('Monthly CF'!$C$4:$DR$4,T$3,'Monthly CF'!$C$10:$DR$10)</f>
        <v>0</v>
      </c>
      <c r="U7" s="57">
        <f>SUMIF('Monthly CF'!$C$4:$DR$4,U$3,'Monthly CF'!$C$10:$DR$10)</f>
        <v>0</v>
      </c>
      <c r="V7" s="57">
        <f>SUMIF('Monthly CF'!$C$4:$DR$4,V$3,'Monthly CF'!$C$10:$DR$10)</f>
        <v>0</v>
      </c>
      <c r="W7" s="57">
        <f>SUMIF('Monthly CF'!$C$4:$DR$4,W$3,'Monthly CF'!$C$10:$DR$10)</f>
        <v>0</v>
      </c>
      <c r="X7" s="57">
        <f>SUMIF('Monthly CF'!$C$4:$DR$4,X$3,'Monthly CF'!$C$10:$DR$10)</f>
        <v>0</v>
      </c>
      <c r="Y7" s="57">
        <f>SUMIF('Monthly CF'!$C$4:$DR$4,Y$3,'Monthly CF'!$C$10:$DR$10)</f>
        <v>0</v>
      </c>
      <c r="Z7" s="57">
        <f>SUMIF('Monthly CF'!$C$4:$DR$4,Z$3,'Monthly CF'!$C$10:$DR$10)</f>
        <v>0</v>
      </c>
      <c r="AA7" s="57">
        <f>SUMIF('Monthly CF'!$C$4:$DR$4,AA$3,'Monthly CF'!$C$10:$DR$10)</f>
        <v>0</v>
      </c>
      <c r="AB7" s="57">
        <f>SUMIF('Monthly CF'!$C$4:$DR$4,AB$3,'Monthly CF'!$C$10:$DR$10)</f>
        <v>0</v>
      </c>
      <c r="AC7" s="57">
        <f>SUMIF('Monthly CF'!$C$4:$DR$4,AC$3,'Monthly CF'!$C$10:$DR$10)</f>
        <v>0</v>
      </c>
      <c r="AD7" s="57">
        <f>SUMIF('Monthly CF'!$C$4:$DR$4,AD$3,'Monthly CF'!$C$10:$DR$10)</f>
        <v>0</v>
      </c>
      <c r="AE7" s="57">
        <f>SUMIF('Monthly CF'!$C$4:$DR$4,AE$3,'Monthly CF'!$C$10:$DR$10)</f>
        <v>0</v>
      </c>
      <c r="AF7" s="57">
        <f>SUMIF('Monthly CF'!$C$4:$DR$4,AF$3,'Monthly CF'!$C$10:$DR$10)</f>
        <v>0</v>
      </c>
      <c r="AG7" s="57">
        <f>SUMIF('Monthly CF'!$C$4:$DR$4,AG$3,'Monthly CF'!$C$10:$DR$10)</f>
        <v>0</v>
      </c>
      <c r="AH7" s="57">
        <f>SUMIF('Monthly CF'!$C$4:$DR$4,AH$3,'Monthly CF'!$C$10:$DR$10)</f>
        <v>0</v>
      </c>
      <c r="AI7" s="57">
        <f>SUMIF('Monthly CF'!$C$4:$DR$4,AI$3,'Monthly CF'!$C$10:$DR$10)</f>
        <v>0</v>
      </c>
      <c r="AJ7" s="57">
        <f>SUMIF('Monthly CF'!$C$4:$DR$4,AJ$3,'Monthly CF'!$C$10:$DR$10)</f>
        <v>0</v>
      </c>
      <c r="AK7" s="57">
        <f>SUMIF('Monthly CF'!$C$4:$DR$4,AK$3,'Monthly CF'!$C$10:$DR$10)</f>
        <v>0</v>
      </c>
      <c r="AL7" s="57">
        <f>SUMIF('Monthly CF'!$C$4:$DR$4,AL$3,'Monthly CF'!$C$10:$DR$10)</f>
        <v>0</v>
      </c>
      <c r="AM7" s="57">
        <f>SUMIF('Monthly CF'!$C$4:$DR$4,AM$3,'Monthly CF'!$C$10:$DR$10)</f>
        <v>0</v>
      </c>
      <c r="AN7" s="57">
        <f>SUMIF('Monthly CF'!$C$4:$DR$4,AN$3,'Monthly CF'!$C$10:$DR$10)</f>
        <v>0</v>
      </c>
      <c r="AO7" s="57">
        <f>SUMIF('Monthly CF'!$C$4:$DR$4,AO$3,'Monthly CF'!$C$10:$DR$10)</f>
        <v>0</v>
      </c>
      <c r="AP7" s="57">
        <f>SUMIF('Monthly CF'!$C$4:$DR$4,AP$3,'Monthly CF'!$C$10:$DR$10)</f>
        <v>0</v>
      </c>
      <c r="AQ7" s="57">
        <f>SUMIF('Monthly CF'!$C$4:$DR$4,AQ$3,'Monthly CF'!$C$10:$DR$10)</f>
        <v>0</v>
      </c>
    </row>
    <row r="8" ht="15.75" customHeight="1">
      <c r="A8" s="44"/>
      <c r="B8" s="186" t="s">
        <v>318</v>
      </c>
      <c r="C8" s="187">
        <f>SUMIF('Monthly CF'!$C$4:$DR$4,C$3,'Monthly CF'!$C$11:$DR$11)</f>
        <v>0</v>
      </c>
      <c r="D8" s="187">
        <f>SUMIF('Monthly CF'!$C$4:$DR$4,D$3,'Monthly CF'!$C$11:$DR$11)</f>
        <v>0</v>
      </c>
      <c r="E8" s="187">
        <f>SUMIF('Monthly CF'!$C$4:$DR$4,E$3,'Monthly CF'!$C$11:$DR$11)</f>
        <v>0</v>
      </c>
      <c r="F8" s="187">
        <f>SUMIF('Monthly CF'!$C$4:$DR$4,F$3,'Monthly CF'!$C$11:$DR$11)</f>
        <v>0</v>
      </c>
      <c r="G8" s="187">
        <f>SUMIF('Monthly CF'!$C$4:$DR$4,G$3,'Monthly CF'!$C$11:$DR$11)</f>
        <v>0</v>
      </c>
      <c r="H8" s="187">
        <f>SUMIF('Monthly CF'!$C$4:$DR$4,H$3,'Monthly CF'!$C$11:$DR$11)</f>
        <v>0</v>
      </c>
      <c r="I8" s="187">
        <f>SUMIF('Monthly CF'!$C$4:$DR$4,I$3,'Monthly CF'!$C$11:$DR$11)</f>
        <v>0</v>
      </c>
      <c r="J8" s="187">
        <f>SUMIF('Monthly CF'!$C$4:$DR$4,J$3,'Monthly CF'!$C$11:$DR$11)</f>
        <v>0</v>
      </c>
      <c r="K8" s="187">
        <f>SUMIF('Monthly CF'!$C$4:$DR$4,K$3,'Monthly CF'!$C$11:$DR$11)</f>
        <v>0</v>
      </c>
      <c r="L8" s="187">
        <f>SUMIF('Monthly CF'!$C$4:$DR$4,L$3,'Monthly CF'!$C$11:$DR$11)</f>
        <v>0</v>
      </c>
      <c r="M8" s="187">
        <f>SUMIF('Monthly CF'!$C$4:$DR$4,M$3,'Monthly CF'!$C$11:$DR$11)</f>
        <v>0</v>
      </c>
      <c r="N8" s="187">
        <f>SUMIF('Monthly CF'!$C$4:$DR$4,N$3,'Monthly CF'!$C$11:$DR$11)</f>
        <v>0</v>
      </c>
      <c r="O8" s="187">
        <f>SUMIF('Monthly CF'!$C$4:$DR$4,O$3,'Monthly CF'!$C$11:$DR$11)</f>
        <v>0</v>
      </c>
      <c r="P8" s="187">
        <f>SUMIF('Monthly CF'!$C$4:$DR$4,P$3,'Monthly CF'!$C$11:$DR$11)</f>
        <v>0</v>
      </c>
      <c r="Q8" s="187">
        <f>SUMIF('Monthly CF'!$C$4:$DR$4,Q$3,'Monthly CF'!$C$11:$DR$11)</f>
        <v>0</v>
      </c>
      <c r="R8" s="187">
        <f>SUMIF('Monthly CF'!$C$4:$DR$4,R$3,'Monthly CF'!$C$11:$DR$11)</f>
        <v>0</v>
      </c>
      <c r="S8" s="187">
        <f>SUMIF('Monthly CF'!$C$4:$DR$4,S$3,'Monthly CF'!$C$11:$DR$11)</f>
        <v>0</v>
      </c>
      <c r="T8" s="187">
        <f>SUMIF('Monthly CF'!$C$4:$DR$4,T$3,'Monthly CF'!$C$11:$DR$11)</f>
        <v>0</v>
      </c>
      <c r="U8" s="187">
        <f>SUMIF('Monthly CF'!$C$4:$DR$4,U$3,'Monthly CF'!$C$11:$DR$11)</f>
        <v>0</v>
      </c>
      <c r="V8" s="187">
        <f>SUMIF('Monthly CF'!$C$4:$DR$4,V$3,'Monthly CF'!$C$11:$DR$11)</f>
        <v>0</v>
      </c>
      <c r="W8" s="187">
        <f>SUMIF('Monthly CF'!$C$4:$DR$4,W$3,'Monthly CF'!$C$11:$DR$11)</f>
        <v>0</v>
      </c>
      <c r="X8" s="187">
        <f>SUMIF('Monthly CF'!$C$4:$DR$4,X$3,'Monthly CF'!$C$11:$DR$11)</f>
        <v>0</v>
      </c>
      <c r="Y8" s="187">
        <f>SUMIF('Monthly CF'!$C$4:$DR$4,Y$3,'Monthly CF'!$C$11:$DR$11)</f>
        <v>0</v>
      </c>
      <c r="Z8" s="187">
        <f>SUMIF('Monthly CF'!$C$4:$DR$4,Z$3,'Monthly CF'!$C$11:$DR$11)</f>
        <v>0</v>
      </c>
      <c r="AA8" s="187">
        <f>SUMIF('Monthly CF'!$C$4:$DR$4,AA$3,'Monthly CF'!$C$11:$DR$11)</f>
        <v>0</v>
      </c>
      <c r="AB8" s="187">
        <f>SUMIF('Monthly CF'!$C$4:$DR$4,AB$3,'Monthly CF'!$C$11:$DR$11)</f>
        <v>0</v>
      </c>
      <c r="AC8" s="187">
        <f>SUMIF('Monthly CF'!$C$4:$DR$4,AC$3,'Monthly CF'!$C$11:$DR$11)</f>
        <v>0</v>
      </c>
      <c r="AD8" s="187">
        <f>SUMIF('Monthly CF'!$C$4:$DR$4,AD$3,'Monthly CF'!$C$11:$DR$11)</f>
        <v>0</v>
      </c>
      <c r="AE8" s="187">
        <f>SUMIF('Monthly CF'!$C$4:$DR$4,AE$3,'Monthly CF'!$C$11:$DR$11)</f>
        <v>0</v>
      </c>
      <c r="AF8" s="187">
        <f>SUMIF('Monthly CF'!$C$4:$DR$4,AF$3,'Monthly CF'!$C$11:$DR$11)</f>
        <v>0</v>
      </c>
      <c r="AG8" s="187">
        <f>SUMIF('Monthly CF'!$C$4:$DR$4,AG$3,'Monthly CF'!$C$11:$DR$11)</f>
        <v>0</v>
      </c>
      <c r="AH8" s="187">
        <f>SUMIF('Monthly CF'!$C$4:$DR$4,AH$3,'Monthly CF'!$C$11:$DR$11)</f>
        <v>0</v>
      </c>
      <c r="AI8" s="187">
        <f>SUMIF('Monthly CF'!$C$4:$DR$4,AI$3,'Monthly CF'!$C$11:$DR$11)</f>
        <v>0</v>
      </c>
      <c r="AJ8" s="187">
        <f>SUMIF('Monthly CF'!$C$4:$DR$4,AJ$3,'Monthly CF'!$C$11:$DR$11)</f>
        <v>0</v>
      </c>
      <c r="AK8" s="187">
        <f>SUMIF('Monthly CF'!$C$4:$DR$4,AK$3,'Monthly CF'!$C$11:$DR$11)</f>
        <v>0</v>
      </c>
      <c r="AL8" s="187">
        <f>SUMIF('Monthly CF'!$C$4:$DR$4,AL$3,'Monthly CF'!$C$11:$DR$11)</f>
        <v>0</v>
      </c>
      <c r="AM8" s="187">
        <f>SUMIF('Monthly CF'!$C$4:$DR$4,AM$3,'Monthly CF'!$C$11:$DR$11)</f>
        <v>0</v>
      </c>
      <c r="AN8" s="187">
        <f>SUMIF('Monthly CF'!$C$4:$DR$4,AN$3,'Monthly CF'!$C$11:$DR$11)</f>
        <v>0</v>
      </c>
      <c r="AO8" s="187">
        <f>SUMIF('Monthly CF'!$C$4:$DR$4,AO$3,'Monthly CF'!$C$11:$DR$11)</f>
        <v>0</v>
      </c>
      <c r="AP8" s="187">
        <f>SUMIF('Monthly CF'!$C$4:$DR$4,AP$3,'Monthly CF'!$C$11:$DR$11)</f>
        <v>0</v>
      </c>
      <c r="AQ8" s="44">
        <f>SUMIF('Monthly CF'!$C$4:$DR$4,AQ$3,'Monthly CF'!$C$11:$DR$11)</f>
        <v>0</v>
      </c>
    </row>
    <row r="9" ht="15.75" customHeight="1">
      <c r="A9" s="44"/>
      <c r="B9" s="46" t="s">
        <v>319</v>
      </c>
      <c r="C9" s="185">
        <f>SUMIF('Monthly CF'!$C$4:$DR$4,C$3,'Monthly CF'!$C$12:$DR$12)</f>
        <v>0</v>
      </c>
      <c r="D9" s="185">
        <f>SUMIF('Monthly CF'!$C$4:$DR$4,D$3,'Monthly CF'!$C$12:$DR$12)</f>
        <v>0</v>
      </c>
      <c r="E9" s="185">
        <f>SUMIF('Monthly CF'!$C$4:$DR$4,E$3,'Monthly CF'!$C$12:$DR$12)</f>
        <v>0</v>
      </c>
      <c r="F9" s="185">
        <f>SUMIF('Monthly CF'!$C$4:$DR$4,F$3,'Monthly CF'!$C$12:$DR$12)</f>
        <v>0</v>
      </c>
      <c r="G9" s="185">
        <f>SUMIF('Monthly CF'!$C$4:$DR$4,G$3,'Monthly CF'!$C$12:$DR$12)</f>
        <v>0</v>
      </c>
      <c r="H9" s="185">
        <f>SUMIF('Monthly CF'!$C$4:$DR$4,H$3,'Monthly CF'!$C$12:$DR$12)</f>
        <v>0</v>
      </c>
      <c r="I9" s="185">
        <f>SUMIF('Monthly CF'!$C$4:$DR$4,I$3,'Monthly CF'!$C$12:$DR$12)</f>
        <v>0</v>
      </c>
      <c r="J9" s="185">
        <f>SUMIF('Monthly CF'!$C$4:$DR$4,J$3,'Monthly CF'!$C$12:$DR$12)</f>
        <v>0</v>
      </c>
      <c r="K9" s="185">
        <f>SUMIF('Monthly CF'!$C$4:$DR$4,K$3,'Monthly CF'!$C$12:$DR$12)</f>
        <v>0</v>
      </c>
      <c r="L9" s="185">
        <f>SUMIF('Monthly CF'!$C$4:$DR$4,L$3,'Monthly CF'!$C$12:$DR$12)</f>
        <v>0</v>
      </c>
      <c r="M9" s="185">
        <f>SUMIF('Monthly CF'!$C$4:$DR$4,M$3,'Monthly CF'!$C$12:$DR$12)</f>
        <v>0</v>
      </c>
      <c r="N9" s="185">
        <f>SUMIF('Monthly CF'!$C$4:$DR$4,N$3,'Monthly CF'!$C$12:$DR$12)</f>
        <v>0</v>
      </c>
      <c r="O9" s="185">
        <f>SUMIF('Monthly CF'!$C$4:$DR$4,O$3,'Monthly CF'!$C$12:$DR$12)</f>
        <v>0</v>
      </c>
      <c r="P9" s="185">
        <f>SUMIF('Monthly CF'!$C$4:$DR$4,P$3,'Monthly CF'!$C$12:$DR$12)</f>
        <v>0</v>
      </c>
      <c r="Q9" s="185">
        <f>SUMIF('Monthly CF'!$C$4:$DR$4,Q$3,'Monthly CF'!$C$12:$DR$12)</f>
        <v>0</v>
      </c>
      <c r="R9" s="185">
        <f>SUMIF('Monthly CF'!$C$4:$DR$4,R$3,'Monthly CF'!$C$12:$DR$12)</f>
        <v>0</v>
      </c>
      <c r="S9" s="185">
        <f>SUMIF('Monthly CF'!$C$4:$DR$4,S$3,'Monthly CF'!$C$12:$DR$12)</f>
        <v>0</v>
      </c>
      <c r="T9" s="185">
        <f>SUMIF('Monthly CF'!$C$4:$DR$4,T$3,'Monthly CF'!$C$12:$DR$12)</f>
        <v>0</v>
      </c>
      <c r="U9" s="185">
        <f>SUMIF('Monthly CF'!$C$4:$DR$4,U$3,'Monthly CF'!$C$12:$DR$12)</f>
        <v>0</v>
      </c>
      <c r="V9" s="185">
        <f>SUMIF('Monthly CF'!$C$4:$DR$4,V$3,'Monthly CF'!$C$12:$DR$12)</f>
        <v>0</v>
      </c>
      <c r="W9" s="185">
        <f>SUMIF('Monthly CF'!$C$4:$DR$4,W$3,'Monthly CF'!$C$12:$DR$12)</f>
        <v>0</v>
      </c>
      <c r="X9" s="185">
        <f>SUMIF('Monthly CF'!$C$4:$DR$4,X$3,'Monthly CF'!$C$12:$DR$12)</f>
        <v>0</v>
      </c>
      <c r="Y9" s="185">
        <f>SUMIF('Monthly CF'!$C$4:$DR$4,Y$3,'Monthly CF'!$C$12:$DR$12)</f>
        <v>0</v>
      </c>
      <c r="Z9" s="185">
        <f>SUMIF('Monthly CF'!$C$4:$DR$4,Z$3,'Monthly CF'!$C$12:$DR$12)</f>
        <v>0</v>
      </c>
      <c r="AA9" s="185">
        <f>SUMIF('Monthly CF'!$C$4:$DR$4,AA$3,'Monthly CF'!$C$12:$DR$12)</f>
        <v>0</v>
      </c>
      <c r="AB9" s="185">
        <f>SUMIF('Monthly CF'!$C$4:$DR$4,AB$3,'Monthly CF'!$C$12:$DR$12)</f>
        <v>0</v>
      </c>
      <c r="AC9" s="185">
        <f>SUMIF('Monthly CF'!$C$4:$DR$4,AC$3,'Monthly CF'!$C$12:$DR$12)</f>
        <v>0</v>
      </c>
      <c r="AD9" s="185">
        <f>SUMIF('Monthly CF'!$C$4:$DR$4,AD$3,'Monthly CF'!$C$12:$DR$12)</f>
        <v>0</v>
      </c>
      <c r="AE9" s="185">
        <f>SUMIF('Monthly CF'!$C$4:$DR$4,AE$3,'Monthly CF'!$C$12:$DR$12)</f>
        <v>0</v>
      </c>
      <c r="AF9" s="185">
        <f>SUMIF('Monthly CF'!$C$4:$DR$4,AF$3,'Monthly CF'!$C$12:$DR$12)</f>
        <v>0</v>
      </c>
      <c r="AG9" s="185">
        <f>SUMIF('Monthly CF'!$C$4:$DR$4,AG$3,'Monthly CF'!$C$12:$DR$12)</f>
        <v>0</v>
      </c>
      <c r="AH9" s="185">
        <f>SUMIF('Monthly CF'!$C$4:$DR$4,AH$3,'Monthly CF'!$C$12:$DR$12)</f>
        <v>0</v>
      </c>
      <c r="AI9" s="185">
        <f>SUMIF('Monthly CF'!$C$4:$DR$4,AI$3,'Monthly CF'!$C$12:$DR$12)</f>
        <v>0</v>
      </c>
      <c r="AJ9" s="185">
        <f>SUMIF('Monthly CF'!$C$4:$DR$4,AJ$3,'Monthly CF'!$C$12:$DR$12)</f>
        <v>0</v>
      </c>
      <c r="AK9" s="185">
        <f>SUMIF('Monthly CF'!$C$4:$DR$4,AK$3,'Monthly CF'!$C$12:$DR$12)</f>
        <v>0</v>
      </c>
      <c r="AL9" s="185">
        <f>SUMIF('Monthly CF'!$C$4:$DR$4,AL$3,'Monthly CF'!$C$12:$DR$12)</f>
        <v>0</v>
      </c>
      <c r="AM9" s="185">
        <f>SUMIF('Monthly CF'!$C$4:$DR$4,AM$3,'Monthly CF'!$C$12:$DR$12)</f>
        <v>0</v>
      </c>
      <c r="AN9" s="185">
        <f>SUMIF('Monthly CF'!$C$4:$DR$4,AN$3,'Monthly CF'!$C$12:$DR$12)</f>
        <v>0</v>
      </c>
      <c r="AO9" s="185">
        <f>SUMIF('Monthly CF'!$C$4:$DR$4,AO$3,'Monthly CF'!$C$12:$DR$12)</f>
        <v>0</v>
      </c>
      <c r="AP9" s="185">
        <f>SUMIF('Monthly CF'!$C$4:$DR$4,AP$3,'Monthly CF'!$C$12:$DR$12)</f>
        <v>0</v>
      </c>
      <c r="AQ9" s="44">
        <f>SUMIF('Monthly CF'!$C$4:$DR$4,AQ$3,'Monthly CF'!$C$12:$DR$12)</f>
        <v>0</v>
      </c>
    </row>
    <row r="10" ht="15.75" customHeight="1">
      <c r="A10" s="44"/>
      <c r="B10" s="124" t="s">
        <v>320</v>
      </c>
      <c r="C10" s="188">
        <f>SUMIF('Monthly CF'!$C$4:$DR$4,C$3,'Monthly CF'!$C$13:$DR$13)</f>
        <v>0</v>
      </c>
      <c r="D10" s="189">
        <f>SUMIF('Monthly CF'!$C$4:$DR$4,D$3,'Monthly CF'!$C$13:$DR$13)</f>
        <v>0</v>
      </c>
      <c r="E10" s="189">
        <f>SUMIF('Monthly CF'!$C$4:$DR$4,E$3,'Monthly CF'!$C$13:$DR$13)</f>
        <v>0</v>
      </c>
      <c r="F10" s="189">
        <f>SUMIF('Monthly CF'!$C$4:$DR$4,F$3,'Monthly CF'!$C$13:$DR$13)</f>
        <v>0</v>
      </c>
      <c r="G10" s="189">
        <f>SUMIF('Monthly CF'!$C$4:$DR$4,G$3,'Monthly CF'!$C$13:$DR$13)</f>
        <v>0</v>
      </c>
      <c r="H10" s="189">
        <f>SUMIF('Monthly CF'!$C$4:$DR$4,H$3,'Monthly CF'!$C$13:$DR$13)</f>
        <v>0</v>
      </c>
      <c r="I10" s="189">
        <f>SUMIF('Monthly CF'!$C$4:$DR$4,I$3,'Monthly CF'!$C$13:$DR$13)</f>
        <v>0</v>
      </c>
      <c r="J10" s="189">
        <f>SUMIF('Monthly CF'!$C$4:$DR$4,J$3,'Monthly CF'!$C$13:$DR$13)</f>
        <v>0</v>
      </c>
      <c r="K10" s="189">
        <f>SUMIF('Monthly CF'!$C$4:$DR$4,K$3,'Monthly CF'!$C$13:$DR$13)</f>
        <v>0</v>
      </c>
      <c r="L10" s="189">
        <f>SUMIF('Monthly CF'!$C$4:$DR$4,L$3,'Monthly CF'!$C$13:$DR$13)</f>
        <v>0</v>
      </c>
      <c r="M10" s="189">
        <f>SUMIF('Monthly CF'!$C$4:$DR$4,M$3,'Monthly CF'!$C$13:$DR$13)</f>
        <v>0</v>
      </c>
      <c r="N10" s="189">
        <f>SUMIF('Monthly CF'!$C$4:$DR$4,N$3,'Monthly CF'!$C$13:$DR$13)</f>
        <v>0</v>
      </c>
      <c r="O10" s="189">
        <f>SUMIF('Monthly CF'!$C$4:$DR$4,O$3,'Monthly CF'!$C$13:$DR$13)</f>
        <v>0</v>
      </c>
      <c r="P10" s="189">
        <f>SUMIF('Monthly CF'!$C$4:$DR$4,P$3,'Monthly CF'!$C$13:$DR$13)</f>
        <v>0</v>
      </c>
      <c r="Q10" s="189">
        <f>SUMIF('Monthly CF'!$C$4:$DR$4,Q$3,'Monthly CF'!$C$13:$DR$13)</f>
        <v>0</v>
      </c>
      <c r="R10" s="189">
        <f>SUMIF('Monthly CF'!$C$4:$DR$4,R$3,'Monthly CF'!$C$13:$DR$13)</f>
        <v>0</v>
      </c>
      <c r="S10" s="189">
        <f>SUMIF('Monthly CF'!$C$4:$DR$4,S$3,'Monthly CF'!$C$13:$DR$13)</f>
        <v>0</v>
      </c>
      <c r="T10" s="189">
        <f>SUMIF('Monthly CF'!$C$4:$DR$4,T$3,'Monthly CF'!$C$13:$DR$13)</f>
        <v>0</v>
      </c>
      <c r="U10" s="189">
        <f>SUMIF('Monthly CF'!$C$4:$DR$4,U$3,'Monthly CF'!$C$13:$DR$13)</f>
        <v>0</v>
      </c>
      <c r="V10" s="189">
        <f>SUMIF('Monthly CF'!$C$4:$DR$4,V$3,'Monthly CF'!$C$13:$DR$13)</f>
        <v>0</v>
      </c>
      <c r="W10" s="189">
        <f>SUMIF('Monthly CF'!$C$4:$DR$4,W$3,'Monthly CF'!$C$13:$DR$13)</f>
        <v>0</v>
      </c>
      <c r="X10" s="189">
        <f>SUMIF('Monthly CF'!$C$4:$DR$4,X$3,'Monthly CF'!$C$13:$DR$13)</f>
        <v>0</v>
      </c>
      <c r="Y10" s="189">
        <f>SUMIF('Monthly CF'!$C$4:$DR$4,Y$3,'Monthly CF'!$C$13:$DR$13)</f>
        <v>0</v>
      </c>
      <c r="Z10" s="189">
        <f>SUMIF('Monthly CF'!$C$4:$DR$4,Z$3,'Monthly CF'!$C$13:$DR$13)</f>
        <v>0</v>
      </c>
      <c r="AA10" s="189">
        <f>SUMIF('Monthly CF'!$C$4:$DR$4,AA$3,'Monthly CF'!$C$13:$DR$13)</f>
        <v>0</v>
      </c>
      <c r="AB10" s="189">
        <f>SUMIF('Monthly CF'!$C$4:$DR$4,AB$3,'Monthly CF'!$C$13:$DR$13)</f>
        <v>0</v>
      </c>
      <c r="AC10" s="189">
        <f>SUMIF('Monthly CF'!$C$4:$DR$4,AC$3,'Monthly CF'!$C$13:$DR$13)</f>
        <v>0</v>
      </c>
      <c r="AD10" s="189">
        <f>SUMIF('Monthly CF'!$C$4:$DR$4,AD$3,'Monthly CF'!$C$13:$DR$13)</f>
        <v>0</v>
      </c>
      <c r="AE10" s="189">
        <f>SUMIF('Monthly CF'!$C$4:$DR$4,AE$3,'Monthly CF'!$C$13:$DR$13)</f>
        <v>0</v>
      </c>
      <c r="AF10" s="189">
        <f>SUMIF('Monthly CF'!$C$4:$DR$4,AF$3,'Monthly CF'!$C$13:$DR$13)</f>
        <v>0</v>
      </c>
      <c r="AG10" s="189">
        <f>SUMIF('Monthly CF'!$C$4:$DR$4,AG$3,'Monthly CF'!$C$13:$DR$13)</f>
        <v>0</v>
      </c>
      <c r="AH10" s="189">
        <f>SUMIF('Monthly CF'!$C$4:$DR$4,AH$3,'Monthly CF'!$C$13:$DR$13)</f>
        <v>0</v>
      </c>
      <c r="AI10" s="189">
        <f>SUMIF('Monthly CF'!$C$4:$DR$4,AI$3,'Monthly CF'!$C$13:$DR$13)</f>
        <v>0</v>
      </c>
      <c r="AJ10" s="189">
        <f>SUMIF('Monthly CF'!$C$4:$DR$4,AJ$3,'Monthly CF'!$C$13:$DR$13)</f>
        <v>0</v>
      </c>
      <c r="AK10" s="189">
        <f>SUMIF('Monthly CF'!$C$4:$DR$4,AK$3,'Monthly CF'!$C$13:$DR$13)</f>
        <v>0</v>
      </c>
      <c r="AL10" s="189">
        <f>SUMIF('Monthly CF'!$C$4:$DR$4,AL$3,'Monthly CF'!$C$13:$DR$13)</f>
        <v>0</v>
      </c>
      <c r="AM10" s="189">
        <f>SUMIF('Monthly CF'!$C$4:$DR$4,AM$3,'Monthly CF'!$C$13:$DR$13)</f>
        <v>0</v>
      </c>
      <c r="AN10" s="189">
        <f>SUMIF('Monthly CF'!$C$4:$DR$4,AN$3,'Monthly CF'!$C$13:$DR$13)</f>
        <v>0</v>
      </c>
      <c r="AO10" s="189">
        <f>SUMIF('Monthly CF'!$C$4:$DR$4,AO$3,'Monthly CF'!$C$13:$DR$13)</f>
        <v>0</v>
      </c>
      <c r="AP10" s="189">
        <f>SUMIF('Monthly CF'!$C$4:$DR$4,AP$3,'Monthly CF'!$C$13:$DR$13)</f>
        <v>0</v>
      </c>
      <c r="AQ10" s="44">
        <f>SUMIF('Monthly CF'!$C$4:$DR$4,AQ$3,'Monthly CF'!$C$13:$DR$13)</f>
        <v>0</v>
      </c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</row>
    <row r="12" ht="15.75" customHeight="1">
      <c r="A12" s="44"/>
      <c r="B12" s="182" t="s">
        <v>321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44"/>
    </row>
    <row r="13" ht="15.75" customHeight="1">
      <c r="A13" s="44"/>
      <c r="B13" s="184" t="s">
        <v>322</v>
      </c>
      <c r="C13" s="152">
        <f>SUMIF('Monthly CF'!$C$4:$DR$4,C$3,'Monthly CF'!$C$16:$DR$16)</f>
        <v>0</v>
      </c>
      <c r="D13" s="152">
        <f>SUMIF('Monthly CF'!$C$4:$DR$4,D$3,'Monthly CF'!$C$16:$DR$16)</f>
        <v>0</v>
      </c>
      <c r="E13" s="152">
        <f>SUMIF('Monthly CF'!$C$4:$DR$4,E$3,'Monthly CF'!$C$16:$DR$16)</f>
        <v>0</v>
      </c>
      <c r="F13" s="152">
        <f>SUMIF('Monthly CF'!$C$4:$DR$4,F$3,'Monthly CF'!$C$16:$DR$16)</f>
        <v>0</v>
      </c>
      <c r="G13" s="152">
        <f>SUMIF('Monthly CF'!$C$4:$DR$4,G$3,'Monthly CF'!$C$16:$DR$16)</f>
        <v>0</v>
      </c>
      <c r="H13" s="152">
        <f>SUMIF('Monthly CF'!$C$4:$DR$4,H$3,'Monthly CF'!$C$16:$DR$16)</f>
        <v>0</v>
      </c>
      <c r="I13" s="152">
        <f>SUMIF('Monthly CF'!$C$4:$DR$4,I$3,'Monthly CF'!$C$16:$DR$16)</f>
        <v>0</v>
      </c>
      <c r="J13" s="152">
        <f>SUMIF('Monthly CF'!$C$4:$DR$4,J$3,'Monthly CF'!$C$16:$DR$16)</f>
        <v>0</v>
      </c>
      <c r="K13" s="152">
        <f>SUMIF('Monthly CF'!$C$4:$DR$4,K$3,'Monthly CF'!$C$16:$DR$16)</f>
        <v>0</v>
      </c>
      <c r="L13" s="152">
        <f>SUMIF('Monthly CF'!$C$4:$DR$4,L$3,'Monthly CF'!$C$16:$DR$16)</f>
        <v>0</v>
      </c>
      <c r="M13" s="152">
        <f>SUMIF('Monthly CF'!$C$4:$DR$4,M$3,'Monthly CF'!$C$16:$DR$16)</f>
        <v>0</v>
      </c>
      <c r="N13" s="152">
        <f>SUMIF('Monthly CF'!$C$4:$DR$4,N$3,'Monthly CF'!$C$16:$DR$16)</f>
        <v>0</v>
      </c>
      <c r="O13" s="152">
        <f>SUMIF('Monthly CF'!$C$4:$DR$4,O$3,'Monthly CF'!$C$16:$DR$16)</f>
        <v>0</v>
      </c>
      <c r="P13" s="152">
        <f>SUMIF('Monthly CF'!$C$4:$DR$4,P$3,'Monthly CF'!$C$16:$DR$16)</f>
        <v>0</v>
      </c>
      <c r="Q13" s="152">
        <f>SUMIF('Monthly CF'!$C$4:$DR$4,Q$3,'Monthly CF'!$C$16:$DR$16)</f>
        <v>0</v>
      </c>
      <c r="R13" s="152">
        <f>SUMIF('Monthly CF'!$C$4:$DR$4,R$3,'Monthly CF'!$C$16:$DR$16)</f>
        <v>0</v>
      </c>
      <c r="S13" s="152">
        <f>SUMIF('Monthly CF'!$C$4:$DR$4,S$3,'Monthly CF'!$C$16:$DR$16)</f>
        <v>0</v>
      </c>
      <c r="T13" s="152">
        <f>SUMIF('Monthly CF'!$C$4:$DR$4,T$3,'Monthly CF'!$C$16:$DR$16)</f>
        <v>0</v>
      </c>
      <c r="U13" s="152">
        <f>SUMIF('Monthly CF'!$C$4:$DR$4,U$3,'Monthly CF'!$C$16:$DR$16)</f>
        <v>0</v>
      </c>
      <c r="V13" s="152">
        <f>SUMIF('Monthly CF'!$C$4:$DR$4,V$3,'Monthly CF'!$C$16:$DR$16)</f>
        <v>0</v>
      </c>
      <c r="W13" s="152">
        <f>SUMIF('Monthly CF'!$C$4:$DR$4,W$3,'Monthly CF'!$C$16:$DR$16)</f>
        <v>0</v>
      </c>
      <c r="X13" s="152">
        <f>SUMIF('Monthly CF'!$C$4:$DR$4,X$3,'Monthly CF'!$C$16:$DR$16)</f>
        <v>0</v>
      </c>
      <c r="Y13" s="152">
        <f>SUMIF('Monthly CF'!$C$4:$DR$4,Y$3,'Monthly CF'!$C$16:$DR$16)</f>
        <v>0</v>
      </c>
      <c r="Z13" s="152">
        <f>SUMIF('Monthly CF'!$C$4:$DR$4,Z$3,'Monthly CF'!$C$16:$DR$16)</f>
        <v>0</v>
      </c>
      <c r="AA13" s="152">
        <f>SUMIF('Monthly CF'!$C$4:$DR$4,AA$3,'Monthly CF'!$C$16:$DR$16)</f>
        <v>0</v>
      </c>
      <c r="AB13" s="152">
        <f>SUMIF('Monthly CF'!$C$4:$DR$4,AB$3,'Monthly CF'!$C$16:$DR$16)</f>
        <v>0</v>
      </c>
      <c r="AC13" s="152">
        <f>SUMIF('Monthly CF'!$C$4:$DR$4,AC$3,'Monthly CF'!$C$16:$DR$16)</f>
        <v>0</v>
      </c>
      <c r="AD13" s="152">
        <f>SUMIF('Monthly CF'!$C$4:$DR$4,AD$3,'Monthly CF'!$C$16:$DR$16)</f>
        <v>0</v>
      </c>
      <c r="AE13" s="152">
        <f>SUMIF('Monthly CF'!$C$4:$DR$4,AE$3,'Monthly CF'!$C$16:$DR$16)</f>
        <v>0</v>
      </c>
      <c r="AF13" s="152">
        <f>SUMIF('Monthly CF'!$C$4:$DR$4,AF$3,'Monthly CF'!$C$16:$DR$16)</f>
        <v>0</v>
      </c>
      <c r="AG13" s="152">
        <f>SUMIF('Monthly CF'!$C$4:$DR$4,AG$3,'Monthly CF'!$C$16:$DR$16)</f>
        <v>0</v>
      </c>
      <c r="AH13" s="152">
        <f>SUMIF('Monthly CF'!$C$4:$DR$4,AH$3,'Monthly CF'!$C$16:$DR$16)</f>
        <v>0</v>
      </c>
      <c r="AI13" s="152">
        <f>SUMIF('Monthly CF'!$C$4:$DR$4,AI$3,'Monthly CF'!$C$16:$DR$16)</f>
        <v>0</v>
      </c>
      <c r="AJ13" s="152">
        <f>SUMIF('Monthly CF'!$C$4:$DR$4,AJ$3,'Monthly CF'!$C$16:$DR$16)</f>
        <v>0</v>
      </c>
      <c r="AK13" s="152">
        <f>SUMIF('Monthly CF'!$C$4:$DR$4,AK$3,'Monthly CF'!$C$16:$DR$16)</f>
        <v>0</v>
      </c>
      <c r="AL13" s="152">
        <f>SUMIF('Monthly CF'!$C$4:$DR$4,AL$3,'Monthly CF'!$C$16:$DR$16)</f>
        <v>0</v>
      </c>
      <c r="AM13" s="152">
        <f>SUMIF('Monthly CF'!$C$4:$DR$4,AM$3,'Monthly CF'!$C$16:$DR$16)</f>
        <v>0</v>
      </c>
      <c r="AN13" s="152">
        <f>SUMIF('Monthly CF'!$C$4:$DR$4,AN$3,'Monthly CF'!$C$16:$DR$16)</f>
        <v>0</v>
      </c>
      <c r="AO13" s="152">
        <f>SUMIF('Monthly CF'!$C$4:$DR$4,AO$3,'Monthly CF'!$C$16:$DR$16)</f>
        <v>0</v>
      </c>
      <c r="AP13" s="152">
        <f>SUMIF('Monthly CF'!$C$4:$DR$4,AP$3,'Monthly CF'!$C$16:$DR$16)</f>
        <v>0</v>
      </c>
      <c r="AQ13" s="152">
        <f>SUMIF('Monthly CF'!$C$4:$DR$4,AQ$3,'Monthly CF'!$C$16:$DR$16)</f>
        <v>0</v>
      </c>
    </row>
    <row r="14" ht="15.75" customHeight="1">
      <c r="A14" s="44"/>
      <c r="B14" s="184" t="s">
        <v>323</v>
      </c>
      <c r="C14" s="185">
        <f>SUMIF('Monthly CF'!$C$4:$DR$4,C$3,'Monthly CF'!$C$17:$DR$17)</f>
        <v>0</v>
      </c>
      <c r="D14" s="185">
        <f>SUMIF('Monthly CF'!$C$4:$DR$4,D$3,'Monthly CF'!$C$17:$DR$17)</f>
        <v>0</v>
      </c>
      <c r="E14" s="185">
        <f>SUMIF('Monthly CF'!$C$4:$DR$4,E$3,'Monthly CF'!$C$17:$DR$17)</f>
        <v>0</v>
      </c>
      <c r="F14" s="185">
        <f>SUMIF('Monthly CF'!$C$4:$DR$4,F$3,'Monthly CF'!$C$17:$DR$17)</f>
        <v>0</v>
      </c>
      <c r="G14" s="185">
        <f>SUMIF('Monthly CF'!$C$4:$DR$4,G$3,'Monthly CF'!$C$17:$DR$17)</f>
        <v>0</v>
      </c>
      <c r="H14" s="185">
        <f>SUMIF('Monthly CF'!$C$4:$DR$4,H$3,'Monthly CF'!$C$17:$DR$17)</f>
        <v>0</v>
      </c>
      <c r="I14" s="185">
        <f>SUMIF('Monthly CF'!$C$4:$DR$4,I$3,'Monthly CF'!$C$17:$DR$17)</f>
        <v>0</v>
      </c>
      <c r="J14" s="185">
        <f>SUMIF('Monthly CF'!$C$4:$DR$4,J$3,'Monthly CF'!$C$17:$DR$17)</f>
        <v>0</v>
      </c>
      <c r="K14" s="185">
        <f>SUMIF('Monthly CF'!$C$4:$DR$4,K$3,'Monthly CF'!$C$17:$DR$17)</f>
        <v>0</v>
      </c>
      <c r="L14" s="185">
        <f>SUMIF('Monthly CF'!$C$4:$DR$4,L$3,'Monthly CF'!$C$17:$DR$17)</f>
        <v>0</v>
      </c>
      <c r="M14" s="185">
        <f>SUMIF('Monthly CF'!$C$4:$DR$4,M$3,'Monthly CF'!$C$17:$DR$17)</f>
        <v>0</v>
      </c>
      <c r="N14" s="185">
        <f>SUMIF('Monthly CF'!$C$4:$DR$4,N$3,'Monthly CF'!$C$17:$DR$17)</f>
        <v>0</v>
      </c>
      <c r="O14" s="185">
        <f>SUMIF('Monthly CF'!$C$4:$DR$4,O$3,'Monthly CF'!$C$17:$DR$17)</f>
        <v>0</v>
      </c>
      <c r="P14" s="185">
        <f>SUMIF('Monthly CF'!$C$4:$DR$4,P$3,'Monthly CF'!$C$17:$DR$17)</f>
        <v>0</v>
      </c>
      <c r="Q14" s="185">
        <f>SUMIF('Monthly CF'!$C$4:$DR$4,Q$3,'Monthly CF'!$C$17:$DR$17)</f>
        <v>0</v>
      </c>
      <c r="R14" s="185">
        <f>SUMIF('Monthly CF'!$C$4:$DR$4,R$3,'Monthly CF'!$C$17:$DR$17)</f>
        <v>0</v>
      </c>
      <c r="S14" s="185">
        <f>SUMIF('Monthly CF'!$C$4:$DR$4,S$3,'Monthly CF'!$C$17:$DR$17)</f>
        <v>0</v>
      </c>
      <c r="T14" s="185">
        <f>SUMIF('Monthly CF'!$C$4:$DR$4,T$3,'Monthly CF'!$C$17:$DR$17)</f>
        <v>0</v>
      </c>
      <c r="U14" s="185">
        <f>SUMIF('Monthly CF'!$C$4:$DR$4,U$3,'Monthly CF'!$C$17:$DR$17)</f>
        <v>0</v>
      </c>
      <c r="V14" s="185">
        <f>SUMIF('Monthly CF'!$C$4:$DR$4,V$3,'Monthly CF'!$C$17:$DR$17)</f>
        <v>0</v>
      </c>
      <c r="W14" s="185">
        <f>SUMIF('Monthly CF'!$C$4:$DR$4,W$3,'Monthly CF'!$C$17:$DR$17)</f>
        <v>0</v>
      </c>
      <c r="X14" s="185">
        <f>SUMIF('Monthly CF'!$C$4:$DR$4,X$3,'Monthly CF'!$C$17:$DR$17)</f>
        <v>0</v>
      </c>
      <c r="Y14" s="185">
        <f>SUMIF('Monthly CF'!$C$4:$DR$4,Y$3,'Monthly CF'!$C$17:$DR$17)</f>
        <v>0</v>
      </c>
      <c r="Z14" s="185">
        <f>SUMIF('Monthly CF'!$C$4:$DR$4,Z$3,'Monthly CF'!$C$17:$DR$17)</f>
        <v>0</v>
      </c>
      <c r="AA14" s="185">
        <f>SUMIF('Monthly CF'!$C$4:$DR$4,AA$3,'Monthly CF'!$C$17:$DR$17)</f>
        <v>0</v>
      </c>
      <c r="AB14" s="185">
        <f>SUMIF('Monthly CF'!$C$4:$DR$4,AB$3,'Monthly CF'!$C$17:$DR$17)</f>
        <v>0</v>
      </c>
      <c r="AC14" s="185">
        <f>SUMIF('Monthly CF'!$C$4:$DR$4,AC$3,'Monthly CF'!$C$17:$DR$17)</f>
        <v>0</v>
      </c>
      <c r="AD14" s="185">
        <f>SUMIF('Monthly CF'!$C$4:$DR$4,AD$3,'Monthly CF'!$C$17:$DR$17)</f>
        <v>0</v>
      </c>
      <c r="AE14" s="185">
        <f>SUMIF('Monthly CF'!$C$4:$DR$4,AE$3,'Monthly CF'!$C$17:$DR$17)</f>
        <v>0</v>
      </c>
      <c r="AF14" s="185">
        <f>SUMIF('Monthly CF'!$C$4:$DR$4,AF$3,'Monthly CF'!$C$17:$DR$17)</f>
        <v>0</v>
      </c>
      <c r="AG14" s="185">
        <f>SUMIF('Monthly CF'!$C$4:$DR$4,AG$3,'Monthly CF'!$C$17:$DR$17)</f>
        <v>0</v>
      </c>
      <c r="AH14" s="185">
        <f>SUMIF('Monthly CF'!$C$4:$DR$4,AH$3,'Monthly CF'!$C$17:$DR$17)</f>
        <v>0</v>
      </c>
      <c r="AI14" s="185">
        <f>SUMIF('Monthly CF'!$C$4:$DR$4,AI$3,'Monthly CF'!$C$17:$DR$17)</f>
        <v>0</v>
      </c>
      <c r="AJ14" s="185">
        <f>SUMIF('Monthly CF'!$C$4:$DR$4,AJ$3,'Monthly CF'!$C$17:$DR$17)</f>
        <v>0</v>
      </c>
      <c r="AK14" s="185">
        <f>SUMIF('Monthly CF'!$C$4:$DR$4,AK$3,'Monthly CF'!$C$17:$DR$17)</f>
        <v>0</v>
      </c>
      <c r="AL14" s="185">
        <f>SUMIF('Monthly CF'!$C$4:$DR$4,AL$3,'Monthly CF'!$C$17:$DR$17)</f>
        <v>0</v>
      </c>
      <c r="AM14" s="185">
        <f>SUMIF('Monthly CF'!$C$4:$DR$4,AM$3,'Monthly CF'!$C$17:$DR$17)</f>
        <v>0</v>
      </c>
      <c r="AN14" s="185">
        <f>SUMIF('Monthly CF'!$C$4:$DR$4,AN$3,'Monthly CF'!$C$17:$DR$17)</f>
        <v>0</v>
      </c>
      <c r="AO14" s="185">
        <f>SUMIF('Monthly CF'!$C$4:$DR$4,AO$3,'Monthly CF'!$C$17:$DR$17)</f>
        <v>0</v>
      </c>
      <c r="AP14" s="185">
        <f>SUMIF('Monthly CF'!$C$4:$DR$4,AP$3,'Monthly CF'!$C$17:$DR$17)</f>
        <v>0</v>
      </c>
      <c r="AQ14" s="44">
        <f>SUMIF('Monthly CF'!$C$4:$DR$4,AQ$3,'Monthly CF'!$C$17:$DR$17)</f>
        <v>0</v>
      </c>
    </row>
    <row r="15" ht="15.75" customHeight="1">
      <c r="A15" s="44"/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44"/>
    </row>
    <row r="16" ht="15.75" customHeight="1">
      <c r="A16" s="44"/>
      <c r="B16" s="124" t="s">
        <v>324</v>
      </c>
      <c r="C16" s="189">
        <f>SUMIF('Monthly CF'!$C$4:$DR$4,C$3,'Monthly CF'!$C$18:$DR$18)</f>
        <v>0</v>
      </c>
      <c r="D16" s="189">
        <f>SUMIF('Monthly CF'!$C$4:$DR$4,D$3,'Monthly CF'!$C$18:$DR$18)</f>
        <v>0</v>
      </c>
      <c r="E16" s="189">
        <f>SUMIF('Monthly CF'!$C$4:$DR$4,E$3,'Monthly CF'!$C$18:$DR$18)</f>
        <v>0</v>
      </c>
      <c r="F16" s="189">
        <f>SUMIF('Monthly CF'!$C$4:$DR$4,F$3,'Monthly CF'!$C$18:$DR$18)</f>
        <v>0</v>
      </c>
      <c r="G16" s="189">
        <f>SUMIF('Monthly CF'!$C$4:$DR$4,G$3,'Monthly CF'!$C$18:$DR$18)</f>
        <v>0</v>
      </c>
      <c r="H16" s="189">
        <f>SUMIF('Monthly CF'!$C$4:$DR$4,H$3,'Monthly CF'!$C$18:$DR$18)</f>
        <v>0</v>
      </c>
      <c r="I16" s="189">
        <f>SUMIF('Monthly CF'!$C$4:$DR$4,I$3,'Monthly CF'!$C$18:$DR$18)</f>
        <v>0</v>
      </c>
      <c r="J16" s="189">
        <f>SUMIF('Monthly CF'!$C$4:$DR$4,J$3,'Monthly CF'!$C$18:$DR$18)</f>
        <v>0</v>
      </c>
      <c r="K16" s="189">
        <f>SUMIF('Monthly CF'!$C$4:$DR$4,K$3,'Monthly CF'!$C$18:$DR$18)</f>
        <v>0</v>
      </c>
      <c r="L16" s="189">
        <f>SUMIF('Monthly CF'!$C$4:$DR$4,L$3,'Monthly CF'!$C$18:$DR$18)</f>
        <v>0</v>
      </c>
      <c r="M16" s="189">
        <f>SUMIF('Monthly CF'!$C$4:$DR$4,M$3,'Monthly CF'!$C$18:$DR$18)</f>
        <v>0</v>
      </c>
      <c r="N16" s="189">
        <f>SUMIF('Monthly CF'!$C$4:$DR$4,N$3,'Monthly CF'!$C$18:$DR$18)</f>
        <v>0</v>
      </c>
      <c r="O16" s="189">
        <f>SUMIF('Monthly CF'!$C$4:$DR$4,O$3,'Monthly CF'!$C$18:$DR$18)</f>
        <v>0</v>
      </c>
      <c r="P16" s="189">
        <f>SUMIF('Monthly CF'!$C$4:$DR$4,P$3,'Monthly CF'!$C$18:$DR$18)</f>
        <v>0</v>
      </c>
      <c r="Q16" s="189">
        <f>SUMIF('Monthly CF'!$C$4:$DR$4,Q$3,'Monthly CF'!$C$18:$DR$18)</f>
        <v>0</v>
      </c>
      <c r="R16" s="189">
        <f>SUMIF('Monthly CF'!$C$4:$DR$4,R$3,'Monthly CF'!$C$18:$DR$18)</f>
        <v>0</v>
      </c>
      <c r="S16" s="189">
        <f>SUMIF('Monthly CF'!$C$4:$DR$4,S$3,'Monthly CF'!$C$18:$DR$18)</f>
        <v>0</v>
      </c>
      <c r="T16" s="189">
        <f>SUMIF('Monthly CF'!$C$4:$DR$4,T$3,'Monthly CF'!$C$18:$DR$18)</f>
        <v>0</v>
      </c>
      <c r="U16" s="189">
        <f>SUMIF('Monthly CF'!$C$4:$DR$4,U$3,'Monthly CF'!$C$18:$DR$18)</f>
        <v>0</v>
      </c>
      <c r="V16" s="189">
        <f>SUMIF('Monthly CF'!$C$4:$DR$4,V$3,'Monthly CF'!$C$18:$DR$18)</f>
        <v>0</v>
      </c>
      <c r="W16" s="189">
        <f>SUMIF('Monthly CF'!$C$4:$DR$4,W$3,'Monthly CF'!$C$18:$DR$18)</f>
        <v>0</v>
      </c>
      <c r="X16" s="189">
        <f>SUMIF('Monthly CF'!$C$4:$DR$4,X$3,'Monthly CF'!$C$18:$DR$18)</f>
        <v>0</v>
      </c>
      <c r="Y16" s="189">
        <f>SUMIF('Monthly CF'!$C$4:$DR$4,Y$3,'Monthly CF'!$C$18:$DR$18)</f>
        <v>0</v>
      </c>
      <c r="Z16" s="189">
        <f>SUMIF('Monthly CF'!$C$4:$DR$4,Z$3,'Monthly CF'!$C$18:$DR$18)</f>
        <v>0</v>
      </c>
      <c r="AA16" s="189">
        <f>SUMIF('Monthly CF'!$C$4:$DR$4,AA$3,'Monthly CF'!$C$18:$DR$18)</f>
        <v>0</v>
      </c>
      <c r="AB16" s="189">
        <f>SUMIF('Monthly CF'!$C$4:$DR$4,AB$3,'Monthly CF'!$C$18:$DR$18)</f>
        <v>0</v>
      </c>
      <c r="AC16" s="189">
        <f>SUMIF('Monthly CF'!$C$4:$DR$4,AC$3,'Monthly CF'!$C$18:$DR$18)</f>
        <v>0</v>
      </c>
      <c r="AD16" s="189">
        <f>SUMIF('Monthly CF'!$C$4:$DR$4,AD$3,'Monthly CF'!$C$18:$DR$18)</f>
        <v>0</v>
      </c>
      <c r="AE16" s="189">
        <f>SUMIF('Monthly CF'!$C$4:$DR$4,AE$3,'Monthly CF'!$C$18:$DR$18)</f>
        <v>0</v>
      </c>
      <c r="AF16" s="189">
        <f>SUMIF('Monthly CF'!$C$4:$DR$4,AF$3,'Monthly CF'!$C$18:$DR$18)</f>
        <v>0</v>
      </c>
      <c r="AG16" s="189">
        <f>SUMIF('Monthly CF'!$C$4:$DR$4,AG$3,'Monthly CF'!$C$18:$DR$18)</f>
        <v>0</v>
      </c>
      <c r="AH16" s="189">
        <f>SUMIF('Monthly CF'!$C$4:$DR$4,AH$3,'Monthly CF'!$C$18:$DR$18)</f>
        <v>0</v>
      </c>
      <c r="AI16" s="189">
        <f>SUMIF('Monthly CF'!$C$4:$DR$4,AI$3,'Monthly CF'!$C$18:$DR$18)</f>
        <v>0</v>
      </c>
      <c r="AJ16" s="189">
        <f>SUMIF('Monthly CF'!$C$4:$DR$4,AJ$3,'Monthly CF'!$C$18:$DR$18)</f>
        <v>0</v>
      </c>
      <c r="AK16" s="189">
        <f>SUMIF('Monthly CF'!$C$4:$DR$4,AK$3,'Monthly CF'!$C$18:$DR$18)</f>
        <v>0</v>
      </c>
      <c r="AL16" s="189">
        <f>SUMIF('Monthly CF'!$C$4:$DR$4,AL$3,'Monthly CF'!$C$18:$DR$18)</f>
        <v>0</v>
      </c>
      <c r="AM16" s="189">
        <f>SUMIF('Monthly CF'!$C$4:$DR$4,AM$3,'Monthly CF'!$C$18:$DR$18)</f>
        <v>0</v>
      </c>
      <c r="AN16" s="189">
        <f>SUMIF('Monthly CF'!$C$4:$DR$4,AN$3,'Monthly CF'!$C$18:$DR$18)</f>
        <v>0</v>
      </c>
      <c r="AO16" s="189">
        <f>SUMIF('Monthly CF'!$C$4:$DR$4,AO$3,'Monthly CF'!$C$18:$DR$18)</f>
        <v>0</v>
      </c>
      <c r="AP16" s="189">
        <f>SUMIF('Monthly CF'!$C$4:$DR$4,AP$3,'Monthly CF'!$C$18:$DR$18)</f>
        <v>0</v>
      </c>
      <c r="AQ16" s="44">
        <f>SUMIF('Monthly CF'!$C$4:$DR$4,AQ$3,'Monthly CF'!$C$18:$DR$18)</f>
        <v>0</v>
      </c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</row>
    <row r="18" ht="15.75" customHeight="1">
      <c r="A18" s="44"/>
      <c r="B18" s="190" t="s">
        <v>325</v>
      </c>
      <c r="C18" s="191">
        <f>SUMIF('Monthly CF'!$C$4:$DR$4,C$3,'Monthly CF'!$C$20:$DR$20)</f>
        <v>0</v>
      </c>
      <c r="D18" s="191">
        <f>SUMIF('Monthly CF'!$C$4:$DR$4,D$3,'Monthly CF'!$C$20:$DR$20)</f>
        <v>0</v>
      </c>
      <c r="E18" s="191">
        <f>SUMIF('Monthly CF'!$C$4:$DR$4,E$3,'Monthly CF'!$C$20:$DR$20)</f>
        <v>0</v>
      </c>
      <c r="F18" s="191">
        <f>SUMIF('Monthly CF'!$C$4:$DR$4,F$3,'Monthly CF'!$C$20:$DR$20)</f>
        <v>0</v>
      </c>
      <c r="G18" s="191">
        <f>SUMIF('Monthly CF'!$C$4:$DR$4,G$3,'Monthly CF'!$C$20:$DR$20)</f>
        <v>0</v>
      </c>
      <c r="H18" s="191">
        <f>SUMIF('Monthly CF'!$C$4:$DR$4,H$3,'Monthly CF'!$C$20:$DR$20)</f>
        <v>0</v>
      </c>
      <c r="I18" s="191">
        <f>SUMIF('Monthly CF'!$C$4:$DR$4,I$3,'Monthly CF'!$C$20:$DR$20)</f>
        <v>0</v>
      </c>
      <c r="J18" s="191">
        <f>SUMIF('Monthly CF'!$C$4:$DR$4,J$3,'Monthly CF'!$C$20:$DR$20)</f>
        <v>0</v>
      </c>
      <c r="K18" s="191">
        <f>SUMIF('Monthly CF'!$C$4:$DR$4,K$3,'Monthly CF'!$C$20:$DR$20)</f>
        <v>0</v>
      </c>
      <c r="L18" s="191">
        <f>SUMIF('Monthly CF'!$C$4:$DR$4,L$3,'Monthly CF'!$C$20:$DR$20)</f>
        <v>0</v>
      </c>
      <c r="M18" s="191">
        <f>SUMIF('Monthly CF'!$C$4:$DR$4,M$3,'Monthly CF'!$C$20:$DR$20)</f>
        <v>0</v>
      </c>
      <c r="N18" s="191">
        <f>SUMIF('Monthly CF'!$C$4:$DR$4,N$3,'Monthly CF'!$C$20:$DR$20)</f>
        <v>0</v>
      </c>
      <c r="O18" s="191">
        <f>SUMIF('Monthly CF'!$C$4:$DR$4,O$3,'Monthly CF'!$C$20:$DR$20)</f>
        <v>0</v>
      </c>
      <c r="P18" s="191">
        <f>SUMIF('Monthly CF'!$C$4:$DR$4,P$3,'Monthly CF'!$C$20:$DR$20)</f>
        <v>0</v>
      </c>
      <c r="Q18" s="191">
        <f>SUMIF('Monthly CF'!$C$4:$DR$4,Q$3,'Monthly CF'!$C$20:$DR$20)</f>
        <v>0</v>
      </c>
      <c r="R18" s="191">
        <f>SUMIF('Monthly CF'!$C$4:$DR$4,R$3,'Monthly CF'!$C$20:$DR$20)</f>
        <v>0</v>
      </c>
      <c r="S18" s="191">
        <f>SUMIF('Monthly CF'!$C$4:$DR$4,S$3,'Monthly CF'!$C$20:$DR$20)</f>
        <v>0</v>
      </c>
      <c r="T18" s="191">
        <f>SUMIF('Monthly CF'!$C$4:$DR$4,T$3,'Monthly CF'!$C$20:$DR$20)</f>
        <v>0</v>
      </c>
      <c r="U18" s="191">
        <f>SUMIF('Monthly CF'!$C$4:$DR$4,U$3,'Monthly CF'!$C$20:$DR$20)</f>
        <v>0</v>
      </c>
      <c r="V18" s="191">
        <f>SUMIF('Monthly CF'!$C$4:$DR$4,V$3,'Monthly CF'!$C$20:$DR$20)</f>
        <v>0</v>
      </c>
      <c r="W18" s="191">
        <f>SUMIF('Monthly CF'!$C$4:$DR$4,W$3,'Monthly CF'!$C$20:$DR$20)</f>
        <v>0</v>
      </c>
      <c r="X18" s="191">
        <f>SUMIF('Monthly CF'!$C$4:$DR$4,X$3,'Monthly CF'!$C$20:$DR$20)</f>
        <v>0</v>
      </c>
      <c r="Y18" s="191">
        <f>SUMIF('Monthly CF'!$C$4:$DR$4,Y$3,'Monthly CF'!$C$20:$DR$20)</f>
        <v>0</v>
      </c>
      <c r="Z18" s="191">
        <f>SUMIF('Monthly CF'!$C$4:$DR$4,Z$3,'Monthly CF'!$C$20:$DR$20)</f>
        <v>0</v>
      </c>
      <c r="AA18" s="191">
        <f>SUMIF('Monthly CF'!$C$4:$DR$4,AA$3,'Monthly CF'!$C$20:$DR$20)</f>
        <v>0</v>
      </c>
      <c r="AB18" s="191">
        <f>SUMIF('Monthly CF'!$C$4:$DR$4,AB$3,'Monthly CF'!$C$20:$DR$20)</f>
        <v>0</v>
      </c>
      <c r="AC18" s="191">
        <f>SUMIF('Monthly CF'!$C$4:$DR$4,AC$3,'Monthly CF'!$C$20:$DR$20)</f>
        <v>0</v>
      </c>
      <c r="AD18" s="191">
        <f>SUMIF('Monthly CF'!$C$4:$DR$4,AD$3,'Monthly CF'!$C$20:$DR$20)</f>
        <v>0</v>
      </c>
      <c r="AE18" s="191">
        <f>SUMIF('Monthly CF'!$C$4:$DR$4,AE$3,'Monthly CF'!$C$20:$DR$20)</f>
        <v>0</v>
      </c>
      <c r="AF18" s="191">
        <f>SUMIF('Monthly CF'!$C$4:$DR$4,AF$3,'Monthly CF'!$C$20:$DR$20)</f>
        <v>0</v>
      </c>
      <c r="AG18" s="191">
        <f>SUMIF('Monthly CF'!$C$4:$DR$4,AG$3,'Monthly CF'!$C$20:$DR$20)</f>
        <v>0</v>
      </c>
      <c r="AH18" s="191">
        <f>SUMIF('Monthly CF'!$C$4:$DR$4,AH$3,'Monthly CF'!$C$20:$DR$20)</f>
        <v>0</v>
      </c>
      <c r="AI18" s="191">
        <f>SUMIF('Monthly CF'!$C$4:$DR$4,AI$3,'Monthly CF'!$C$20:$DR$20)</f>
        <v>0</v>
      </c>
      <c r="AJ18" s="191">
        <f>SUMIF('Monthly CF'!$C$4:$DR$4,AJ$3,'Monthly CF'!$C$20:$DR$20)</f>
        <v>0</v>
      </c>
      <c r="AK18" s="191">
        <f>SUMIF('Monthly CF'!$C$4:$DR$4,AK$3,'Monthly CF'!$C$20:$DR$20)</f>
        <v>0</v>
      </c>
      <c r="AL18" s="191">
        <f>SUMIF('Monthly CF'!$C$4:$DR$4,AL$3,'Monthly CF'!$C$20:$DR$20)</f>
        <v>0</v>
      </c>
      <c r="AM18" s="191">
        <f>SUMIF('Monthly CF'!$C$4:$DR$4,AM$3,'Monthly CF'!$C$20:$DR$20)</f>
        <v>0</v>
      </c>
      <c r="AN18" s="191">
        <f>SUMIF('Monthly CF'!$C$4:$DR$4,AN$3,'Monthly CF'!$C$20:$DR$20)</f>
        <v>0</v>
      </c>
      <c r="AO18" s="191">
        <f>SUMIF('Monthly CF'!$C$4:$DR$4,AO$3,'Monthly CF'!$C$20:$DR$20)</f>
        <v>0</v>
      </c>
      <c r="AP18" s="191">
        <f>SUMIF('Monthly CF'!$C$4:$DR$4,AP$3,'Monthly CF'!$C$20:$DR$20)</f>
        <v>0</v>
      </c>
      <c r="AQ18" s="44">
        <f>SUMIF('Monthly CF'!$C$4:$DR$4,AQ$3,'Monthly CF'!$C$20:$DR$20)</f>
        <v>0</v>
      </c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</row>
    <row r="20" ht="15.75" customHeight="1">
      <c r="A20" s="44"/>
      <c r="B20" s="184" t="s">
        <v>369</v>
      </c>
      <c r="C20" s="192">
        <f>SUMIF('Monthly CF'!$C$4:$DR$4,C$3,'Monthly CF'!$C$23:$DR$23)</f>
        <v>0</v>
      </c>
      <c r="D20" s="192">
        <f>SUMIF('Monthly CF'!$C$4:$DR$4,D$3,'Monthly CF'!$C$23:$DR$23)</f>
        <v>0</v>
      </c>
      <c r="E20" s="192">
        <f>SUMIF('Monthly CF'!$C$4:$DR$4,E$3,'Monthly CF'!$C$23:$DR$23)</f>
        <v>0</v>
      </c>
      <c r="F20" s="192">
        <f>SUMIF('Monthly CF'!$C$4:$DR$4,F$3,'Monthly CF'!$C$23:$DR$23)</f>
        <v>0</v>
      </c>
      <c r="G20" s="192">
        <f>SUMIF('Monthly CF'!$C$4:$DR$4,G$3,'Monthly CF'!$C$23:$DR$23)</f>
        <v>0</v>
      </c>
      <c r="H20" s="192">
        <f>SUMIF('Monthly CF'!$C$4:$DR$4,H$3,'Monthly CF'!$C$23:$DR$23)</f>
        <v>0</v>
      </c>
      <c r="I20" s="192">
        <f>SUMIF('Monthly CF'!$C$4:$DR$4,I$3,'Monthly CF'!$C$23:$DR$23)</f>
        <v>0</v>
      </c>
      <c r="J20" s="192">
        <f>SUMIF('Monthly CF'!$C$4:$DR$4,J$3,'Monthly CF'!$C$23:$DR$23)</f>
        <v>0</v>
      </c>
      <c r="K20" s="192">
        <f>SUMIF('Monthly CF'!$C$4:$DR$4,K$3,'Monthly CF'!$C$23:$DR$23)</f>
        <v>0</v>
      </c>
      <c r="L20" s="192">
        <f>SUMIF('Monthly CF'!$C$4:$DR$4,L$3,'Monthly CF'!$C$23:$DR$23)</f>
        <v>0</v>
      </c>
      <c r="M20" s="192">
        <f>SUMIF('Monthly CF'!$C$4:$DR$4,M$3,'Monthly CF'!$C$23:$DR$23)</f>
        <v>0</v>
      </c>
      <c r="N20" s="192">
        <f>SUMIF('Monthly CF'!$C$4:$DR$4,N$3,'Monthly CF'!$C$23:$DR$23)</f>
        <v>0</v>
      </c>
      <c r="O20" s="192">
        <f>SUMIF('Monthly CF'!$C$4:$DR$4,O$3,'Monthly CF'!$C$23:$DR$23)</f>
        <v>0</v>
      </c>
      <c r="P20" s="192">
        <f>SUMIF('Monthly CF'!$C$4:$DR$4,P$3,'Monthly CF'!$C$23:$DR$23)</f>
        <v>0</v>
      </c>
      <c r="Q20" s="192">
        <f>SUMIF('Monthly CF'!$C$4:$DR$4,Q$3,'Monthly CF'!$C$23:$DR$23)</f>
        <v>0</v>
      </c>
      <c r="R20" s="192">
        <f>SUMIF('Monthly CF'!$C$4:$DR$4,R$3,'Monthly CF'!$C$23:$DR$23)</f>
        <v>0</v>
      </c>
      <c r="S20" s="192">
        <f>SUMIF('Monthly CF'!$C$4:$DR$4,S$3,'Monthly CF'!$C$23:$DR$23)</f>
        <v>0</v>
      </c>
      <c r="T20" s="192">
        <f>SUMIF('Monthly CF'!$C$4:$DR$4,T$3,'Monthly CF'!$C$23:$DR$23)</f>
        <v>0</v>
      </c>
      <c r="U20" s="192">
        <f>SUMIF('Monthly CF'!$C$4:$DR$4,U$3,'Monthly CF'!$C$23:$DR$23)</f>
        <v>0</v>
      </c>
      <c r="V20" s="192">
        <f>SUMIF('Monthly CF'!$C$4:$DR$4,V$3,'Monthly CF'!$C$23:$DR$23)</f>
        <v>0</v>
      </c>
      <c r="W20" s="192">
        <f>SUMIF('Monthly CF'!$C$4:$DR$4,W$3,'Monthly CF'!$C$23:$DR$23)</f>
        <v>0</v>
      </c>
      <c r="X20" s="192">
        <f>SUMIF('Monthly CF'!$C$4:$DR$4,X$3,'Monthly CF'!$C$23:$DR$23)</f>
        <v>0</v>
      </c>
      <c r="Y20" s="192">
        <f>SUMIF('Monthly CF'!$C$4:$DR$4,Y$3,'Monthly CF'!$C$23:$DR$23)</f>
        <v>0</v>
      </c>
      <c r="Z20" s="192">
        <f>SUMIF('Monthly CF'!$C$4:$DR$4,Z$3,'Monthly CF'!$C$23:$DR$23)</f>
        <v>0</v>
      </c>
      <c r="AA20" s="192">
        <f>SUMIF('Monthly CF'!$C$4:$DR$4,AA$3,'Monthly CF'!$C$23:$DR$23)</f>
        <v>0</v>
      </c>
      <c r="AB20" s="192">
        <f>SUMIF('Monthly CF'!$C$4:$DR$4,AB$3,'Monthly CF'!$C$23:$DR$23)</f>
        <v>0</v>
      </c>
      <c r="AC20" s="192">
        <f>SUMIF('Monthly CF'!$C$4:$DR$4,AC$3,'Monthly CF'!$C$23:$DR$23)</f>
        <v>0</v>
      </c>
      <c r="AD20" s="192">
        <f>SUMIF('Monthly CF'!$C$4:$DR$4,AD$3,'Monthly CF'!$C$23:$DR$23)</f>
        <v>0</v>
      </c>
      <c r="AE20" s="192">
        <f>SUMIF('Monthly CF'!$C$4:$DR$4,AE$3,'Monthly CF'!$C$23:$DR$23)</f>
        <v>0</v>
      </c>
      <c r="AF20" s="192">
        <f>SUMIF('Monthly CF'!$C$4:$DR$4,AF$3,'Monthly CF'!$C$23:$DR$23)</f>
        <v>0</v>
      </c>
      <c r="AG20" s="192">
        <f>SUMIF('Monthly CF'!$C$4:$DR$4,AG$3,'Monthly CF'!$C$23:$DR$23)</f>
        <v>0</v>
      </c>
      <c r="AH20" s="192">
        <f>SUMIF('Monthly CF'!$C$4:$DR$4,AH$3,'Monthly CF'!$C$23:$DR$23)</f>
        <v>0</v>
      </c>
      <c r="AI20" s="192">
        <f>SUMIF('Monthly CF'!$C$4:$DR$4,AI$3,'Monthly CF'!$C$23:$DR$23)</f>
        <v>0</v>
      </c>
      <c r="AJ20" s="192">
        <f>SUMIF('Monthly CF'!$C$4:$DR$4,AJ$3,'Monthly CF'!$C$23:$DR$23)</f>
        <v>0</v>
      </c>
      <c r="AK20" s="192">
        <f>SUMIF('Monthly CF'!$C$4:$DR$4,AK$3,'Monthly CF'!$C$23:$DR$23)</f>
        <v>0</v>
      </c>
      <c r="AL20" s="192">
        <f>SUMIF('Monthly CF'!$C$4:$DR$4,AL$3,'Monthly CF'!$C$23:$DR$23)</f>
        <v>0</v>
      </c>
      <c r="AM20" s="192">
        <f>SUMIF('Monthly CF'!$C$4:$DR$4,AM$3,'Monthly CF'!$C$23:$DR$23)</f>
        <v>0</v>
      </c>
      <c r="AN20" s="192">
        <f>SUMIF('Monthly CF'!$C$4:$DR$4,AN$3,'Monthly CF'!$C$23:$DR$23)</f>
        <v>0</v>
      </c>
      <c r="AO20" s="192">
        <f>SUMIF('Monthly CF'!$C$4:$DR$4,AO$3,'Monthly CF'!$C$23:$DR$23)</f>
        <v>0</v>
      </c>
      <c r="AP20" s="192">
        <f>SUMIF('Monthly CF'!$C$4:$DR$4,AP$3,'Monthly CF'!$C$23:$DR$23)</f>
        <v>0</v>
      </c>
      <c r="AQ20" s="44">
        <f>SUMIF('Monthly CF'!$C$4:$DR$4,AQ$3,'Monthly CF'!$C$23:$DR$23)</f>
        <v>0</v>
      </c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</row>
    <row r="22" ht="15.75" customHeight="1">
      <c r="A22" s="44"/>
      <c r="B22" s="184" t="s">
        <v>370</v>
      </c>
      <c r="C22" s="192">
        <f>SUMIF('Monthly CF'!$C$4:$DR$4,C$3,'Monthly CF'!$C$32:$DR$32)</f>
        <v>-5000</v>
      </c>
      <c r="D22" s="192">
        <f>SUMIF('Monthly CF'!$C$4:$DR$4,D$3,'Monthly CF'!$C$32:$DR$32)</f>
        <v>0</v>
      </c>
      <c r="E22" s="192">
        <f>SUMIF('Monthly CF'!$C$4:$DR$4,E$3,'Monthly CF'!$C$32:$DR$32)</f>
        <v>0</v>
      </c>
      <c r="F22" s="192">
        <f>SUMIF('Monthly CF'!$C$4:$DR$4,F$3,'Monthly CF'!$C$32:$DR$32)</f>
        <v>0</v>
      </c>
      <c r="G22" s="192">
        <f>SUMIF('Monthly CF'!$C$4:$DR$4,G$3,'Monthly CF'!$C$32:$DR$32)</f>
        <v>0</v>
      </c>
      <c r="H22" s="192">
        <f>SUMIF('Monthly CF'!$C$4:$DR$4,H$3,'Monthly CF'!$C$32:$DR$32)</f>
        <v>0</v>
      </c>
      <c r="I22" s="192">
        <f>SUMIF('Monthly CF'!$C$4:$DR$4,I$3,'Monthly CF'!$C$32:$DR$32)</f>
        <v>0</v>
      </c>
      <c r="J22" s="192">
        <f>SUMIF('Monthly CF'!$C$4:$DR$4,J$3,'Monthly CF'!$C$32:$DR$32)</f>
        <v>0</v>
      </c>
      <c r="K22" s="192">
        <f>SUMIF('Monthly CF'!$C$4:$DR$4,K$3,'Monthly CF'!$C$32:$DR$32)</f>
        <v>0</v>
      </c>
      <c r="L22" s="192">
        <f>SUMIF('Monthly CF'!$C$4:$DR$4,L$3,'Monthly CF'!$C$32:$DR$32)</f>
        <v>0</v>
      </c>
      <c r="M22" s="192">
        <f>SUMIF('Monthly CF'!$C$4:$DR$4,M$3,'Monthly CF'!$C$32:$DR$32)</f>
        <v>0</v>
      </c>
      <c r="N22" s="192">
        <f>SUMIF('Monthly CF'!$C$4:$DR$4,N$3,'Monthly CF'!$C$32:$DR$32)</f>
        <v>0</v>
      </c>
      <c r="O22" s="192">
        <f>SUMIF('Monthly CF'!$C$4:$DR$4,O$3,'Monthly CF'!$C$32:$DR$32)</f>
        <v>0</v>
      </c>
      <c r="P22" s="192">
        <f>SUMIF('Monthly CF'!$C$4:$DR$4,P$3,'Monthly CF'!$C$32:$DR$32)</f>
        <v>0</v>
      </c>
      <c r="Q22" s="192">
        <f>SUMIF('Monthly CF'!$C$4:$DR$4,Q$3,'Monthly CF'!$C$32:$DR$32)</f>
        <v>0</v>
      </c>
      <c r="R22" s="192">
        <f>SUMIF('Monthly CF'!$C$4:$DR$4,R$3,'Monthly CF'!$C$32:$DR$32)</f>
        <v>0</v>
      </c>
      <c r="S22" s="192">
        <f>SUMIF('Monthly CF'!$C$4:$DR$4,S$3,'Monthly CF'!$C$32:$DR$32)</f>
        <v>0</v>
      </c>
      <c r="T22" s="192">
        <f>SUMIF('Monthly CF'!$C$4:$DR$4,T$3,'Monthly CF'!$C$32:$DR$32)</f>
        <v>0</v>
      </c>
      <c r="U22" s="192">
        <f>SUMIF('Monthly CF'!$C$4:$DR$4,U$3,'Monthly CF'!$C$32:$DR$32)</f>
        <v>0</v>
      </c>
      <c r="V22" s="192">
        <f>SUMIF('Monthly CF'!$C$4:$DR$4,V$3,'Monthly CF'!$C$32:$DR$32)</f>
        <v>0</v>
      </c>
      <c r="W22" s="192">
        <f>SUMIF('Monthly CF'!$C$4:$DR$4,W$3,'Monthly CF'!$C$32:$DR$32)</f>
        <v>0</v>
      </c>
      <c r="X22" s="192">
        <f>SUMIF('Monthly CF'!$C$4:$DR$4,X$3,'Monthly CF'!$C$32:$DR$32)</f>
        <v>0</v>
      </c>
      <c r="Y22" s="192">
        <f>SUMIF('Monthly CF'!$C$4:$DR$4,Y$3,'Monthly CF'!$C$32:$DR$32)</f>
        <v>0</v>
      </c>
      <c r="Z22" s="192">
        <f>SUMIF('Monthly CF'!$C$4:$DR$4,Z$3,'Monthly CF'!$C$32:$DR$32)</f>
        <v>0</v>
      </c>
      <c r="AA22" s="192">
        <f>SUMIF('Monthly CF'!$C$4:$DR$4,AA$3,'Monthly CF'!$C$32:$DR$32)</f>
        <v>0</v>
      </c>
      <c r="AB22" s="192">
        <f>SUMIF('Monthly CF'!$C$4:$DR$4,AB$3,'Monthly CF'!$C$32:$DR$32)</f>
        <v>0</v>
      </c>
      <c r="AC22" s="192">
        <f>SUMIF('Monthly CF'!$C$4:$DR$4,AC$3,'Monthly CF'!$C$32:$DR$32)</f>
        <v>0</v>
      </c>
      <c r="AD22" s="192">
        <f>SUMIF('Monthly CF'!$C$4:$DR$4,AD$3,'Monthly CF'!$C$32:$DR$32)</f>
        <v>0</v>
      </c>
      <c r="AE22" s="192">
        <f>SUMIF('Monthly CF'!$C$4:$DR$4,AE$3,'Monthly CF'!$C$32:$DR$32)</f>
        <v>0</v>
      </c>
      <c r="AF22" s="192">
        <f>SUMIF('Monthly CF'!$C$4:$DR$4,AF$3,'Monthly CF'!$C$32:$DR$32)</f>
        <v>0</v>
      </c>
      <c r="AG22" s="192">
        <f>SUMIF('Monthly CF'!$C$4:$DR$4,AG$3,'Monthly CF'!$C$32:$DR$32)</f>
        <v>0</v>
      </c>
      <c r="AH22" s="192">
        <f>SUMIF('Monthly CF'!$C$4:$DR$4,AH$3,'Monthly CF'!$C$32:$DR$32)</f>
        <v>0</v>
      </c>
      <c r="AI22" s="192">
        <f>SUMIF('Monthly CF'!$C$4:$DR$4,AI$3,'Monthly CF'!$C$32:$DR$32)</f>
        <v>0</v>
      </c>
      <c r="AJ22" s="192">
        <f>SUMIF('Monthly CF'!$C$4:$DR$4,AJ$3,'Monthly CF'!$C$32:$DR$32)</f>
        <v>0</v>
      </c>
      <c r="AK22" s="192">
        <f>SUMIF('Monthly CF'!$C$4:$DR$4,AK$3,'Monthly CF'!$C$32:$DR$32)</f>
        <v>0</v>
      </c>
      <c r="AL22" s="192">
        <f>SUMIF('Monthly CF'!$C$4:$DR$4,AL$3,'Monthly CF'!$C$32:$DR$32)</f>
        <v>0</v>
      </c>
      <c r="AM22" s="192">
        <f>SUMIF('Monthly CF'!$C$4:$DR$4,AM$3,'Monthly CF'!$C$32:$DR$32)</f>
        <v>0</v>
      </c>
      <c r="AN22" s="192">
        <f>SUMIF('Monthly CF'!$C$4:$DR$4,AN$3,'Monthly CF'!$C$32:$DR$32)</f>
        <v>0</v>
      </c>
      <c r="AO22" s="192">
        <f>SUMIF('Monthly CF'!$C$4:$DR$4,AO$3,'Monthly CF'!$C$32:$DR$32)</f>
        <v>0</v>
      </c>
      <c r="AP22" s="192">
        <f>SUMIF('Monthly CF'!$C$4:$DR$4,AP$3,'Monthly CF'!$C$32:$DR$32)</f>
        <v>0</v>
      </c>
      <c r="AQ22" s="44">
        <f>SUMIF('Monthly CF'!$C$4:$DR$4,AQ$3,'Monthly CF'!$C$32:$DR$32)</f>
        <v>0</v>
      </c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</row>
    <row r="24" ht="15.75" customHeight="1">
      <c r="A24" s="44"/>
      <c r="B24" s="182" t="s">
        <v>333</v>
      </c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44"/>
    </row>
    <row r="25" ht="15.75" customHeight="1">
      <c r="A25" s="44"/>
      <c r="B25" s="184" t="s">
        <v>334</v>
      </c>
      <c r="C25" s="185">
        <f>SUMIF('Monthly CF'!$C$4:$DR$4,C$3,'Monthly CF'!$C$35:$DR$35)</f>
        <v>0</v>
      </c>
      <c r="D25" s="185">
        <f>SUMIF('Monthly CF'!$C$4:$DR$4,D$3,'Monthly CF'!$C$35:$DR$35)</f>
        <v>0</v>
      </c>
      <c r="E25" s="185">
        <f>SUMIF('Monthly CF'!$C$4:$DR$4,E$3,'Monthly CF'!$C$35:$DR$35)</f>
        <v>0</v>
      </c>
      <c r="F25" s="185">
        <f>SUMIF('Monthly CF'!$C$4:$DR$4,F$3,'Monthly CF'!$C$35:$DR$35)</f>
        <v>0</v>
      </c>
      <c r="G25" s="185">
        <f>SUMIF('Monthly CF'!$C$4:$DR$4,G$3,'Monthly CF'!$C$35:$DR$35)</f>
        <v>0</v>
      </c>
      <c r="H25" s="185">
        <f>SUMIF('Monthly CF'!$C$4:$DR$4,H$3,'Monthly CF'!$C$35:$DR$35)</f>
        <v>0</v>
      </c>
      <c r="I25" s="185">
        <f>SUMIF('Monthly CF'!$C$4:$DR$4,I$3,'Monthly CF'!$C$35:$DR$35)</f>
        <v>0</v>
      </c>
      <c r="J25" s="185">
        <f>SUMIF('Monthly CF'!$C$4:$DR$4,J$3,'Monthly CF'!$C$35:$DR$35)</f>
        <v>0</v>
      </c>
      <c r="K25" s="185">
        <f>SUMIF('Monthly CF'!$C$4:$DR$4,K$3,'Monthly CF'!$C$35:$DR$35)</f>
        <v>0</v>
      </c>
      <c r="L25" s="185">
        <f>SUMIF('Monthly CF'!$C$4:$DR$4,L$3,'Monthly CF'!$C$35:$DR$35)</f>
        <v>0</v>
      </c>
      <c r="M25" s="185">
        <f>SUMIF('Monthly CF'!$C$4:$DR$4,M$3,'Monthly CF'!$C$35:$DR$35)</f>
        <v>0</v>
      </c>
      <c r="N25" s="185">
        <f>SUMIF('Monthly CF'!$C$4:$DR$4,N$3,'Monthly CF'!$C$35:$DR$35)</f>
        <v>0</v>
      </c>
      <c r="O25" s="185">
        <f>SUMIF('Monthly CF'!$C$4:$DR$4,O$3,'Monthly CF'!$C$35:$DR$35)</f>
        <v>0</v>
      </c>
      <c r="P25" s="185">
        <f>SUMIF('Monthly CF'!$C$4:$DR$4,P$3,'Monthly CF'!$C$35:$DR$35)</f>
        <v>0</v>
      </c>
      <c r="Q25" s="185">
        <f>SUMIF('Monthly CF'!$C$4:$DR$4,Q$3,'Monthly CF'!$C$35:$DR$35)</f>
        <v>0</v>
      </c>
      <c r="R25" s="185">
        <f>SUMIF('Monthly CF'!$C$4:$DR$4,R$3,'Monthly CF'!$C$35:$DR$35)</f>
        <v>0</v>
      </c>
      <c r="S25" s="185">
        <f>SUMIF('Monthly CF'!$C$4:$DR$4,S$3,'Monthly CF'!$C$35:$DR$35)</f>
        <v>0</v>
      </c>
      <c r="T25" s="185">
        <f>SUMIF('Monthly CF'!$C$4:$DR$4,T$3,'Monthly CF'!$C$35:$DR$35)</f>
        <v>0</v>
      </c>
      <c r="U25" s="185">
        <f>SUMIF('Monthly CF'!$C$4:$DR$4,U$3,'Monthly CF'!$C$35:$DR$35)</f>
        <v>0</v>
      </c>
      <c r="V25" s="185">
        <f>SUMIF('Monthly CF'!$C$4:$DR$4,V$3,'Monthly CF'!$C$35:$DR$35)</f>
        <v>0</v>
      </c>
      <c r="W25" s="185">
        <f>SUMIF('Monthly CF'!$C$4:$DR$4,W$3,'Monthly CF'!$C$35:$DR$35)</f>
        <v>0</v>
      </c>
      <c r="X25" s="185">
        <f>SUMIF('Monthly CF'!$C$4:$DR$4,X$3,'Monthly CF'!$C$35:$DR$35)</f>
        <v>0</v>
      </c>
      <c r="Y25" s="185">
        <f>SUMIF('Monthly CF'!$C$4:$DR$4,Y$3,'Monthly CF'!$C$35:$DR$35)</f>
        <v>0</v>
      </c>
      <c r="Z25" s="185">
        <f>SUMIF('Monthly CF'!$C$4:$DR$4,Z$3,'Monthly CF'!$C$35:$DR$35)</f>
        <v>0</v>
      </c>
      <c r="AA25" s="185">
        <f>SUMIF('Monthly CF'!$C$4:$DR$4,AA$3,'Monthly CF'!$C$35:$DR$35)</f>
        <v>0</v>
      </c>
      <c r="AB25" s="185">
        <f>SUMIF('Monthly CF'!$C$4:$DR$4,AB$3,'Monthly CF'!$C$35:$DR$35)</f>
        <v>0</v>
      </c>
      <c r="AC25" s="185">
        <f>SUMIF('Monthly CF'!$C$4:$DR$4,AC$3,'Monthly CF'!$C$35:$DR$35)</f>
        <v>0</v>
      </c>
      <c r="AD25" s="185">
        <f>SUMIF('Monthly CF'!$C$4:$DR$4,AD$3,'Monthly CF'!$C$35:$DR$35)</f>
        <v>0</v>
      </c>
      <c r="AE25" s="185">
        <f>SUMIF('Monthly CF'!$C$4:$DR$4,AE$3,'Monthly CF'!$C$35:$DR$35)</f>
        <v>0</v>
      </c>
      <c r="AF25" s="185">
        <f>SUMIF('Monthly CF'!$C$4:$DR$4,AF$3,'Monthly CF'!$C$35:$DR$35)</f>
        <v>0</v>
      </c>
      <c r="AG25" s="185">
        <f>SUMIF('Monthly CF'!$C$4:$DR$4,AG$3,'Monthly CF'!$C$35:$DR$35)</f>
        <v>0</v>
      </c>
      <c r="AH25" s="185">
        <f>SUMIF('Monthly CF'!$C$4:$DR$4,AH$3,'Monthly CF'!$C$35:$DR$35)</f>
        <v>0</v>
      </c>
      <c r="AI25" s="185">
        <f>SUMIF('Monthly CF'!$C$4:$DR$4,AI$3,'Monthly CF'!$C$35:$DR$35)</f>
        <v>0</v>
      </c>
      <c r="AJ25" s="185">
        <f>SUMIF('Monthly CF'!$C$4:$DR$4,AJ$3,'Monthly CF'!$C$35:$DR$35)</f>
        <v>0</v>
      </c>
      <c r="AK25" s="185">
        <f>SUMIF('Monthly CF'!$C$4:$DR$4,AK$3,'Monthly CF'!$C$35:$DR$35)</f>
        <v>0</v>
      </c>
      <c r="AL25" s="185">
        <f>SUMIF('Monthly CF'!$C$4:$DR$4,AL$3,'Monthly CF'!$C$35:$DR$35)</f>
        <v>0</v>
      </c>
      <c r="AM25" s="185">
        <f>SUMIF('Monthly CF'!$C$4:$DR$4,AM$3,'Monthly CF'!$C$35:$DR$35)</f>
        <v>0</v>
      </c>
      <c r="AN25" s="185">
        <f>SUMIF('Monthly CF'!$C$4:$DR$4,AN$3,'Monthly CF'!$C$35:$DR$35)</f>
        <v>0</v>
      </c>
      <c r="AO25" s="185">
        <f>SUMIF('Monthly CF'!$C$4:$DR$4,AO$3,'Monthly CF'!$C$35:$DR$35)</f>
        <v>0</v>
      </c>
      <c r="AP25" s="185">
        <f>SUMIF('Monthly CF'!$C$4:$DR$4,AP$3,'Monthly CF'!$C$35:$DR$35)</f>
        <v>0</v>
      </c>
      <c r="AQ25" s="44">
        <f>SUMIF('Monthly CF'!$C$4:$DR$4,AQ$3,'Monthly CF'!$C$35:$DR$35)</f>
        <v>0</v>
      </c>
    </row>
    <row r="26" ht="15.75" customHeight="1">
      <c r="A26" s="44"/>
      <c r="B26" s="184" t="s">
        <v>335</v>
      </c>
      <c r="C26" s="185">
        <f>SUMIF('Monthly CF'!$C$4:$DR$4,C$3,'Monthly CF'!$C$36:$DR$36)</f>
        <v>0</v>
      </c>
      <c r="D26" s="185">
        <f>SUMIF('Monthly CF'!$C$4:$DR$4,D$3,'Monthly CF'!$C$36:$DR$36)</f>
        <v>0</v>
      </c>
      <c r="E26" s="185">
        <f>SUMIF('Monthly CF'!$C$4:$DR$4,E$3,'Monthly CF'!$C$36:$DR$36)</f>
        <v>0</v>
      </c>
      <c r="F26" s="185">
        <f>SUMIF('Monthly CF'!$C$4:$DR$4,F$3,'Monthly CF'!$C$36:$DR$36)</f>
        <v>0</v>
      </c>
      <c r="G26" s="185">
        <f>SUMIF('Monthly CF'!$C$4:$DR$4,G$3,'Monthly CF'!$C$36:$DR$36)</f>
        <v>0</v>
      </c>
      <c r="H26" s="185">
        <f>SUMIF('Monthly CF'!$C$4:$DR$4,H$3,'Monthly CF'!$C$36:$DR$36)</f>
        <v>0</v>
      </c>
      <c r="I26" s="185">
        <f>SUMIF('Monthly CF'!$C$4:$DR$4,I$3,'Monthly CF'!$C$36:$DR$36)</f>
        <v>0</v>
      </c>
      <c r="J26" s="185">
        <f>SUMIF('Monthly CF'!$C$4:$DR$4,J$3,'Monthly CF'!$C$36:$DR$36)</f>
        <v>0</v>
      </c>
      <c r="K26" s="185">
        <f>SUMIF('Monthly CF'!$C$4:$DR$4,K$3,'Monthly CF'!$C$36:$DR$36)</f>
        <v>0</v>
      </c>
      <c r="L26" s="185">
        <f>SUMIF('Monthly CF'!$C$4:$DR$4,L$3,'Monthly CF'!$C$36:$DR$36)</f>
        <v>0</v>
      </c>
      <c r="M26" s="185">
        <f>SUMIF('Monthly CF'!$C$4:$DR$4,M$3,'Monthly CF'!$C$36:$DR$36)</f>
        <v>0</v>
      </c>
      <c r="N26" s="185">
        <f>SUMIF('Monthly CF'!$C$4:$DR$4,N$3,'Monthly CF'!$C$36:$DR$36)</f>
        <v>0</v>
      </c>
      <c r="O26" s="185">
        <f>SUMIF('Monthly CF'!$C$4:$DR$4,O$3,'Monthly CF'!$C$36:$DR$36)</f>
        <v>0</v>
      </c>
      <c r="P26" s="185">
        <f>SUMIF('Monthly CF'!$C$4:$DR$4,P$3,'Monthly CF'!$C$36:$DR$36)</f>
        <v>0</v>
      </c>
      <c r="Q26" s="185">
        <f>SUMIF('Monthly CF'!$C$4:$DR$4,Q$3,'Monthly CF'!$C$36:$DR$36)</f>
        <v>0</v>
      </c>
      <c r="R26" s="185">
        <f>SUMIF('Monthly CF'!$C$4:$DR$4,R$3,'Monthly CF'!$C$36:$DR$36)</f>
        <v>0</v>
      </c>
      <c r="S26" s="185">
        <f>SUMIF('Monthly CF'!$C$4:$DR$4,S$3,'Monthly CF'!$C$36:$DR$36)</f>
        <v>0</v>
      </c>
      <c r="T26" s="185">
        <f>SUMIF('Monthly CF'!$C$4:$DR$4,T$3,'Monthly CF'!$C$36:$DR$36)</f>
        <v>0</v>
      </c>
      <c r="U26" s="185">
        <f>SUMIF('Monthly CF'!$C$4:$DR$4,U$3,'Monthly CF'!$C$36:$DR$36)</f>
        <v>0</v>
      </c>
      <c r="V26" s="185">
        <f>SUMIF('Monthly CF'!$C$4:$DR$4,V$3,'Monthly CF'!$C$36:$DR$36)</f>
        <v>0</v>
      </c>
      <c r="W26" s="185">
        <f>SUMIF('Monthly CF'!$C$4:$DR$4,W$3,'Monthly CF'!$C$36:$DR$36)</f>
        <v>0</v>
      </c>
      <c r="X26" s="185">
        <f>SUMIF('Monthly CF'!$C$4:$DR$4,X$3,'Monthly CF'!$C$36:$DR$36)</f>
        <v>0</v>
      </c>
      <c r="Y26" s="185">
        <f>SUMIF('Monthly CF'!$C$4:$DR$4,Y$3,'Monthly CF'!$C$36:$DR$36)</f>
        <v>0</v>
      </c>
      <c r="Z26" s="185">
        <f>SUMIF('Monthly CF'!$C$4:$DR$4,Z$3,'Monthly CF'!$C$36:$DR$36)</f>
        <v>0</v>
      </c>
      <c r="AA26" s="185">
        <f>SUMIF('Monthly CF'!$C$4:$DR$4,AA$3,'Monthly CF'!$C$36:$DR$36)</f>
        <v>0</v>
      </c>
      <c r="AB26" s="185">
        <f>SUMIF('Monthly CF'!$C$4:$DR$4,AB$3,'Monthly CF'!$C$36:$DR$36)</f>
        <v>0</v>
      </c>
      <c r="AC26" s="185">
        <f>SUMIF('Monthly CF'!$C$4:$DR$4,AC$3,'Monthly CF'!$C$36:$DR$36)</f>
        <v>0</v>
      </c>
      <c r="AD26" s="185">
        <f>SUMIF('Monthly CF'!$C$4:$DR$4,AD$3,'Monthly CF'!$C$36:$DR$36)</f>
        <v>0</v>
      </c>
      <c r="AE26" s="185">
        <f>SUMIF('Monthly CF'!$C$4:$DR$4,AE$3,'Monthly CF'!$C$36:$DR$36)</f>
        <v>0</v>
      </c>
      <c r="AF26" s="185">
        <f>SUMIF('Monthly CF'!$C$4:$DR$4,AF$3,'Monthly CF'!$C$36:$DR$36)</f>
        <v>0</v>
      </c>
      <c r="AG26" s="185">
        <f>SUMIF('Monthly CF'!$C$4:$DR$4,AG$3,'Monthly CF'!$C$36:$DR$36)</f>
        <v>0</v>
      </c>
      <c r="AH26" s="185">
        <f>SUMIF('Monthly CF'!$C$4:$DR$4,AH$3,'Monthly CF'!$C$36:$DR$36)</f>
        <v>0</v>
      </c>
      <c r="AI26" s="185">
        <f>SUMIF('Monthly CF'!$C$4:$DR$4,AI$3,'Monthly CF'!$C$36:$DR$36)</f>
        <v>0</v>
      </c>
      <c r="AJ26" s="185">
        <f>SUMIF('Monthly CF'!$C$4:$DR$4,AJ$3,'Monthly CF'!$C$36:$DR$36)</f>
        <v>0</v>
      </c>
      <c r="AK26" s="185">
        <f>SUMIF('Monthly CF'!$C$4:$DR$4,AK$3,'Monthly CF'!$C$36:$DR$36)</f>
        <v>0</v>
      </c>
      <c r="AL26" s="185">
        <f>SUMIF('Monthly CF'!$C$4:$DR$4,AL$3,'Monthly CF'!$C$36:$DR$36)</f>
        <v>0</v>
      </c>
      <c r="AM26" s="185">
        <f>SUMIF('Monthly CF'!$C$4:$DR$4,AM$3,'Monthly CF'!$C$36:$DR$36)</f>
        <v>0</v>
      </c>
      <c r="AN26" s="185">
        <f>SUMIF('Monthly CF'!$C$4:$DR$4,AN$3,'Monthly CF'!$C$36:$DR$36)</f>
        <v>0</v>
      </c>
      <c r="AO26" s="185">
        <f>SUMIF('Monthly CF'!$C$4:$DR$4,AO$3,'Monthly CF'!$C$36:$DR$36)</f>
        <v>0</v>
      </c>
      <c r="AP26" s="185">
        <f>SUMIF('Monthly CF'!$C$4:$DR$4,AP$3,'Monthly CF'!$C$36:$DR$36)</f>
        <v>0</v>
      </c>
      <c r="AQ26" s="44">
        <f>SUMIF('Monthly CF'!$C$4:$DR$4,AQ$3,'Monthly CF'!$C$36:$DR$36)</f>
        <v>0</v>
      </c>
    </row>
    <row r="27" ht="15.75" customHeight="1">
      <c r="A27" s="44"/>
      <c r="B27" s="124" t="s">
        <v>336</v>
      </c>
      <c r="C27" s="189">
        <f>SUMIF('Monthly CF'!$C$4:$DR$4,C$3,'Monthly CF'!$C$37:$DR$37)</f>
        <v>0</v>
      </c>
      <c r="D27" s="189">
        <f>SUMIF('Monthly CF'!$C$4:$DR$4,D$3,'Monthly CF'!$C$37:$DR$37)</f>
        <v>0</v>
      </c>
      <c r="E27" s="189">
        <f>SUMIF('Monthly CF'!$C$4:$DR$4,E$3,'Monthly CF'!$C$37:$DR$37)</f>
        <v>0</v>
      </c>
      <c r="F27" s="189">
        <f>SUMIF('Monthly CF'!$C$4:$DR$4,F$3,'Monthly CF'!$C$37:$DR$37)</f>
        <v>0</v>
      </c>
      <c r="G27" s="189">
        <f>SUMIF('Monthly CF'!$C$4:$DR$4,G$3,'Monthly CF'!$C$37:$DR$37)</f>
        <v>0</v>
      </c>
      <c r="H27" s="189">
        <f>SUMIF('Monthly CF'!$C$4:$DR$4,H$3,'Monthly CF'!$C$37:$DR$37)</f>
        <v>0</v>
      </c>
      <c r="I27" s="189">
        <f>SUMIF('Monthly CF'!$C$4:$DR$4,I$3,'Monthly CF'!$C$37:$DR$37)</f>
        <v>0</v>
      </c>
      <c r="J27" s="189">
        <f>SUMIF('Monthly CF'!$C$4:$DR$4,J$3,'Monthly CF'!$C$37:$DR$37)</f>
        <v>0</v>
      </c>
      <c r="K27" s="189">
        <f>SUMIF('Monthly CF'!$C$4:$DR$4,K$3,'Monthly CF'!$C$37:$DR$37)</f>
        <v>0</v>
      </c>
      <c r="L27" s="189">
        <f>SUMIF('Monthly CF'!$C$4:$DR$4,L$3,'Monthly CF'!$C$37:$DR$37)</f>
        <v>0</v>
      </c>
      <c r="M27" s="189">
        <f>SUMIF('Monthly CF'!$C$4:$DR$4,M$3,'Monthly CF'!$C$37:$DR$37)</f>
        <v>0</v>
      </c>
      <c r="N27" s="189">
        <f>SUMIF('Monthly CF'!$C$4:$DR$4,N$3,'Monthly CF'!$C$37:$DR$37)</f>
        <v>0</v>
      </c>
      <c r="O27" s="189">
        <f>SUMIF('Monthly CF'!$C$4:$DR$4,O$3,'Monthly CF'!$C$37:$DR$37)</f>
        <v>0</v>
      </c>
      <c r="P27" s="189">
        <f>SUMIF('Monthly CF'!$C$4:$DR$4,P$3,'Monthly CF'!$C$37:$DR$37)</f>
        <v>0</v>
      </c>
      <c r="Q27" s="189">
        <f>SUMIF('Monthly CF'!$C$4:$DR$4,Q$3,'Monthly CF'!$C$37:$DR$37)</f>
        <v>0</v>
      </c>
      <c r="R27" s="189">
        <f>SUMIF('Monthly CF'!$C$4:$DR$4,R$3,'Monthly CF'!$C$37:$DR$37)</f>
        <v>0</v>
      </c>
      <c r="S27" s="189">
        <f>SUMIF('Monthly CF'!$C$4:$DR$4,S$3,'Monthly CF'!$C$37:$DR$37)</f>
        <v>0</v>
      </c>
      <c r="T27" s="189">
        <f>SUMIF('Monthly CF'!$C$4:$DR$4,T$3,'Monthly CF'!$C$37:$DR$37)</f>
        <v>0</v>
      </c>
      <c r="U27" s="189">
        <f>SUMIF('Monthly CF'!$C$4:$DR$4,U$3,'Monthly CF'!$C$37:$DR$37)</f>
        <v>0</v>
      </c>
      <c r="V27" s="189">
        <f>SUMIF('Monthly CF'!$C$4:$DR$4,V$3,'Monthly CF'!$C$37:$DR$37)</f>
        <v>0</v>
      </c>
      <c r="W27" s="189">
        <f>SUMIF('Monthly CF'!$C$4:$DR$4,W$3,'Monthly CF'!$C$37:$DR$37)</f>
        <v>0</v>
      </c>
      <c r="X27" s="189">
        <f>SUMIF('Monthly CF'!$C$4:$DR$4,X$3,'Monthly CF'!$C$37:$DR$37)</f>
        <v>0</v>
      </c>
      <c r="Y27" s="189">
        <f>SUMIF('Monthly CF'!$C$4:$DR$4,Y$3,'Monthly CF'!$C$37:$DR$37)</f>
        <v>0</v>
      </c>
      <c r="Z27" s="189">
        <f>SUMIF('Monthly CF'!$C$4:$DR$4,Z$3,'Monthly CF'!$C$37:$DR$37)</f>
        <v>0</v>
      </c>
      <c r="AA27" s="189">
        <f>SUMIF('Monthly CF'!$C$4:$DR$4,AA$3,'Monthly CF'!$C$37:$DR$37)</f>
        <v>0</v>
      </c>
      <c r="AB27" s="189">
        <f>SUMIF('Monthly CF'!$C$4:$DR$4,AB$3,'Monthly CF'!$C$37:$DR$37)</f>
        <v>0</v>
      </c>
      <c r="AC27" s="189">
        <f>SUMIF('Monthly CF'!$C$4:$DR$4,AC$3,'Monthly CF'!$C$37:$DR$37)</f>
        <v>0</v>
      </c>
      <c r="AD27" s="189">
        <f>SUMIF('Monthly CF'!$C$4:$DR$4,AD$3,'Monthly CF'!$C$37:$DR$37)</f>
        <v>0</v>
      </c>
      <c r="AE27" s="189">
        <f>SUMIF('Monthly CF'!$C$4:$DR$4,AE$3,'Monthly CF'!$C$37:$DR$37)</f>
        <v>0</v>
      </c>
      <c r="AF27" s="189">
        <f>SUMIF('Monthly CF'!$C$4:$DR$4,AF$3,'Monthly CF'!$C$37:$DR$37)</f>
        <v>0</v>
      </c>
      <c r="AG27" s="189">
        <f>SUMIF('Monthly CF'!$C$4:$DR$4,AG$3,'Monthly CF'!$C$37:$DR$37)</f>
        <v>0</v>
      </c>
      <c r="AH27" s="189">
        <f>SUMIF('Monthly CF'!$C$4:$DR$4,AH$3,'Monthly CF'!$C$37:$DR$37)</f>
        <v>0</v>
      </c>
      <c r="AI27" s="189">
        <f>SUMIF('Monthly CF'!$C$4:$DR$4,AI$3,'Monthly CF'!$C$37:$DR$37)</f>
        <v>0</v>
      </c>
      <c r="AJ27" s="189">
        <f>SUMIF('Monthly CF'!$C$4:$DR$4,AJ$3,'Monthly CF'!$C$37:$DR$37)</f>
        <v>0</v>
      </c>
      <c r="AK27" s="189">
        <f>SUMIF('Monthly CF'!$C$4:$DR$4,AK$3,'Monthly CF'!$C$37:$DR$37)</f>
        <v>0</v>
      </c>
      <c r="AL27" s="189">
        <f>SUMIF('Monthly CF'!$C$4:$DR$4,AL$3,'Monthly CF'!$C$37:$DR$37)</f>
        <v>0</v>
      </c>
      <c r="AM27" s="189">
        <f>SUMIF('Monthly CF'!$C$4:$DR$4,AM$3,'Monthly CF'!$C$37:$DR$37)</f>
        <v>0</v>
      </c>
      <c r="AN27" s="189">
        <f>SUMIF('Monthly CF'!$C$4:$DR$4,AN$3,'Monthly CF'!$C$37:$DR$37)</f>
        <v>0</v>
      </c>
      <c r="AO27" s="189">
        <f>SUMIF('Monthly CF'!$C$4:$DR$4,AO$3,'Monthly CF'!$C$37:$DR$37)</f>
        <v>0</v>
      </c>
      <c r="AP27" s="189">
        <f>SUMIF('Monthly CF'!$C$4:$DR$4,AP$3,'Monthly CF'!$C$37:$DR$37)</f>
        <v>0</v>
      </c>
      <c r="AQ27" s="44">
        <f>SUMIF('Monthly CF'!$C$4:$DR$4,AQ$3,'Monthly CF'!$C$37:$DR$37)</f>
        <v>0</v>
      </c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</row>
    <row r="29" ht="15.75" customHeight="1">
      <c r="A29" s="44"/>
      <c r="B29" s="27" t="s">
        <v>337</v>
      </c>
      <c r="C29" s="193">
        <f>SUMIF('Monthly CF'!$C$4:$DR$4,C$3,'Monthly CF'!$C$39:$DR$39)</f>
        <v>-5000</v>
      </c>
      <c r="D29" s="193">
        <f>SUMIF('Monthly CF'!$C$4:$DR$4,D$3,'Monthly CF'!$C$39:$DR$39)</f>
        <v>0</v>
      </c>
      <c r="E29" s="193">
        <f>SUMIF('Monthly CF'!$C$4:$DR$4,E$3,'Monthly CF'!$C$39:$DR$39)</f>
        <v>0</v>
      </c>
      <c r="F29" s="193">
        <f>SUMIF('Monthly CF'!$C$4:$DR$4,F$3,'Monthly CF'!$C$39:$DR$39)</f>
        <v>0</v>
      </c>
      <c r="G29" s="193">
        <f>SUMIF('Monthly CF'!$C$4:$DR$4,G$3,'Monthly CF'!$C$39:$DR$39)</f>
        <v>0</v>
      </c>
      <c r="H29" s="193">
        <f>SUMIF('Monthly CF'!$C$4:$DR$4,H$3,'Monthly CF'!$C$39:$DR$39)</f>
        <v>0</v>
      </c>
      <c r="I29" s="193">
        <f>SUMIF('Monthly CF'!$C$4:$DR$4,I$3,'Monthly CF'!$C$39:$DR$39)</f>
        <v>0</v>
      </c>
      <c r="J29" s="193">
        <f>SUMIF('Monthly CF'!$C$4:$DR$4,J$3,'Monthly CF'!$C$39:$DR$39)</f>
        <v>0</v>
      </c>
      <c r="K29" s="193">
        <f>SUMIF('Monthly CF'!$C$4:$DR$4,K$3,'Monthly CF'!$C$39:$DR$39)</f>
        <v>0</v>
      </c>
      <c r="L29" s="193">
        <f>SUMIF('Monthly CF'!$C$4:$DR$4,L$3,'Monthly CF'!$C$39:$DR$39)</f>
        <v>0</v>
      </c>
      <c r="M29" s="193">
        <f>SUMIF('Monthly CF'!$C$4:$DR$4,M$3,'Monthly CF'!$C$39:$DR$39)</f>
        <v>0</v>
      </c>
      <c r="N29" s="193">
        <f>SUMIF('Monthly CF'!$C$4:$DR$4,N$3,'Monthly CF'!$C$39:$DR$39)</f>
        <v>0</v>
      </c>
      <c r="O29" s="193">
        <f>SUMIF('Monthly CF'!$C$4:$DR$4,O$3,'Monthly CF'!$C$39:$DR$39)</f>
        <v>0</v>
      </c>
      <c r="P29" s="193">
        <f>SUMIF('Monthly CF'!$C$4:$DR$4,P$3,'Monthly CF'!$C$39:$DR$39)</f>
        <v>0</v>
      </c>
      <c r="Q29" s="193">
        <f>SUMIF('Monthly CF'!$C$4:$DR$4,Q$3,'Monthly CF'!$C$39:$DR$39)</f>
        <v>0</v>
      </c>
      <c r="R29" s="193">
        <f>SUMIF('Monthly CF'!$C$4:$DR$4,R$3,'Monthly CF'!$C$39:$DR$39)</f>
        <v>0</v>
      </c>
      <c r="S29" s="193">
        <f>SUMIF('Monthly CF'!$C$4:$DR$4,S$3,'Monthly CF'!$C$39:$DR$39)</f>
        <v>0</v>
      </c>
      <c r="T29" s="193">
        <f>SUMIF('Monthly CF'!$C$4:$DR$4,T$3,'Monthly CF'!$C$39:$DR$39)</f>
        <v>0</v>
      </c>
      <c r="U29" s="193">
        <f>SUMIF('Monthly CF'!$C$4:$DR$4,U$3,'Monthly CF'!$C$39:$DR$39)</f>
        <v>0</v>
      </c>
      <c r="V29" s="193">
        <f>SUMIF('Monthly CF'!$C$4:$DR$4,V$3,'Monthly CF'!$C$39:$DR$39)</f>
        <v>0</v>
      </c>
      <c r="W29" s="193">
        <f>SUMIF('Monthly CF'!$C$4:$DR$4,W$3,'Monthly CF'!$C$39:$DR$39)</f>
        <v>0</v>
      </c>
      <c r="X29" s="193">
        <f>SUMIF('Monthly CF'!$C$4:$DR$4,X$3,'Monthly CF'!$C$39:$DR$39)</f>
        <v>0</v>
      </c>
      <c r="Y29" s="193">
        <f>SUMIF('Monthly CF'!$C$4:$DR$4,Y$3,'Monthly CF'!$C$39:$DR$39)</f>
        <v>0</v>
      </c>
      <c r="Z29" s="193">
        <f>SUMIF('Monthly CF'!$C$4:$DR$4,Z$3,'Monthly CF'!$C$39:$DR$39)</f>
        <v>0</v>
      </c>
      <c r="AA29" s="193">
        <f>SUMIF('Monthly CF'!$C$4:$DR$4,AA$3,'Monthly CF'!$C$39:$DR$39)</f>
        <v>0</v>
      </c>
      <c r="AB29" s="193">
        <f>SUMIF('Monthly CF'!$C$4:$DR$4,AB$3,'Monthly CF'!$C$39:$DR$39)</f>
        <v>0</v>
      </c>
      <c r="AC29" s="193">
        <f>SUMIF('Monthly CF'!$C$4:$DR$4,AC$3,'Monthly CF'!$C$39:$DR$39)</f>
        <v>0</v>
      </c>
      <c r="AD29" s="193">
        <f>SUMIF('Monthly CF'!$C$4:$DR$4,AD$3,'Monthly CF'!$C$39:$DR$39)</f>
        <v>0</v>
      </c>
      <c r="AE29" s="193">
        <f>SUMIF('Monthly CF'!$C$4:$DR$4,AE$3,'Monthly CF'!$C$39:$DR$39)</f>
        <v>0</v>
      </c>
      <c r="AF29" s="193">
        <f>SUMIF('Monthly CF'!$C$4:$DR$4,AF$3,'Monthly CF'!$C$39:$DR$39)</f>
        <v>0</v>
      </c>
      <c r="AG29" s="193">
        <f>SUMIF('Monthly CF'!$C$4:$DR$4,AG$3,'Monthly CF'!$C$39:$DR$39)</f>
        <v>0</v>
      </c>
      <c r="AH29" s="193">
        <f>SUMIF('Monthly CF'!$C$4:$DR$4,AH$3,'Monthly CF'!$C$39:$DR$39)</f>
        <v>0</v>
      </c>
      <c r="AI29" s="193">
        <f>SUMIF('Monthly CF'!$C$4:$DR$4,AI$3,'Monthly CF'!$C$39:$DR$39)</f>
        <v>0</v>
      </c>
      <c r="AJ29" s="193">
        <f>SUMIF('Monthly CF'!$C$4:$DR$4,AJ$3,'Monthly CF'!$C$39:$DR$39)</f>
        <v>0</v>
      </c>
      <c r="AK29" s="193">
        <f>SUMIF('Monthly CF'!$C$4:$DR$4,AK$3,'Monthly CF'!$C$39:$DR$39)</f>
        <v>0</v>
      </c>
      <c r="AL29" s="193">
        <f>SUMIF('Monthly CF'!$C$4:$DR$4,AL$3,'Monthly CF'!$C$39:$DR$39)</f>
        <v>0</v>
      </c>
      <c r="AM29" s="193">
        <f>SUMIF('Monthly CF'!$C$4:$DR$4,AM$3,'Monthly CF'!$C$39:$DR$39)</f>
        <v>0</v>
      </c>
      <c r="AN29" s="193">
        <f>SUMIF('Monthly CF'!$C$4:$DR$4,AN$3,'Monthly CF'!$C$39:$DR$39)</f>
        <v>0</v>
      </c>
      <c r="AO29" s="193">
        <f>SUMIF('Monthly CF'!$C$4:$DR$4,AO$3,'Monthly CF'!$C$39:$DR$39)</f>
        <v>0</v>
      </c>
      <c r="AP29" s="193">
        <f>SUMIF('Monthly CF'!$C$4:$DR$4,AP$3,'Monthly CF'!$C$39:$DR$39)</f>
        <v>0</v>
      </c>
      <c r="AQ29" s="44">
        <f>SUMIF('Monthly CF'!$C$4:$DR$4,AQ$3,'Monthly CF'!$C$39:$DR$39)</f>
        <v>0</v>
      </c>
    </row>
    <row r="30" ht="15.75" customHeight="1">
      <c r="A30" s="44"/>
      <c r="B30" s="4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</row>
    <row r="31" ht="15.75" customHeight="1">
      <c r="A31" s="44"/>
      <c r="B31" s="124" t="s">
        <v>338</v>
      </c>
      <c r="C31" s="195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</row>
    <row r="32" ht="15.75" customHeight="1">
      <c r="A32" s="44"/>
      <c r="B32" s="96" t="s">
        <v>339</v>
      </c>
      <c r="C32" s="196" t="str">
        <f t="array" ref="C32">INDEX('Monthly CF'!$C$42:$DR$42,MATCH((C$3-1)*3+1,'Monthly CF'!$C$3:$DR$3,0))</f>
        <v>0</v>
      </c>
      <c r="D32" s="196">
        <f t="array" ref="D32">INDEX('Monthly CF'!$C$42:$DR$42,MATCH((D$3-1)*3+1,'Monthly CF'!$C$3:$DR$3,0))</f>
        <v>0</v>
      </c>
      <c r="E32" s="196">
        <f t="array" ref="E32">INDEX('Monthly CF'!$C$42:$DR$42,MATCH((E$3-1)*3+1,'Monthly CF'!$C$3:$DR$3,0))</f>
        <v>0</v>
      </c>
      <c r="F32" s="196">
        <f t="array" ref="F32">INDEX('Monthly CF'!$C$42:$DR$42,MATCH((F$3-1)*3+1,'Monthly CF'!$C$3:$DR$3,0))</f>
        <v>0</v>
      </c>
      <c r="G32" s="196">
        <f t="array" ref="G32">INDEX('Monthly CF'!$C$42:$DR$42,MATCH((G$3-1)*3+1,'Monthly CF'!$C$3:$DR$3,0))</f>
        <v>0</v>
      </c>
      <c r="H32" s="196">
        <f t="array" ref="H32">INDEX('Monthly CF'!$C$42:$DR$42,MATCH((H$3-1)*3+1,'Monthly CF'!$C$3:$DR$3,0))</f>
        <v>0</v>
      </c>
      <c r="I32" s="196">
        <f t="array" ref="I32">INDEX('Monthly CF'!$C$42:$DR$42,MATCH((I$3-1)*3+1,'Monthly CF'!$C$3:$DR$3,0))</f>
        <v>0</v>
      </c>
      <c r="J32" s="196">
        <f t="array" ref="J32">INDEX('Monthly CF'!$C$42:$DR$42,MATCH((J$3-1)*3+1,'Monthly CF'!$C$3:$DR$3,0))</f>
        <v>0</v>
      </c>
      <c r="K32" s="196">
        <f t="array" ref="K32">INDEX('Monthly CF'!$C$42:$DR$42,MATCH((K$3-1)*3+1,'Monthly CF'!$C$3:$DR$3,0))</f>
        <v>0</v>
      </c>
      <c r="L32" s="196">
        <f t="array" ref="L32">INDEX('Monthly CF'!$C$42:$DR$42,MATCH((L$3-1)*3+1,'Monthly CF'!$C$3:$DR$3,0))</f>
        <v>0</v>
      </c>
      <c r="M32" s="196">
        <f t="array" ref="M32">INDEX('Monthly CF'!$C$42:$DR$42,MATCH((M$3-1)*3+1,'Monthly CF'!$C$3:$DR$3,0))</f>
        <v>0</v>
      </c>
      <c r="N32" s="196">
        <f t="array" ref="N32">INDEX('Monthly CF'!$C$42:$DR$42,MATCH((N$3-1)*3+1,'Monthly CF'!$C$3:$DR$3,0))</f>
        <v>0</v>
      </c>
      <c r="O32" s="196">
        <f t="array" ref="O32">INDEX('Monthly CF'!$C$42:$DR$42,MATCH((O$3-1)*3+1,'Monthly CF'!$C$3:$DR$3,0))</f>
        <v>0</v>
      </c>
      <c r="P32" s="196">
        <f t="array" ref="P32">INDEX('Monthly CF'!$C$42:$DR$42,MATCH((P$3-1)*3+1,'Monthly CF'!$C$3:$DR$3,0))</f>
        <v>0</v>
      </c>
      <c r="Q32" s="196">
        <f t="array" ref="Q32">INDEX('Monthly CF'!$C$42:$DR$42,MATCH((Q$3-1)*3+1,'Monthly CF'!$C$3:$DR$3,0))</f>
        <v>0</v>
      </c>
      <c r="R32" s="196">
        <f t="array" ref="R32">INDEX('Monthly CF'!$C$42:$DR$42,MATCH((R$3-1)*3+1,'Monthly CF'!$C$3:$DR$3,0))</f>
        <v>0</v>
      </c>
      <c r="S32" s="196">
        <f t="array" ref="S32">INDEX('Monthly CF'!$C$42:$DR$42,MATCH((S$3-1)*3+1,'Monthly CF'!$C$3:$DR$3,0))</f>
        <v>0</v>
      </c>
      <c r="T32" s="196">
        <f t="array" ref="T32">INDEX('Monthly CF'!$C$42:$DR$42,MATCH((T$3-1)*3+1,'Monthly CF'!$C$3:$DR$3,0))</f>
        <v>0</v>
      </c>
      <c r="U32" s="196">
        <f t="array" ref="U32">INDEX('Monthly CF'!$C$42:$DR$42,MATCH((U$3-1)*3+1,'Monthly CF'!$C$3:$DR$3,0))</f>
        <v>0</v>
      </c>
      <c r="V32" s="196">
        <f t="array" ref="V32">INDEX('Monthly CF'!$C$42:$DR$42,MATCH((V$3-1)*3+1,'Monthly CF'!$C$3:$DR$3,0))</f>
        <v>0</v>
      </c>
      <c r="W32" s="196">
        <f t="array" ref="W32">INDEX('Monthly CF'!$C$42:$DR$42,MATCH((W$3-1)*3+1,'Monthly CF'!$C$3:$DR$3,0))</f>
        <v>0</v>
      </c>
      <c r="X32" s="196">
        <f t="array" ref="X32">INDEX('Monthly CF'!$C$42:$DR$42,MATCH((X$3-1)*3+1,'Monthly CF'!$C$3:$DR$3,0))</f>
        <v>0</v>
      </c>
      <c r="Y32" s="196">
        <f t="array" ref="Y32">INDEX('Monthly CF'!$C$42:$DR$42,MATCH((Y$3-1)*3+1,'Monthly CF'!$C$3:$DR$3,0))</f>
        <v>0</v>
      </c>
      <c r="Z32" s="196">
        <f t="array" ref="Z32">INDEX('Monthly CF'!$C$42:$DR$42,MATCH((Z$3-1)*3+1,'Monthly CF'!$C$3:$DR$3,0))</f>
        <v>0</v>
      </c>
      <c r="AA32" s="196">
        <f t="array" ref="AA32">INDEX('Monthly CF'!$C$42:$DR$42,MATCH((AA$3-1)*3+1,'Monthly CF'!$C$3:$DR$3,0))</f>
        <v>0</v>
      </c>
      <c r="AB32" s="196">
        <f t="array" ref="AB32">INDEX('Monthly CF'!$C$42:$DR$42,MATCH((AB$3-1)*3+1,'Monthly CF'!$C$3:$DR$3,0))</f>
        <v>0</v>
      </c>
      <c r="AC32" s="196">
        <f t="array" ref="AC32">INDEX('Monthly CF'!$C$42:$DR$42,MATCH((AC$3-1)*3+1,'Monthly CF'!$C$3:$DR$3,0))</f>
        <v>0</v>
      </c>
      <c r="AD32" s="196">
        <f t="array" ref="AD32">INDEX('Monthly CF'!$C$42:$DR$42,MATCH((AD$3-1)*3+1,'Monthly CF'!$C$3:$DR$3,0))</f>
        <v>0</v>
      </c>
      <c r="AE32" s="196">
        <f t="array" ref="AE32">INDEX('Monthly CF'!$C$42:$DR$42,MATCH((AE$3-1)*3+1,'Monthly CF'!$C$3:$DR$3,0))</f>
        <v>0</v>
      </c>
      <c r="AF32" s="196">
        <f t="array" ref="AF32">INDEX('Monthly CF'!$C$42:$DR$42,MATCH((AF$3-1)*3+1,'Monthly CF'!$C$3:$DR$3,0))</f>
        <v>0</v>
      </c>
      <c r="AG32" s="196">
        <f t="array" ref="AG32">INDEX('Monthly CF'!$C$42:$DR$42,MATCH((AG$3-1)*3+1,'Monthly CF'!$C$3:$DR$3,0))</f>
        <v>0</v>
      </c>
      <c r="AH32" s="196">
        <f t="array" ref="AH32">INDEX('Monthly CF'!$C$42:$DR$42,MATCH((AH$3-1)*3+1,'Monthly CF'!$C$3:$DR$3,0))</f>
        <v>0</v>
      </c>
      <c r="AI32" s="196">
        <f t="array" ref="AI32">INDEX('Monthly CF'!$C$42:$DR$42,MATCH((AI$3-1)*3+1,'Monthly CF'!$C$3:$DR$3,0))</f>
        <v>0</v>
      </c>
      <c r="AJ32" s="196">
        <f t="array" ref="AJ32">INDEX('Monthly CF'!$C$42:$DR$42,MATCH((AJ$3-1)*3+1,'Monthly CF'!$C$3:$DR$3,0))</f>
        <v>0</v>
      </c>
      <c r="AK32" s="196">
        <f t="array" ref="AK32">INDEX('Monthly CF'!$C$42:$DR$42,MATCH((AK$3-1)*3+1,'Monthly CF'!$C$3:$DR$3,0))</f>
        <v>0</v>
      </c>
      <c r="AL32" s="196">
        <f t="array" ref="AL32">INDEX('Monthly CF'!$C$42:$DR$42,MATCH((AL$3-1)*3+1,'Monthly CF'!$C$3:$DR$3,0))</f>
        <v>0</v>
      </c>
      <c r="AM32" s="196">
        <f t="array" ref="AM32">INDEX('Monthly CF'!$C$42:$DR$42,MATCH((AM$3-1)*3+1,'Monthly CF'!$C$3:$DR$3,0))</f>
        <v>0</v>
      </c>
      <c r="AN32" s="196">
        <f t="array" ref="AN32">INDEX('Monthly CF'!$C$42:$DR$42,MATCH((AN$3-1)*3+1,'Monthly CF'!$C$3:$DR$3,0))</f>
        <v>0</v>
      </c>
      <c r="AO32" s="196">
        <f t="array" ref="AO32">INDEX('Monthly CF'!$C$42:$DR$42,MATCH((AO$3-1)*3+1,'Monthly CF'!$C$3:$DR$3,0))</f>
        <v>0</v>
      </c>
      <c r="AP32" s="196">
        <f t="array" ref="AP32">INDEX('Monthly CF'!$C$42:$DR$42,MATCH((AP$3-1)*3+1,'Monthly CF'!$C$3:$DR$3,0))</f>
        <v>0</v>
      </c>
      <c r="AQ32" s="196" t="str">
        <f t="array" ref="AQ32">INDEX('Monthly CF'!$C$42:$DR$42,MATCH((AQ$3-1)*3+1,'Monthly CF'!$C$3:$DR$3,0))</f>
        <v>#N/A</v>
      </c>
    </row>
    <row r="33" ht="15.75" customHeight="1">
      <c r="A33" s="44"/>
      <c r="B33" s="96" t="s">
        <v>340</v>
      </c>
      <c r="C33" s="196">
        <f>SUMIF('Monthly CF'!$C$4:$DR$4,C$3,'Monthly CF'!$C$43:$DR$43)</f>
        <v>0</v>
      </c>
      <c r="D33" s="196">
        <f>SUMIF('Monthly CF'!$C$4:$DR$4,D$3,'Monthly CF'!$C$43:$DR$43)</f>
        <v>0</v>
      </c>
      <c r="E33" s="196">
        <f>SUMIF('Monthly CF'!$C$4:$DR$4,E$3,'Monthly CF'!$C$43:$DR$43)</f>
        <v>0</v>
      </c>
      <c r="F33" s="196">
        <f>SUMIF('Monthly CF'!$C$4:$DR$4,F$3,'Monthly CF'!$C$43:$DR$43)</f>
        <v>0</v>
      </c>
      <c r="G33" s="196">
        <f>SUMIF('Monthly CF'!$C$4:$DR$4,G$3,'Monthly CF'!$C$43:$DR$43)</f>
        <v>0</v>
      </c>
      <c r="H33" s="196">
        <f>SUMIF('Monthly CF'!$C$4:$DR$4,H$3,'Monthly CF'!$C$43:$DR$43)</f>
        <v>0</v>
      </c>
      <c r="I33" s="196">
        <f>SUMIF('Monthly CF'!$C$4:$DR$4,I$3,'Monthly CF'!$C$43:$DR$43)</f>
        <v>0</v>
      </c>
      <c r="J33" s="196">
        <f>SUMIF('Monthly CF'!$C$4:$DR$4,J$3,'Monthly CF'!$C$43:$DR$43)</f>
        <v>0</v>
      </c>
      <c r="K33" s="196">
        <f>SUMIF('Monthly CF'!$C$4:$DR$4,K$3,'Monthly CF'!$C$43:$DR$43)</f>
        <v>0</v>
      </c>
      <c r="L33" s="196">
        <f>SUMIF('Monthly CF'!$C$4:$DR$4,L$3,'Monthly CF'!$C$43:$DR$43)</f>
        <v>0</v>
      </c>
      <c r="M33" s="196">
        <f>SUMIF('Monthly CF'!$C$4:$DR$4,M$3,'Monthly CF'!$C$43:$DR$43)</f>
        <v>0</v>
      </c>
      <c r="N33" s="196">
        <f>SUMIF('Monthly CF'!$C$4:$DR$4,N$3,'Monthly CF'!$C$43:$DR$43)</f>
        <v>0</v>
      </c>
      <c r="O33" s="196">
        <f>SUMIF('Monthly CF'!$C$4:$DR$4,O$3,'Monthly CF'!$C$43:$DR$43)</f>
        <v>0</v>
      </c>
      <c r="P33" s="196">
        <f>SUMIF('Monthly CF'!$C$4:$DR$4,P$3,'Monthly CF'!$C$43:$DR$43)</f>
        <v>0</v>
      </c>
      <c r="Q33" s="196">
        <f>SUMIF('Monthly CF'!$C$4:$DR$4,Q$3,'Monthly CF'!$C$43:$DR$43)</f>
        <v>0</v>
      </c>
      <c r="R33" s="196">
        <f>SUMIF('Monthly CF'!$C$4:$DR$4,R$3,'Monthly CF'!$C$43:$DR$43)</f>
        <v>0</v>
      </c>
      <c r="S33" s="196">
        <f>SUMIF('Monthly CF'!$C$4:$DR$4,S$3,'Monthly CF'!$C$43:$DR$43)</f>
        <v>0</v>
      </c>
      <c r="T33" s="196">
        <f>SUMIF('Monthly CF'!$C$4:$DR$4,T$3,'Monthly CF'!$C$43:$DR$43)</f>
        <v>0</v>
      </c>
      <c r="U33" s="196">
        <f>SUMIF('Monthly CF'!$C$4:$DR$4,U$3,'Monthly CF'!$C$43:$DR$43)</f>
        <v>0</v>
      </c>
      <c r="V33" s="196">
        <f>SUMIF('Monthly CF'!$C$4:$DR$4,V$3,'Monthly CF'!$C$43:$DR$43)</f>
        <v>0</v>
      </c>
      <c r="W33" s="196">
        <f>SUMIF('Monthly CF'!$C$4:$DR$4,W$3,'Monthly CF'!$C$43:$DR$43)</f>
        <v>0</v>
      </c>
      <c r="X33" s="196">
        <f>SUMIF('Monthly CF'!$C$4:$DR$4,X$3,'Monthly CF'!$C$43:$DR$43)</f>
        <v>0</v>
      </c>
      <c r="Y33" s="196">
        <f>SUMIF('Monthly CF'!$C$4:$DR$4,Y$3,'Monthly CF'!$C$43:$DR$43)</f>
        <v>0</v>
      </c>
      <c r="Z33" s="196">
        <f>SUMIF('Monthly CF'!$C$4:$DR$4,Z$3,'Monthly CF'!$C$43:$DR$43)</f>
        <v>0</v>
      </c>
      <c r="AA33" s="196">
        <f>SUMIF('Monthly CF'!$C$4:$DR$4,AA$3,'Monthly CF'!$C$43:$DR$43)</f>
        <v>0</v>
      </c>
      <c r="AB33" s="196">
        <f>SUMIF('Monthly CF'!$C$4:$DR$4,AB$3,'Monthly CF'!$C$43:$DR$43)</f>
        <v>0</v>
      </c>
      <c r="AC33" s="196">
        <f>SUMIF('Monthly CF'!$C$4:$DR$4,AC$3,'Monthly CF'!$C$43:$DR$43)</f>
        <v>0</v>
      </c>
      <c r="AD33" s="196">
        <f>SUMIF('Monthly CF'!$C$4:$DR$4,AD$3,'Monthly CF'!$C$43:$DR$43)</f>
        <v>0</v>
      </c>
      <c r="AE33" s="196">
        <f>SUMIF('Monthly CF'!$C$4:$DR$4,AE$3,'Monthly CF'!$C$43:$DR$43)</f>
        <v>0</v>
      </c>
      <c r="AF33" s="196">
        <f>SUMIF('Monthly CF'!$C$4:$DR$4,AF$3,'Monthly CF'!$C$43:$DR$43)</f>
        <v>0</v>
      </c>
      <c r="AG33" s="196">
        <f>SUMIF('Monthly CF'!$C$4:$DR$4,AG$3,'Monthly CF'!$C$43:$DR$43)</f>
        <v>0</v>
      </c>
      <c r="AH33" s="196">
        <f>SUMIF('Monthly CF'!$C$4:$DR$4,AH$3,'Monthly CF'!$C$43:$DR$43)</f>
        <v>0</v>
      </c>
      <c r="AI33" s="196">
        <f>SUMIF('Monthly CF'!$C$4:$DR$4,AI$3,'Monthly CF'!$C$43:$DR$43)</f>
        <v>0</v>
      </c>
      <c r="AJ33" s="196">
        <f>SUMIF('Monthly CF'!$C$4:$DR$4,AJ$3,'Monthly CF'!$C$43:$DR$43)</f>
        <v>0</v>
      </c>
      <c r="AK33" s="196">
        <f>SUMIF('Monthly CF'!$C$4:$DR$4,AK$3,'Monthly CF'!$C$43:$DR$43)</f>
        <v>0</v>
      </c>
      <c r="AL33" s="196">
        <f>SUMIF('Monthly CF'!$C$4:$DR$4,AL$3,'Monthly CF'!$C$43:$DR$43)</f>
        <v>0</v>
      </c>
      <c r="AM33" s="196">
        <f>SUMIF('Monthly CF'!$C$4:$DR$4,AM$3,'Monthly CF'!$C$43:$DR$43)</f>
        <v>0</v>
      </c>
      <c r="AN33" s="196">
        <f>SUMIF('Monthly CF'!$C$4:$DR$4,AN$3,'Monthly CF'!$C$43:$DR$43)</f>
        <v>0</v>
      </c>
      <c r="AO33" s="196">
        <f>SUMIF('Monthly CF'!$C$4:$DR$4,AO$3,'Monthly CF'!$C$43:$DR$43)</f>
        <v>0</v>
      </c>
      <c r="AP33" s="196">
        <f>SUMIF('Monthly CF'!$C$4:$DR$4,AP$3,'Monthly CF'!$C$43:$DR$43)</f>
        <v>0</v>
      </c>
      <c r="AQ33" s="196">
        <f>SUMIF('Monthly CF'!$C$4:$DR$4,AQ$3,'Monthly CF'!$C$43:$DR$43)</f>
        <v>0</v>
      </c>
    </row>
    <row r="34" ht="15.75" customHeight="1">
      <c r="A34" s="44"/>
      <c r="B34" s="96" t="s">
        <v>341</v>
      </c>
      <c r="C34" s="196">
        <f>SUMIF('Monthly CF'!$C$4:$DR$4,C$3,'Monthly CF'!$C$44:$DR$44)</f>
        <v>0</v>
      </c>
      <c r="D34" s="196">
        <f>SUMIF('Monthly CF'!$C$4:$DR$4,D$3,'Monthly CF'!$C$44:$DR$44)</f>
        <v>0</v>
      </c>
      <c r="E34" s="196">
        <f>SUMIF('Monthly CF'!$C$4:$DR$4,E$3,'Monthly CF'!$C$44:$DR$44)</f>
        <v>0</v>
      </c>
      <c r="F34" s="196">
        <f>SUMIF('Monthly CF'!$C$4:$DR$4,F$3,'Monthly CF'!$C$44:$DR$44)</f>
        <v>0</v>
      </c>
      <c r="G34" s="196">
        <f>SUMIF('Monthly CF'!$C$4:$DR$4,G$3,'Monthly CF'!$C$44:$DR$44)</f>
        <v>0</v>
      </c>
      <c r="H34" s="196">
        <f>SUMIF('Monthly CF'!$C$4:$DR$4,H$3,'Monthly CF'!$C$44:$DR$44)</f>
        <v>0</v>
      </c>
      <c r="I34" s="196">
        <f>SUMIF('Monthly CF'!$C$4:$DR$4,I$3,'Monthly CF'!$C$44:$DR$44)</f>
        <v>0</v>
      </c>
      <c r="J34" s="196">
        <f>SUMIF('Monthly CF'!$C$4:$DR$4,J$3,'Monthly CF'!$C$44:$DR$44)</f>
        <v>0</v>
      </c>
      <c r="K34" s="196">
        <f>SUMIF('Monthly CF'!$C$4:$DR$4,K$3,'Monthly CF'!$C$44:$DR$44)</f>
        <v>0</v>
      </c>
      <c r="L34" s="196">
        <f>SUMIF('Monthly CF'!$C$4:$DR$4,L$3,'Monthly CF'!$C$44:$DR$44)</f>
        <v>0</v>
      </c>
      <c r="M34" s="196">
        <f>SUMIF('Monthly CF'!$C$4:$DR$4,M$3,'Monthly CF'!$C$44:$DR$44)</f>
        <v>0</v>
      </c>
      <c r="N34" s="196">
        <f>SUMIF('Monthly CF'!$C$4:$DR$4,N$3,'Monthly CF'!$C$44:$DR$44)</f>
        <v>0</v>
      </c>
      <c r="O34" s="196">
        <f>SUMIF('Monthly CF'!$C$4:$DR$4,O$3,'Monthly CF'!$C$44:$DR$44)</f>
        <v>0</v>
      </c>
      <c r="P34" s="196">
        <f>SUMIF('Monthly CF'!$C$4:$DR$4,P$3,'Monthly CF'!$C$44:$DR$44)</f>
        <v>0</v>
      </c>
      <c r="Q34" s="196">
        <f>SUMIF('Monthly CF'!$C$4:$DR$4,Q$3,'Monthly CF'!$C$44:$DR$44)</f>
        <v>0</v>
      </c>
      <c r="R34" s="196">
        <f>SUMIF('Monthly CF'!$C$4:$DR$4,R$3,'Monthly CF'!$C$44:$DR$44)</f>
        <v>0</v>
      </c>
      <c r="S34" s="196">
        <f>SUMIF('Monthly CF'!$C$4:$DR$4,S$3,'Monthly CF'!$C$44:$DR$44)</f>
        <v>0</v>
      </c>
      <c r="T34" s="196">
        <f>SUMIF('Monthly CF'!$C$4:$DR$4,T$3,'Monthly CF'!$C$44:$DR$44)</f>
        <v>0</v>
      </c>
      <c r="U34" s="196">
        <f>SUMIF('Monthly CF'!$C$4:$DR$4,U$3,'Monthly CF'!$C$44:$DR$44)</f>
        <v>0</v>
      </c>
      <c r="V34" s="196">
        <f>SUMIF('Monthly CF'!$C$4:$DR$4,V$3,'Monthly CF'!$C$44:$DR$44)</f>
        <v>0</v>
      </c>
      <c r="W34" s="196">
        <f>SUMIF('Monthly CF'!$C$4:$DR$4,W$3,'Monthly CF'!$C$44:$DR$44)</f>
        <v>0</v>
      </c>
      <c r="X34" s="196">
        <f>SUMIF('Monthly CF'!$C$4:$DR$4,X$3,'Monthly CF'!$C$44:$DR$44)</f>
        <v>0</v>
      </c>
      <c r="Y34" s="196">
        <f>SUMIF('Monthly CF'!$C$4:$DR$4,Y$3,'Monthly CF'!$C$44:$DR$44)</f>
        <v>0</v>
      </c>
      <c r="Z34" s="196">
        <f>SUMIF('Monthly CF'!$C$4:$DR$4,Z$3,'Monthly CF'!$C$44:$DR$44)</f>
        <v>0</v>
      </c>
      <c r="AA34" s="196">
        <f>SUMIF('Monthly CF'!$C$4:$DR$4,AA$3,'Monthly CF'!$C$44:$DR$44)</f>
        <v>0</v>
      </c>
      <c r="AB34" s="196">
        <f>SUMIF('Monthly CF'!$C$4:$DR$4,AB$3,'Monthly CF'!$C$44:$DR$44)</f>
        <v>0</v>
      </c>
      <c r="AC34" s="196">
        <f>SUMIF('Monthly CF'!$C$4:$DR$4,AC$3,'Monthly CF'!$C$44:$DR$44)</f>
        <v>0</v>
      </c>
      <c r="AD34" s="196">
        <f>SUMIF('Monthly CF'!$C$4:$DR$4,AD$3,'Monthly CF'!$C$44:$DR$44)</f>
        <v>0</v>
      </c>
      <c r="AE34" s="196">
        <f>SUMIF('Monthly CF'!$C$4:$DR$4,AE$3,'Monthly CF'!$C$44:$DR$44)</f>
        <v>0</v>
      </c>
      <c r="AF34" s="196">
        <f>SUMIF('Monthly CF'!$C$4:$DR$4,AF$3,'Monthly CF'!$C$44:$DR$44)</f>
        <v>0</v>
      </c>
      <c r="AG34" s="196">
        <f>SUMIF('Monthly CF'!$C$4:$DR$4,AG$3,'Monthly CF'!$C$44:$DR$44)</f>
        <v>0</v>
      </c>
      <c r="AH34" s="196">
        <f>SUMIF('Monthly CF'!$C$4:$DR$4,AH$3,'Monthly CF'!$C$44:$DR$44)</f>
        <v>0</v>
      </c>
      <c r="AI34" s="196">
        <f>SUMIF('Monthly CF'!$C$4:$DR$4,AI$3,'Monthly CF'!$C$44:$DR$44)</f>
        <v>0</v>
      </c>
      <c r="AJ34" s="196">
        <f>SUMIF('Monthly CF'!$C$4:$DR$4,AJ$3,'Monthly CF'!$C$44:$DR$44)</f>
        <v>0</v>
      </c>
      <c r="AK34" s="196">
        <f>SUMIF('Monthly CF'!$C$4:$DR$4,AK$3,'Monthly CF'!$C$44:$DR$44)</f>
        <v>0</v>
      </c>
      <c r="AL34" s="196">
        <f>SUMIF('Monthly CF'!$C$4:$DR$4,AL$3,'Monthly CF'!$C$44:$DR$44)</f>
        <v>0</v>
      </c>
      <c r="AM34" s="196">
        <f>SUMIF('Monthly CF'!$C$4:$DR$4,AM$3,'Monthly CF'!$C$44:$DR$44)</f>
        <v>0</v>
      </c>
      <c r="AN34" s="196">
        <f>SUMIF('Monthly CF'!$C$4:$DR$4,AN$3,'Monthly CF'!$C$44:$DR$44)</f>
        <v>0</v>
      </c>
      <c r="AO34" s="196">
        <f>SUMIF('Monthly CF'!$C$4:$DR$4,AO$3,'Monthly CF'!$C$44:$DR$44)</f>
        <v>0</v>
      </c>
      <c r="AP34" s="196">
        <f>SUMIF('Monthly CF'!$C$4:$DR$4,AP$3,'Monthly CF'!$C$44:$DR$44)</f>
        <v>0</v>
      </c>
      <c r="AQ34" s="196">
        <f>SUMIF('Monthly CF'!$C$4:$DR$4,AQ$3,'Monthly CF'!$C$44:$DR$44)</f>
        <v>0</v>
      </c>
    </row>
    <row r="35" ht="15.75" customHeight="1">
      <c r="A35" s="44"/>
      <c r="B35" s="96" t="s">
        <v>342</v>
      </c>
      <c r="C35" s="196">
        <f>SUMIF('Monthly CF'!$C$4:$DR$4,C$3,'Monthly CF'!$C$45:$DR$45)</f>
        <v>0</v>
      </c>
      <c r="D35" s="196">
        <f>SUMIF('Monthly CF'!$C$4:$DR$4,D$3,'Monthly CF'!$C$45:$DR$45)</f>
        <v>0</v>
      </c>
      <c r="E35" s="196">
        <f>SUMIF('Monthly CF'!$C$4:$DR$4,E$3,'Monthly CF'!$C$45:$DR$45)</f>
        <v>0</v>
      </c>
      <c r="F35" s="196">
        <f>SUMIF('Monthly CF'!$C$4:$DR$4,F$3,'Monthly CF'!$C$45:$DR$45)</f>
        <v>0</v>
      </c>
      <c r="G35" s="196">
        <f>SUMIF('Monthly CF'!$C$4:$DR$4,G$3,'Monthly CF'!$C$45:$DR$45)</f>
        <v>0</v>
      </c>
      <c r="H35" s="196">
        <f>SUMIF('Monthly CF'!$C$4:$DR$4,H$3,'Monthly CF'!$C$45:$DR$45)</f>
        <v>0</v>
      </c>
      <c r="I35" s="196">
        <f>SUMIF('Monthly CF'!$C$4:$DR$4,I$3,'Monthly CF'!$C$45:$DR$45)</f>
        <v>0</v>
      </c>
      <c r="J35" s="196">
        <f>SUMIF('Monthly CF'!$C$4:$DR$4,J$3,'Monthly CF'!$C$45:$DR$45)</f>
        <v>0</v>
      </c>
      <c r="K35" s="196">
        <f>SUMIF('Monthly CF'!$C$4:$DR$4,K$3,'Monthly CF'!$C$45:$DR$45)</f>
        <v>0</v>
      </c>
      <c r="L35" s="196">
        <f>SUMIF('Monthly CF'!$C$4:$DR$4,L$3,'Monthly CF'!$C$45:$DR$45)</f>
        <v>0</v>
      </c>
      <c r="M35" s="196">
        <f>SUMIF('Monthly CF'!$C$4:$DR$4,M$3,'Monthly CF'!$C$45:$DR$45)</f>
        <v>0</v>
      </c>
      <c r="N35" s="196">
        <f>SUMIF('Monthly CF'!$C$4:$DR$4,N$3,'Monthly CF'!$C$45:$DR$45)</f>
        <v>0</v>
      </c>
      <c r="O35" s="196">
        <f>SUMIF('Monthly CF'!$C$4:$DR$4,O$3,'Monthly CF'!$C$45:$DR$45)</f>
        <v>0</v>
      </c>
      <c r="P35" s="196">
        <f>SUMIF('Monthly CF'!$C$4:$DR$4,P$3,'Monthly CF'!$C$45:$DR$45)</f>
        <v>0</v>
      </c>
      <c r="Q35" s="196">
        <f>SUMIF('Monthly CF'!$C$4:$DR$4,Q$3,'Monthly CF'!$C$45:$DR$45)</f>
        <v>0</v>
      </c>
      <c r="R35" s="196">
        <f>SUMIF('Monthly CF'!$C$4:$DR$4,R$3,'Monthly CF'!$C$45:$DR$45)</f>
        <v>0</v>
      </c>
      <c r="S35" s="196">
        <f>SUMIF('Monthly CF'!$C$4:$DR$4,S$3,'Monthly CF'!$C$45:$DR$45)</f>
        <v>0</v>
      </c>
      <c r="T35" s="196">
        <f>SUMIF('Monthly CF'!$C$4:$DR$4,T$3,'Monthly CF'!$C$45:$DR$45)</f>
        <v>0</v>
      </c>
      <c r="U35" s="196">
        <f>SUMIF('Monthly CF'!$C$4:$DR$4,U$3,'Monthly CF'!$C$45:$DR$45)</f>
        <v>0</v>
      </c>
      <c r="V35" s="196">
        <f>SUMIF('Monthly CF'!$C$4:$DR$4,V$3,'Monthly CF'!$C$45:$DR$45)</f>
        <v>0</v>
      </c>
      <c r="W35" s="196">
        <f>SUMIF('Monthly CF'!$C$4:$DR$4,W$3,'Monthly CF'!$C$45:$DR$45)</f>
        <v>0</v>
      </c>
      <c r="X35" s="196">
        <f>SUMIF('Monthly CF'!$C$4:$DR$4,X$3,'Monthly CF'!$C$45:$DR$45)</f>
        <v>0</v>
      </c>
      <c r="Y35" s="196">
        <f>SUMIF('Monthly CF'!$C$4:$DR$4,Y$3,'Monthly CF'!$C$45:$DR$45)</f>
        <v>0</v>
      </c>
      <c r="Z35" s="196">
        <f>SUMIF('Monthly CF'!$C$4:$DR$4,Z$3,'Monthly CF'!$C$45:$DR$45)</f>
        <v>0</v>
      </c>
      <c r="AA35" s="196">
        <f>SUMIF('Monthly CF'!$C$4:$DR$4,AA$3,'Monthly CF'!$C$45:$DR$45)</f>
        <v>0</v>
      </c>
      <c r="AB35" s="196">
        <f>SUMIF('Monthly CF'!$C$4:$DR$4,AB$3,'Monthly CF'!$C$45:$DR$45)</f>
        <v>0</v>
      </c>
      <c r="AC35" s="196">
        <f>SUMIF('Monthly CF'!$C$4:$DR$4,AC$3,'Monthly CF'!$C$45:$DR$45)</f>
        <v>0</v>
      </c>
      <c r="AD35" s="196">
        <f>SUMIF('Monthly CF'!$C$4:$DR$4,AD$3,'Monthly CF'!$C$45:$DR$45)</f>
        <v>0</v>
      </c>
      <c r="AE35" s="196">
        <f>SUMIF('Monthly CF'!$C$4:$DR$4,AE$3,'Monthly CF'!$C$45:$DR$45)</f>
        <v>0</v>
      </c>
      <c r="AF35" s="196">
        <f>SUMIF('Monthly CF'!$C$4:$DR$4,AF$3,'Monthly CF'!$C$45:$DR$45)</f>
        <v>0</v>
      </c>
      <c r="AG35" s="196">
        <f>SUMIF('Monthly CF'!$C$4:$DR$4,AG$3,'Monthly CF'!$C$45:$DR$45)</f>
        <v>0</v>
      </c>
      <c r="AH35" s="196">
        <f>SUMIF('Monthly CF'!$C$4:$DR$4,AH$3,'Monthly CF'!$C$45:$DR$45)</f>
        <v>0</v>
      </c>
      <c r="AI35" s="196">
        <f>SUMIF('Monthly CF'!$C$4:$DR$4,AI$3,'Monthly CF'!$C$45:$DR$45)</f>
        <v>0</v>
      </c>
      <c r="AJ35" s="196">
        <f>SUMIF('Monthly CF'!$C$4:$DR$4,AJ$3,'Monthly CF'!$C$45:$DR$45)</f>
        <v>0</v>
      </c>
      <c r="AK35" s="196">
        <f>SUMIF('Monthly CF'!$C$4:$DR$4,AK$3,'Monthly CF'!$C$45:$DR$45)</f>
        <v>0</v>
      </c>
      <c r="AL35" s="196">
        <f>SUMIF('Monthly CF'!$C$4:$DR$4,AL$3,'Monthly CF'!$C$45:$DR$45)</f>
        <v>0</v>
      </c>
      <c r="AM35" s="196">
        <f>SUMIF('Monthly CF'!$C$4:$DR$4,AM$3,'Monthly CF'!$C$45:$DR$45)</f>
        <v>0</v>
      </c>
      <c r="AN35" s="196">
        <f>SUMIF('Monthly CF'!$C$4:$DR$4,AN$3,'Monthly CF'!$C$45:$DR$45)</f>
        <v>0</v>
      </c>
      <c r="AO35" s="196">
        <f>SUMIF('Monthly CF'!$C$4:$DR$4,AO$3,'Monthly CF'!$C$45:$DR$45)</f>
        <v>0</v>
      </c>
      <c r="AP35" s="196">
        <f>SUMIF('Monthly CF'!$C$4:$DR$4,AP$3,'Monthly CF'!$C$45:$DR$45)</f>
        <v>0</v>
      </c>
      <c r="AQ35" s="196">
        <f>SUMIF('Monthly CF'!$C$4:$DR$4,AQ$3,'Monthly CF'!$C$45:$DR$45)</f>
        <v>0</v>
      </c>
    </row>
    <row r="36" ht="15.75" customHeight="1">
      <c r="A36" s="44"/>
      <c r="B36" s="96" t="s">
        <v>343</v>
      </c>
      <c r="C36" s="196">
        <f>SUMIF('Monthly CF'!$C$4:$DR$4,C$3,'Monthly CF'!$C$46:$DR$46)</f>
        <v>0</v>
      </c>
      <c r="D36" s="196">
        <f>SUMIF('Monthly CF'!$C$4:$DR$4,D$3,'Monthly CF'!$C$46:$DR$46)</f>
        <v>0</v>
      </c>
      <c r="E36" s="196">
        <f>SUMIF('Monthly CF'!$C$4:$DR$4,E$3,'Monthly CF'!$C$46:$DR$46)</f>
        <v>0</v>
      </c>
      <c r="F36" s="196">
        <f>SUMIF('Monthly CF'!$C$4:$DR$4,F$3,'Monthly CF'!$C$46:$DR$46)</f>
        <v>0</v>
      </c>
      <c r="G36" s="196">
        <f>SUMIF('Monthly CF'!$C$4:$DR$4,G$3,'Monthly CF'!$C$46:$DR$46)</f>
        <v>0</v>
      </c>
      <c r="H36" s="196">
        <f>SUMIF('Monthly CF'!$C$4:$DR$4,H$3,'Monthly CF'!$C$46:$DR$46)</f>
        <v>0</v>
      </c>
      <c r="I36" s="196">
        <f>SUMIF('Monthly CF'!$C$4:$DR$4,I$3,'Monthly CF'!$C$46:$DR$46)</f>
        <v>0</v>
      </c>
      <c r="J36" s="196">
        <f>SUMIF('Monthly CF'!$C$4:$DR$4,J$3,'Monthly CF'!$C$46:$DR$46)</f>
        <v>0</v>
      </c>
      <c r="K36" s="196">
        <f>SUMIF('Monthly CF'!$C$4:$DR$4,K$3,'Monthly CF'!$C$46:$DR$46)</f>
        <v>0</v>
      </c>
      <c r="L36" s="196">
        <f>SUMIF('Monthly CF'!$C$4:$DR$4,L$3,'Monthly CF'!$C$46:$DR$46)</f>
        <v>0</v>
      </c>
      <c r="M36" s="196">
        <f>SUMIF('Monthly CF'!$C$4:$DR$4,M$3,'Monthly CF'!$C$46:$DR$46)</f>
        <v>0</v>
      </c>
      <c r="N36" s="196">
        <f>SUMIF('Monthly CF'!$C$4:$DR$4,N$3,'Monthly CF'!$C$46:$DR$46)</f>
        <v>0</v>
      </c>
      <c r="O36" s="196">
        <f>SUMIF('Monthly CF'!$C$4:$DR$4,O$3,'Monthly CF'!$C$46:$DR$46)</f>
        <v>0</v>
      </c>
      <c r="P36" s="196">
        <f>SUMIF('Monthly CF'!$C$4:$DR$4,P$3,'Monthly CF'!$C$46:$DR$46)</f>
        <v>0</v>
      </c>
      <c r="Q36" s="196">
        <f>SUMIF('Monthly CF'!$C$4:$DR$4,Q$3,'Monthly CF'!$C$46:$DR$46)</f>
        <v>0</v>
      </c>
      <c r="R36" s="196">
        <f>SUMIF('Monthly CF'!$C$4:$DR$4,R$3,'Monthly CF'!$C$46:$DR$46)</f>
        <v>0</v>
      </c>
      <c r="S36" s="196">
        <f>SUMIF('Monthly CF'!$C$4:$DR$4,S$3,'Monthly CF'!$C$46:$DR$46)</f>
        <v>0</v>
      </c>
      <c r="T36" s="196">
        <f>SUMIF('Monthly CF'!$C$4:$DR$4,T$3,'Monthly CF'!$C$46:$DR$46)</f>
        <v>0</v>
      </c>
      <c r="U36" s="196">
        <f>SUMIF('Monthly CF'!$C$4:$DR$4,U$3,'Monthly CF'!$C$46:$DR$46)</f>
        <v>0</v>
      </c>
      <c r="V36" s="196">
        <f>SUMIF('Monthly CF'!$C$4:$DR$4,V$3,'Monthly CF'!$C$46:$DR$46)</f>
        <v>0</v>
      </c>
      <c r="W36" s="196">
        <f>SUMIF('Monthly CF'!$C$4:$DR$4,W$3,'Monthly CF'!$C$46:$DR$46)</f>
        <v>0</v>
      </c>
      <c r="X36" s="196">
        <f>SUMIF('Monthly CF'!$C$4:$DR$4,X$3,'Monthly CF'!$C$46:$DR$46)</f>
        <v>0</v>
      </c>
      <c r="Y36" s="196">
        <f>SUMIF('Monthly CF'!$C$4:$DR$4,Y$3,'Monthly CF'!$C$46:$DR$46)</f>
        <v>0</v>
      </c>
      <c r="Z36" s="196">
        <f>SUMIF('Monthly CF'!$C$4:$DR$4,Z$3,'Monthly CF'!$C$46:$DR$46)</f>
        <v>0</v>
      </c>
      <c r="AA36" s="196">
        <f>SUMIF('Monthly CF'!$C$4:$DR$4,AA$3,'Monthly CF'!$C$46:$DR$46)</f>
        <v>0</v>
      </c>
      <c r="AB36" s="196">
        <f>SUMIF('Monthly CF'!$C$4:$DR$4,AB$3,'Monthly CF'!$C$46:$DR$46)</f>
        <v>0</v>
      </c>
      <c r="AC36" s="196">
        <f>SUMIF('Monthly CF'!$C$4:$DR$4,AC$3,'Monthly CF'!$C$46:$DR$46)</f>
        <v>0</v>
      </c>
      <c r="AD36" s="196">
        <f>SUMIF('Monthly CF'!$C$4:$DR$4,AD$3,'Monthly CF'!$C$46:$DR$46)</f>
        <v>0</v>
      </c>
      <c r="AE36" s="196">
        <f>SUMIF('Monthly CF'!$C$4:$DR$4,AE$3,'Monthly CF'!$C$46:$DR$46)</f>
        <v>0</v>
      </c>
      <c r="AF36" s="196">
        <f>SUMIF('Monthly CF'!$C$4:$DR$4,AF$3,'Monthly CF'!$C$46:$DR$46)</f>
        <v>0</v>
      </c>
      <c r="AG36" s="196">
        <f>SUMIF('Monthly CF'!$C$4:$DR$4,AG$3,'Monthly CF'!$C$46:$DR$46)</f>
        <v>0</v>
      </c>
      <c r="AH36" s="196">
        <f>SUMIF('Monthly CF'!$C$4:$DR$4,AH$3,'Monthly CF'!$C$46:$DR$46)</f>
        <v>0</v>
      </c>
      <c r="AI36" s="196">
        <f>SUMIF('Monthly CF'!$C$4:$DR$4,AI$3,'Monthly CF'!$C$46:$DR$46)</f>
        <v>0</v>
      </c>
      <c r="AJ36" s="196">
        <f>SUMIF('Monthly CF'!$C$4:$DR$4,AJ$3,'Monthly CF'!$C$46:$DR$46)</f>
        <v>0</v>
      </c>
      <c r="AK36" s="196">
        <f>SUMIF('Monthly CF'!$C$4:$DR$4,AK$3,'Monthly CF'!$C$46:$DR$46)</f>
        <v>0</v>
      </c>
      <c r="AL36" s="196">
        <f>SUMIF('Monthly CF'!$C$4:$DR$4,AL$3,'Monthly CF'!$C$46:$DR$46)</f>
        <v>0</v>
      </c>
      <c r="AM36" s="196">
        <f>SUMIF('Monthly CF'!$C$4:$DR$4,AM$3,'Monthly CF'!$C$46:$DR$46)</f>
        <v>0</v>
      </c>
      <c r="AN36" s="196">
        <f>SUMIF('Monthly CF'!$C$4:$DR$4,AN$3,'Monthly CF'!$C$46:$DR$46)</f>
        <v>0</v>
      </c>
      <c r="AO36" s="196">
        <f>SUMIF('Monthly CF'!$C$4:$DR$4,AO$3,'Monthly CF'!$C$46:$DR$46)</f>
        <v>0</v>
      </c>
      <c r="AP36" s="196">
        <f>SUMIF('Monthly CF'!$C$4:$DR$4,AP$3,'Monthly CF'!$C$46:$DR$46)</f>
        <v>0</v>
      </c>
      <c r="AQ36" s="196">
        <f>SUMIF('Monthly CF'!$C$4:$DR$4,AQ$3,'Monthly CF'!$C$46:$DR$46)</f>
        <v>0</v>
      </c>
    </row>
    <row r="37" ht="15.75" customHeight="1">
      <c r="A37" s="44"/>
      <c r="B37" s="121" t="s">
        <v>344</v>
      </c>
      <c r="C37" s="197">
        <f t="array" ref="C37">INDEX('Monthly CF'!$C$47:$DR$47,MATCH(C$3*3,'Monthly CF'!$C$3:$DR$3,0))</f>
        <v>0</v>
      </c>
      <c r="D37" s="197">
        <f t="array" ref="D37">INDEX('Monthly CF'!$C$47:$DR$47,MATCH(D$3*3,'Monthly CF'!$C$3:$DR$3,0))</f>
        <v>0</v>
      </c>
      <c r="E37" s="197">
        <f t="array" ref="E37">INDEX('Monthly CF'!$C$47:$DR$47,MATCH(E$3*3,'Monthly CF'!$C$3:$DR$3,0))</f>
        <v>0</v>
      </c>
      <c r="F37" s="197">
        <f t="array" ref="F37">INDEX('Monthly CF'!$C$47:$DR$47,MATCH(F$3*3,'Monthly CF'!$C$3:$DR$3,0))</f>
        <v>0</v>
      </c>
      <c r="G37" s="197">
        <f t="array" ref="G37">INDEX('Monthly CF'!$C$47:$DR$47,MATCH(G$3*3,'Monthly CF'!$C$3:$DR$3,0))</f>
        <v>0</v>
      </c>
      <c r="H37" s="197">
        <f t="array" ref="H37">INDEX('Monthly CF'!$C$47:$DR$47,MATCH(H$3*3,'Monthly CF'!$C$3:$DR$3,0))</f>
        <v>0</v>
      </c>
      <c r="I37" s="197">
        <f t="array" ref="I37">INDEX('Monthly CF'!$C$47:$DR$47,MATCH(I$3*3,'Monthly CF'!$C$3:$DR$3,0))</f>
        <v>0</v>
      </c>
      <c r="J37" s="197">
        <f t="array" ref="J37">INDEX('Monthly CF'!$C$47:$DR$47,MATCH(J$3*3,'Monthly CF'!$C$3:$DR$3,0))</f>
        <v>0</v>
      </c>
      <c r="K37" s="197">
        <f t="array" ref="K37">INDEX('Monthly CF'!$C$47:$DR$47,MATCH(K$3*3,'Monthly CF'!$C$3:$DR$3,0))</f>
        <v>0</v>
      </c>
      <c r="L37" s="197">
        <f t="array" ref="L37">INDEX('Monthly CF'!$C$47:$DR$47,MATCH(L$3*3,'Monthly CF'!$C$3:$DR$3,0))</f>
        <v>0</v>
      </c>
      <c r="M37" s="197">
        <f t="array" ref="M37">INDEX('Monthly CF'!$C$47:$DR$47,MATCH(M$3*3,'Monthly CF'!$C$3:$DR$3,0))</f>
        <v>0</v>
      </c>
      <c r="N37" s="197">
        <f t="array" ref="N37">INDEX('Monthly CF'!$C$47:$DR$47,MATCH(N$3*3,'Monthly CF'!$C$3:$DR$3,0))</f>
        <v>0</v>
      </c>
      <c r="O37" s="197">
        <f t="array" ref="O37">INDEX('Monthly CF'!$C$47:$DR$47,MATCH(O$3*3,'Monthly CF'!$C$3:$DR$3,0))</f>
        <v>0</v>
      </c>
      <c r="P37" s="197">
        <f t="array" ref="P37">INDEX('Monthly CF'!$C$47:$DR$47,MATCH(P$3*3,'Monthly CF'!$C$3:$DR$3,0))</f>
        <v>0</v>
      </c>
      <c r="Q37" s="197">
        <f t="array" ref="Q37">INDEX('Monthly CF'!$C$47:$DR$47,MATCH(Q$3*3,'Monthly CF'!$C$3:$DR$3,0))</f>
        <v>0</v>
      </c>
      <c r="R37" s="197">
        <f t="array" ref="R37">INDEX('Monthly CF'!$C$47:$DR$47,MATCH(R$3*3,'Monthly CF'!$C$3:$DR$3,0))</f>
        <v>0</v>
      </c>
      <c r="S37" s="197">
        <f t="array" ref="S37">INDEX('Monthly CF'!$C$47:$DR$47,MATCH(S$3*3,'Monthly CF'!$C$3:$DR$3,0))</f>
        <v>0</v>
      </c>
      <c r="T37" s="197">
        <f t="array" ref="T37">INDEX('Monthly CF'!$C$47:$DR$47,MATCH(T$3*3,'Monthly CF'!$C$3:$DR$3,0))</f>
        <v>0</v>
      </c>
      <c r="U37" s="197">
        <f t="array" ref="U37">INDEX('Monthly CF'!$C$47:$DR$47,MATCH(U$3*3,'Monthly CF'!$C$3:$DR$3,0))</f>
        <v>0</v>
      </c>
      <c r="V37" s="197">
        <f t="array" ref="V37">INDEX('Monthly CF'!$C$47:$DR$47,MATCH(V$3*3,'Monthly CF'!$C$3:$DR$3,0))</f>
        <v>0</v>
      </c>
      <c r="W37" s="197">
        <f t="array" ref="W37">INDEX('Monthly CF'!$C$47:$DR$47,MATCH(W$3*3,'Monthly CF'!$C$3:$DR$3,0))</f>
        <v>0</v>
      </c>
      <c r="X37" s="197">
        <f t="array" ref="X37">INDEX('Monthly CF'!$C$47:$DR$47,MATCH(X$3*3,'Monthly CF'!$C$3:$DR$3,0))</f>
        <v>0</v>
      </c>
      <c r="Y37" s="197">
        <f t="array" ref="Y37">INDEX('Monthly CF'!$C$47:$DR$47,MATCH(Y$3*3,'Monthly CF'!$C$3:$DR$3,0))</f>
        <v>0</v>
      </c>
      <c r="Z37" s="197">
        <f t="array" ref="Z37">INDEX('Monthly CF'!$C$47:$DR$47,MATCH(Z$3*3,'Monthly CF'!$C$3:$DR$3,0))</f>
        <v>0</v>
      </c>
      <c r="AA37" s="197">
        <f t="array" ref="AA37">INDEX('Monthly CF'!$C$47:$DR$47,MATCH(AA$3*3,'Monthly CF'!$C$3:$DR$3,0))</f>
        <v>0</v>
      </c>
      <c r="AB37" s="197">
        <f t="array" ref="AB37">INDEX('Monthly CF'!$C$47:$DR$47,MATCH(AB$3*3,'Monthly CF'!$C$3:$DR$3,0))</f>
        <v>0</v>
      </c>
      <c r="AC37" s="197">
        <f t="array" ref="AC37">INDEX('Monthly CF'!$C$47:$DR$47,MATCH(AC$3*3,'Monthly CF'!$C$3:$DR$3,0))</f>
        <v>0</v>
      </c>
      <c r="AD37" s="197">
        <f t="array" ref="AD37">INDEX('Monthly CF'!$C$47:$DR$47,MATCH(AD$3*3,'Monthly CF'!$C$3:$DR$3,0))</f>
        <v>0</v>
      </c>
      <c r="AE37" s="197">
        <f t="array" ref="AE37">INDEX('Monthly CF'!$C$47:$DR$47,MATCH(AE$3*3,'Monthly CF'!$C$3:$DR$3,0))</f>
        <v>0</v>
      </c>
      <c r="AF37" s="197">
        <f t="array" ref="AF37">INDEX('Monthly CF'!$C$47:$DR$47,MATCH(AF$3*3,'Monthly CF'!$C$3:$DR$3,0))</f>
        <v>0</v>
      </c>
      <c r="AG37" s="197">
        <f t="array" ref="AG37">INDEX('Monthly CF'!$C$47:$DR$47,MATCH(AG$3*3,'Monthly CF'!$C$3:$DR$3,0))</f>
        <v>0</v>
      </c>
      <c r="AH37" s="197">
        <f t="array" ref="AH37">INDEX('Monthly CF'!$C$47:$DR$47,MATCH(AH$3*3,'Monthly CF'!$C$3:$DR$3,0))</f>
        <v>0</v>
      </c>
      <c r="AI37" s="197">
        <f t="array" ref="AI37">INDEX('Monthly CF'!$C$47:$DR$47,MATCH(AI$3*3,'Monthly CF'!$C$3:$DR$3,0))</f>
        <v>0</v>
      </c>
      <c r="AJ37" s="197">
        <f t="array" ref="AJ37">INDEX('Monthly CF'!$C$47:$DR$47,MATCH(AJ$3*3,'Monthly CF'!$C$3:$DR$3,0))</f>
        <v>0</v>
      </c>
      <c r="AK37" s="197">
        <f t="array" ref="AK37">INDEX('Monthly CF'!$C$47:$DR$47,MATCH(AK$3*3,'Monthly CF'!$C$3:$DR$3,0))</f>
        <v>0</v>
      </c>
      <c r="AL37" s="197">
        <f t="array" ref="AL37">INDEX('Monthly CF'!$C$47:$DR$47,MATCH(AL$3*3,'Monthly CF'!$C$3:$DR$3,0))</f>
        <v>0</v>
      </c>
      <c r="AM37" s="197">
        <f t="array" ref="AM37">INDEX('Monthly CF'!$C$47:$DR$47,MATCH(AM$3*3,'Monthly CF'!$C$3:$DR$3,0))</f>
        <v>0</v>
      </c>
      <c r="AN37" s="197">
        <f t="array" ref="AN37">INDEX('Monthly CF'!$C$47:$DR$47,MATCH(AN$3*3,'Monthly CF'!$C$3:$DR$3,0))</f>
        <v>0</v>
      </c>
      <c r="AO37" s="197">
        <f t="array" ref="AO37">INDEX('Monthly CF'!$C$47:$DR$47,MATCH(AO$3*3,'Monthly CF'!$C$3:$DR$3,0))</f>
        <v>0</v>
      </c>
      <c r="AP37" s="197">
        <f t="array" ref="AP37">INDEX('Monthly CF'!$C$47:$DR$47,MATCH(AP$3*3,'Monthly CF'!$C$3:$DR$3,0))</f>
        <v>0</v>
      </c>
      <c r="AQ37" s="197" t="str">
        <f t="array" ref="AQ37">INDEX('Monthly CF'!$C$47:$DR$47,MATCH(AQ$3*3,'Monthly CF'!$C$3:$DR$3,0))</f>
        <v>#N/A</v>
      </c>
    </row>
    <row r="38" ht="15.75" customHeight="1">
      <c r="A38" s="44"/>
      <c r="B38" s="96" t="s">
        <v>345</v>
      </c>
      <c r="C38" s="198">
        <f>SUMIF('Monthly CF'!$C$4:$DR$4,C$3,'Monthly CF'!$C$48:$DR$48)</f>
        <v>0</v>
      </c>
      <c r="D38" s="198">
        <f>SUMIF('Monthly CF'!$C$4:$DR$4,D$3,'Monthly CF'!$C$48:$DR$48)</f>
        <v>0</v>
      </c>
      <c r="E38" s="198">
        <f>SUMIF('Monthly CF'!$C$4:$DR$4,E$3,'Monthly CF'!$C$48:$DR$48)</f>
        <v>0</v>
      </c>
      <c r="F38" s="198">
        <f>SUMIF('Monthly CF'!$C$4:$DR$4,F$3,'Monthly CF'!$C$48:$DR$48)</f>
        <v>0</v>
      </c>
      <c r="G38" s="198">
        <f>SUMIF('Monthly CF'!$C$4:$DR$4,G$3,'Monthly CF'!$C$48:$DR$48)</f>
        <v>0</v>
      </c>
      <c r="H38" s="198">
        <f>SUMIF('Monthly CF'!$C$4:$DR$4,H$3,'Monthly CF'!$C$48:$DR$48)</f>
        <v>0</v>
      </c>
      <c r="I38" s="198">
        <f>SUMIF('Monthly CF'!$C$4:$DR$4,I$3,'Monthly CF'!$C$48:$DR$48)</f>
        <v>0</v>
      </c>
      <c r="J38" s="198">
        <f>SUMIF('Monthly CF'!$C$4:$DR$4,J$3,'Monthly CF'!$C$48:$DR$48)</f>
        <v>0</v>
      </c>
      <c r="K38" s="198">
        <f>SUMIF('Monthly CF'!$C$4:$DR$4,K$3,'Monthly CF'!$C$48:$DR$48)</f>
        <v>0</v>
      </c>
      <c r="L38" s="198">
        <f>SUMIF('Monthly CF'!$C$4:$DR$4,L$3,'Monthly CF'!$C$48:$DR$48)</f>
        <v>0</v>
      </c>
      <c r="M38" s="198">
        <f>SUMIF('Monthly CF'!$C$4:$DR$4,M$3,'Monthly CF'!$C$48:$DR$48)</f>
        <v>0</v>
      </c>
      <c r="N38" s="198">
        <f>SUMIF('Monthly CF'!$C$4:$DR$4,N$3,'Monthly CF'!$C$48:$DR$48)</f>
        <v>0</v>
      </c>
      <c r="O38" s="198">
        <f>SUMIF('Monthly CF'!$C$4:$DR$4,O$3,'Monthly CF'!$C$48:$DR$48)</f>
        <v>0</v>
      </c>
      <c r="P38" s="198">
        <f>SUMIF('Monthly CF'!$C$4:$DR$4,P$3,'Monthly CF'!$C$48:$DR$48)</f>
        <v>0</v>
      </c>
      <c r="Q38" s="198">
        <f>SUMIF('Monthly CF'!$C$4:$DR$4,Q$3,'Monthly CF'!$C$48:$DR$48)</f>
        <v>0</v>
      </c>
      <c r="R38" s="198">
        <f>SUMIF('Monthly CF'!$C$4:$DR$4,R$3,'Monthly CF'!$C$48:$DR$48)</f>
        <v>0</v>
      </c>
      <c r="S38" s="198">
        <f>SUMIF('Monthly CF'!$C$4:$DR$4,S$3,'Monthly CF'!$C$48:$DR$48)</f>
        <v>0</v>
      </c>
      <c r="T38" s="198">
        <f>SUMIF('Monthly CF'!$C$4:$DR$4,T$3,'Monthly CF'!$C$48:$DR$48)</f>
        <v>0</v>
      </c>
      <c r="U38" s="198">
        <f>SUMIF('Monthly CF'!$C$4:$DR$4,U$3,'Monthly CF'!$C$48:$DR$48)</f>
        <v>0</v>
      </c>
      <c r="V38" s="198">
        <f>SUMIF('Monthly CF'!$C$4:$DR$4,V$3,'Monthly CF'!$C$48:$DR$48)</f>
        <v>0</v>
      </c>
      <c r="W38" s="198">
        <f>SUMIF('Monthly CF'!$C$4:$DR$4,W$3,'Monthly CF'!$C$48:$DR$48)</f>
        <v>0</v>
      </c>
      <c r="X38" s="198">
        <f>SUMIF('Monthly CF'!$C$4:$DR$4,X$3,'Monthly CF'!$C$48:$DR$48)</f>
        <v>0</v>
      </c>
      <c r="Y38" s="198">
        <f>SUMIF('Monthly CF'!$C$4:$DR$4,Y$3,'Monthly CF'!$C$48:$DR$48)</f>
        <v>0</v>
      </c>
      <c r="Z38" s="198">
        <f>SUMIF('Monthly CF'!$C$4:$DR$4,Z$3,'Monthly CF'!$C$48:$DR$48)</f>
        <v>0</v>
      </c>
      <c r="AA38" s="198">
        <f>SUMIF('Monthly CF'!$C$4:$DR$4,AA$3,'Monthly CF'!$C$48:$DR$48)</f>
        <v>0</v>
      </c>
      <c r="AB38" s="198">
        <f>SUMIF('Monthly CF'!$C$4:$DR$4,AB$3,'Monthly CF'!$C$48:$DR$48)</f>
        <v>0</v>
      </c>
      <c r="AC38" s="198">
        <f>SUMIF('Monthly CF'!$C$4:$DR$4,AC$3,'Monthly CF'!$C$48:$DR$48)</f>
        <v>0</v>
      </c>
      <c r="AD38" s="198">
        <f>SUMIF('Monthly CF'!$C$4:$DR$4,AD$3,'Monthly CF'!$C$48:$DR$48)</f>
        <v>0</v>
      </c>
      <c r="AE38" s="198">
        <f>SUMIF('Monthly CF'!$C$4:$DR$4,AE$3,'Monthly CF'!$C$48:$DR$48)</f>
        <v>0</v>
      </c>
      <c r="AF38" s="198">
        <f>SUMIF('Monthly CF'!$C$4:$DR$4,AF$3,'Monthly CF'!$C$48:$DR$48)</f>
        <v>0</v>
      </c>
      <c r="AG38" s="198">
        <f>SUMIF('Monthly CF'!$C$4:$DR$4,AG$3,'Monthly CF'!$C$48:$DR$48)</f>
        <v>0</v>
      </c>
      <c r="AH38" s="198">
        <f>SUMIF('Monthly CF'!$C$4:$DR$4,AH$3,'Monthly CF'!$C$48:$DR$48)</f>
        <v>0</v>
      </c>
      <c r="AI38" s="198">
        <f>SUMIF('Monthly CF'!$C$4:$DR$4,AI$3,'Monthly CF'!$C$48:$DR$48)</f>
        <v>0</v>
      </c>
      <c r="AJ38" s="198">
        <f>SUMIF('Monthly CF'!$C$4:$DR$4,AJ$3,'Monthly CF'!$C$48:$DR$48)</f>
        <v>0</v>
      </c>
      <c r="AK38" s="198">
        <f>SUMIF('Monthly CF'!$C$4:$DR$4,AK$3,'Monthly CF'!$C$48:$DR$48)</f>
        <v>0</v>
      </c>
      <c r="AL38" s="198">
        <f>SUMIF('Monthly CF'!$C$4:$DR$4,AL$3,'Monthly CF'!$C$48:$DR$48)</f>
        <v>0</v>
      </c>
      <c r="AM38" s="198">
        <f>SUMIF('Monthly CF'!$C$4:$DR$4,AM$3,'Monthly CF'!$C$48:$DR$48)</f>
        <v>0</v>
      </c>
      <c r="AN38" s="198">
        <f>SUMIF('Monthly CF'!$C$4:$DR$4,AN$3,'Monthly CF'!$C$48:$DR$48)</f>
        <v>0</v>
      </c>
      <c r="AO38" s="198">
        <f>SUMIF('Monthly CF'!$C$4:$DR$4,AO$3,'Monthly CF'!$C$48:$DR$48)</f>
        <v>0</v>
      </c>
      <c r="AP38" s="198">
        <f>SUMIF('Monthly CF'!$C$4:$DR$4,AP$3,'Monthly CF'!$C$48:$DR$48)</f>
        <v>0</v>
      </c>
      <c r="AQ38" s="198">
        <f>SUMIF('Monthly CF'!$C$4:$DR$4,AQ$3,'Monthly CF'!$C$48:$DR$48)</f>
        <v>0</v>
      </c>
    </row>
    <row r="39" ht="15.75" customHeight="1">
      <c r="A39" s="44"/>
      <c r="B39" s="4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</row>
    <row r="40" ht="15.75" customHeight="1">
      <c r="A40" s="44"/>
      <c r="B40" s="124" t="s">
        <v>346</v>
      </c>
      <c r="C40" s="195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</row>
    <row r="41" ht="15.75" customHeight="1">
      <c r="A41" s="44"/>
      <c r="B41" s="96" t="s">
        <v>339</v>
      </c>
      <c r="C41" s="196" t="str">
        <f t="array" ref="C41">INDEX('Monthly CF'!$C$51:$DR$51,MATCH((C$3-1)*3+1,'Monthly CF'!$C$3:$DR$3,0))</f>
        <v>0</v>
      </c>
      <c r="D41" s="196">
        <f t="array" ref="D41">INDEX('Monthly CF'!$C$51:$DR$51,MATCH((D$3-1)*3+1,'Monthly CF'!$C$3:$DR$3,0))</f>
        <v>0</v>
      </c>
      <c r="E41" s="196">
        <f t="array" ref="E41">INDEX('Monthly CF'!$C$51:$DR$51,MATCH((E$3-1)*3+1,'Monthly CF'!$C$3:$DR$3,0))</f>
        <v>0</v>
      </c>
      <c r="F41" s="196">
        <f t="array" ref="F41">INDEX('Monthly CF'!$C$51:$DR$51,MATCH((F$3-1)*3+1,'Monthly CF'!$C$3:$DR$3,0))</f>
        <v>0</v>
      </c>
      <c r="G41" s="196">
        <f t="array" ref="G41">INDEX('Monthly CF'!$C$51:$DR$51,MATCH((G$3-1)*3+1,'Monthly CF'!$C$3:$DR$3,0))</f>
        <v>0</v>
      </c>
      <c r="H41" s="196">
        <f t="array" ref="H41">INDEX('Monthly CF'!$C$51:$DR$51,MATCH((H$3-1)*3+1,'Monthly CF'!$C$3:$DR$3,0))</f>
        <v>0</v>
      </c>
      <c r="I41" s="196">
        <f t="array" ref="I41">INDEX('Monthly CF'!$C$51:$DR$51,MATCH((I$3-1)*3+1,'Monthly CF'!$C$3:$DR$3,0))</f>
        <v>0</v>
      </c>
      <c r="J41" s="196">
        <f t="array" ref="J41">INDEX('Monthly CF'!$C$51:$DR$51,MATCH((J$3-1)*3+1,'Monthly CF'!$C$3:$DR$3,0))</f>
        <v>0</v>
      </c>
      <c r="K41" s="196">
        <f t="array" ref="K41">INDEX('Monthly CF'!$C$51:$DR$51,MATCH((K$3-1)*3+1,'Monthly CF'!$C$3:$DR$3,0))</f>
        <v>0</v>
      </c>
      <c r="L41" s="196">
        <f t="array" ref="L41">INDEX('Monthly CF'!$C$51:$DR$51,MATCH((L$3-1)*3+1,'Monthly CF'!$C$3:$DR$3,0))</f>
        <v>0</v>
      </c>
      <c r="M41" s="196">
        <f t="array" ref="M41">INDEX('Monthly CF'!$C$51:$DR$51,MATCH((M$3-1)*3+1,'Monthly CF'!$C$3:$DR$3,0))</f>
        <v>0</v>
      </c>
      <c r="N41" s="196">
        <f t="array" ref="N41">INDEX('Monthly CF'!$C$51:$DR$51,MATCH((N$3-1)*3+1,'Monthly CF'!$C$3:$DR$3,0))</f>
        <v>0</v>
      </c>
      <c r="O41" s="196">
        <f t="array" ref="O41">INDEX('Monthly CF'!$C$51:$DR$51,MATCH((O$3-1)*3+1,'Monthly CF'!$C$3:$DR$3,0))</f>
        <v>0</v>
      </c>
      <c r="P41" s="196">
        <f t="array" ref="P41">INDEX('Monthly CF'!$C$51:$DR$51,MATCH((P$3-1)*3+1,'Monthly CF'!$C$3:$DR$3,0))</f>
        <v>0</v>
      </c>
      <c r="Q41" s="196">
        <f t="array" ref="Q41">INDEX('Monthly CF'!$C$51:$DR$51,MATCH((Q$3-1)*3+1,'Monthly CF'!$C$3:$DR$3,0))</f>
        <v>0</v>
      </c>
      <c r="R41" s="196">
        <f t="array" ref="R41">INDEX('Monthly CF'!$C$51:$DR$51,MATCH((R$3-1)*3+1,'Monthly CF'!$C$3:$DR$3,0))</f>
        <v>0</v>
      </c>
      <c r="S41" s="196">
        <f t="array" ref="S41">INDEX('Monthly CF'!$C$51:$DR$51,MATCH((S$3-1)*3+1,'Monthly CF'!$C$3:$DR$3,0))</f>
        <v>0</v>
      </c>
      <c r="T41" s="196">
        <f t="array" ref="T41">INDEX('Monthly CF'!$C$51:$DR$51,MATCH((T$3-1)*3+1,'Monthly CF'!$C$3:$DR$3,0))</f>
        <v>0</v>
      </c>
      <c r="U41" s="196">
        <f t="array" ref="U41">INDEX('Monthly CF'!$C$51:$DR$51,MATCH((U$3-1)*3+1,'Monthly CF'!$C$3:$DR$3,0))</f>
        <v>0</v>
      </c>
      <c r="V41" s="196">
        <f t="array" ref="V41">INDEX('Monthly CF'!$C$51:$DR$51,MATCH((V$3-1)*3+1,'Monthly CF'!$C$3:$DR$3,0))</f>
        <v>0</v>
      </c>
      <c r="W41" s="196">
        <f t="array" ref="W41">INDEX('Monthly CF'!$C$51:$DR$51,MATCH((W$3-1)*3+1,'Monthly CF'!$C$3:$DR$3,0))</f>
        <v>0</v>
      </c>
      <c r="X41" s="196">
        <f t="array" ref="X41">INDEX('Monthly CF'!$C$51:$DR$51,MATCH((X$3-1)*3+1,'Monthly CF'!$C$3:$DR$3,0))</f>
        <v>0</v>
      </c>
      <c r="Y41" s="196">
        <f t="array" ref="Y41">INDEX('Monthly CF'!$C$51:$DR$51,MATCH((Y$3-1)*3+1,'Monthly CF'!$C$3:$DR$3,0))</f>
        <v>0</v>
      </c>
      <c r="Z41" s="196">
        <f t="array" ref="Z41">INDEX('Monthly CF'!$C$51:$DR$51,MATCH((Z$3-1)*3+1,'Monthly CF'!$C$3:$DR$3,0))</f>
        <v>0</v>
      </c>
      <c r="AA41" s="196">
        <f t="array" ref="AA41">INDEX('Monthly CF'!$C$51:$DR$51,MATCH((AA$3-1)*3+1,'Monthly CF'!$C$3:$DR$3,0))</f>
        <v>0</v>
      </c>
      <c r="AB41" s="196">
        <f t="array" ref="AB41">INDEX('Monthly CF'!$C$51:$DR$51,MATCH((AB$3-1)*3+1,'Monthly CF'!$C$3:$DR$3,0))</f>
        <v>0</v>
      </c>
      <c r="AC41" s="196">
        <f t="array" ref="AC41">INDEX('Monthly CF'!$C$51:$DR$51,MATCH((AC$3-1)*3+1,'Monthly CF'!$C$3:$DR$3,0))</f>
        <v>0</v>
      </c>
      <c r="AD41" s="196">
        <f t="array" ref="AD41">INDEX('Monthly CF'!$C$51:$DR$51,MATCH((AD$3-1)*3+1,'Monthly CF'!$C$3:$DR$3,0))</f>
        <v>0</v>
      </c>
      <c r="AE41" s="196">
        <f t="array" ref="AE41">INDEX('Monthly CF'!$C$51:$DR$51,MATCH((AE$3-1)*3+1,'Monthly CF'!$C$3:$DR$3,0))</f>
        <v>0</v>
      </c>
      <c r="AF41" s="196">
        <f t="array" ref="AF41">INDEX('Monthly CF'!$C$51:$DR$51,MATCH((AF$3-1)*3+1,'Monthly CF'!$C$3:$DR$3,0))</f>
        <v>0</v>
      </c>
      <c r="AG41" s="196">
        <f t="array" ref="AG41">INDEX('Monthly CF'!$C$51:$DR$51,MATCH((AG$3-1)*3+1,'Monthly CF'!$C$3:$DR$3,0))</f>
        <v>0</v>
      </c>
      <c r="AH41" s="196">
        <f t="array" ref="AH41">INDEX('Monthly CF'!$C$51:$DR$51,MATCH((AH$3-1)*3+1,'Monthly CF'!$C$3:$DR$3,0))</f>
        <v>0</v>
      </c>
      <c r="AI41" s="196">
        <f t="array" ref="AI41">INDEX('Monthly CF'!$C$51:$DR$51,MATCH((AI$3-1)*3+1,'Monthly CF'!$C$3:$DR$3,0))</f>
        <v>0</v>
      </c>
      <c r="AJ41" s="196">
        <f t="array" ref="AJ41">INDEX('Monthly CF'!$C$51:$DR$51,MATCH((AJ$3-1)*3+1,'Monthly CF'!$C$3:$DR$3,0))</f>
        <v>0</v>
      </c>
      <c r="AK41" s="196">
        <f t="array" ref="AK41">INDEX('Monthly CF'!$C$51:$DR$51,MATCH((AK$3-1)*3+1,'Monthly CF'!$C$3:$DR$3,0))</f>
        <v>0</v>
      </c>
      <c r="AL41" s="196">
        <f t="array" ref="AL41">INDEX('Monthly CF'!$C$51:$DR$51,MATCH((AL$3-1)*3+1,'Monthly CF'!$C$3:$DR$3,0))</f>
        <v>0</v>
      </c>
      <c r="AM41" s="196">
        <f t="array" ref="AM41">INDEX('Monthly CF'!$C$51:$DR$51,MATCH((AM$3-1)*3+1,'Monthly CF'!$C$3:$DR$3,0))</f>
        <v>0</v>
      </c>
      <c r="AN41" s="196">
        <f t="array" ref="AN41">INDEX('Monthly CF'!$C$51:$DR$51,MATCH((AN$3-1)*3+1,'Monthly CF'!$C$3:$DR$3,0))</f>
        <v>0</v>
      </c>
      <c r="AO41" s="196">
        <f t="array" ref="AO41">INDEX('Monthly CF'!$C$51:$DR$51,MATCH((AO$3-1)*3+1,'Monthly CF'!$C$3:$DR$3,0))</f>
        <v>0</v>
      </c>
      <c r="AP41" s="196">
        <f t="array" ref="AP41">INDEX('Monthly CF'!$C$51:$DR$51,MATCH((AP$3-1)*3+1,'Monthly CF'!$C$3:$DR$3,0))</f>
        <v>0</v>
      </c>
      <c r="AQ41" s="196" t="str">
        <f t="array" ref="AQ41">INDEX('Monthly CF'!$C$51:$DR$51,MATCH((AQ$3-1)*3+1,'Monthly CF'!$C$3:$DR$3,0))</f>
        <v>#N/A</v>
      </c>
    </row>
    <row r="42" ht="15.75" customHeight="1">
      <c r="A42" s="44"/>
      <c r="B42" s="96" t="s">
        <v>340</v>
      </c>
      <c r="C42" s="196">
        <f>SUMIF('Monthly CF'!$C$4:$DR$4,C$3,'Monthly CF'!$C$52:$DR$52)</f>
        <v>0</v>
      </c>
      <c r="D42" s="196">
        <f>SUMIF('Monthly CF'!$C$4:$DR$4,D$3,'Monthly CF'!$C$52:$DR$52)</f>
        <v>0</v>
      </c>
      <c r="E42" s="196">
        <f>SUMIF('Monthly CF'!$C$4:$DR$4,E$3,'Monthly CF'!$C$52:$DR$52)</f>
        <v>0</v>
      </c>
      <c r="F42" s="196">
        <f>SUMIF('Monthly CF'!$C$4:$DR$4,F$3,'Monthly CF'!$C$52:$DR$52)</f>
        <v>0</v>
      </c>
      <c r="G42" s="196">
        <f>SUMIF('Monthly CF'!$C$4:$DR$4,G$3,'Monthly CF'!$C$52:$DR$52)</f>
        <v>0</v>
      </c>
      <c r="H42" s="196">
        <f>SUMIF('Monthly CF'!$C$4:$DR$4,H$3,'Monthly CF'!$C$52:$DR$52)</f>
        <v>0</v>
      </c>
      <c r="I42" s="196">
        <f>SUMIF('Monthly CF'!$C$4:$DR$4,I$3,'Monthly CF'!$C$52:$DR$52)</f>
        <v>0</v>
      </c>
      <c r="J42" s="196">
        <f>SUMIF('Monthly CF'!$C$4:$DR$4,J$3,'Monthly CF'!$C$52:$DR$52)</f>
        <v>0</v>
      </c>
      <c r="K42" s="196">
        <f>SUMIF('Monthly CF'!$C$4:$DR$4,K$3,'Monthly CF'!$C$52:$DR$52)</f>
        <v>0</v>
      </c>
      <c r="L42" s="196">
        <f>SUMIF('Monthly CF'!$C$4:$DR$4,L$3,'Monthly CF'!$C$52:$DR$52)</f>
        <v>0</v>
      </c>
      <c r="M42" s="196">
        <f>SUMIF('Monthly CF'!$C$4:$DR$4,M$3,'Monthly CF'!$C$52:$DR$52)</f>
        <v>0</v>
      </c>
      <c r="N42" s="196">
        <f>SUMIF('Monthly CF'!$C$4:$DR$4,N$3,'Monthly CF'!$C$52:$DR$52)</f>
        <v>0</v>
      </c>
      <c r="O42" s="196">
        <f>SUMIF('Monthly CF'!$C$4:$DR$4,O$3,'Monthly CF'!$C$52:$DR$52)</f>
        <v>0</v>
      </c>
      <c r="P42" s="196">
        <f>SUMIF('Monthly CF'!$C$4:$DR$4,P$3,'Monthly CF'!$C$52:$DR$52)</f>
        <v>0</v>
      </c>
      <c r="Q42" s="196">
        <f>SUMIF('Monthly CF'!$C$4:$DR$4,Q$3,'Monthly CF'!$C$52:$DR$52)</f>
        <v>0</v>
      </c>
      <c r="R42" s="196">
        <f>SUMIF('Monthly CF'!$C$4:$DR$4,R$3,'Monthly CF'!$C$52:$DR$52)</f>
        <v>0</v>
      </c>
      <c r="S42" s="196">
        <f>SUMIF('Monthly CF'!$C$4:$DR$4,S$3,'Monthly CF'!$C$52:$DR$52)</f>
        <v>0</v>
      </c>
      <c r="T42" s="196">
        <f>SUMIF('Monthly CF'!$C$4:$DR$4,T$3,'Monthly CF'!$C$52:$DR$52)</f>
        <v>0</v>
      </c>
      <c r="U42" s="196">
        <f>SUMIF('Monthly CF'!$C$4:$DR$4,U$3,'Monthly CF'!$C$52:$DR$52)</f>
        <v>0</v>
      </c>
      <c r="V42" s="196">
        <f>SUMIF('Monthly CF'!$C$4:$DR$4,V$3,'Monthly CF'!$C$52:$DR$52)</f>
        <v>0</v>
      </c>
      <c r="W42" s="196">
        <f>SUMIF('Monthly CF'!$C$4:$DR$4,W$3,'Monthly CF'!$C$52:$DR$52)</f>
        <v>0</v>
      </c>
      <c r="X42" s="196">
        <f>SUMIF('Monthly CF'!$C$4:$DR$4,X$3,'Monthly CF'!$C$52:$DR$52)</f>
        <v>0</v>
      </c>
      <c r="Y42" s="196">
        <f>SUMIF('Monthly CF'!$C$4:$DR$4,Y$3,'Monthly CF'!$C$52:$DR$52)</f>
        <v>0</v>
      </c>
      <c r="Z42" s="196">
        <f>SUMIF('Monthly CF'!$C$4:$DR$4,Z$3,'Monthly CF'!$C$52:$DR$52)</f>
        <v>0</v>
      </c>
      <c r="AA42" s="196">
        <f>SUMIF('Monthly CF'!$C$4:$DR$4,AA$3,'Monthly CF'!$C$52:$DR$52)</f>
        <v>0</v>
      </c>
      <c r="AB42" s="196">
        <f>SUMIF('Monthly CF'!$C$4:$DR$4,AB$3,'Monthly CF'!$C$52:$DR$52)</f>
        <v>0</v>
      </c>
      <c r="AC42" s="196">
        <f>SUMIF('Monthly CF'!$C$4:$DR$4,AC$3,'Monthly CF'!$C$52:$DR$52)</f>
        <v>0</v>
      </c>
      <c r="AD42" s="196">
        <f>SUMIF('Monthly CF'!$C$4:$DR$4,AD$3,'Monthly CF'!$C$52:$DR$52)</f>
        <v>0</v>
      </c>
      <c r="AE42" s="196">
        <f>SUMIF('Monthly CF'!$C$4:$DR$4,AE$3,'Monthly CF'!$C$52:$DR$52)</f>
        <v>0</v>
      </c>
      <c r="AF42" s="196">
        <f>SUMIF('Monthly CF'!$C$4:$DR$4,AF$3,'Monthly CF'!$C$52:$DR$52)</f>
        <v>0</v>
      </c>
      <c r="AG42" s="196">
        <f>SUMIF('Monthly CF'!$C$4:$DR$4,AG$3,'Monthly CF'!$C$52:$DR$52)</f>
        <v>0</v>
      </c>
      <c r="AH42" s="196">
        <f>SUMIF('Monthly CF'!$C$4:$DR$4,AH$3,'Monthly CF'!$C$52:$DR$52)</f>
        <v>0</v>
      </c>
      <c r="AI42" s="196">
        <f>SUMIF('Monthly CF'!$C$4:$DR$4,AI$3,'Monthly CF'!$C$52:$DR$52)</f>
        <v>0</v>
      </c>
      <c r="AJ42" s="196">
        <f>SUMIF('Monthly CF'!$C$4:$DR$4,AJ$3,'Monthly CF'!$C$52:$DR$52)</f>
        <v>0</v>
      </c>
      <c r="AK42" s="196">
        <f>SUMIF('Monthly CF'!$C$4:$DR$4,AK$3,'Monthly CF'!$C$52:$DR$52)</f>
        <v>0</v>
      </c>
      <c r="AL42" s="196">
        <f>SUMIF('Monthly CF'!$C$4:$DR$4,AL$3,'Monthly CF'!$C$52:$DR$52)</f>
        <v>0</v>
      </c>
      <c r="AM42" s="196">
        <f>SUMIF('Monthly CF'!$C$4:$DR$4,AM$3,'Monthly CF'!$C$52:$DR$52)</f>
        <v>0</v>
      </c>
      <c r="AN42" s="196">
        <f>SUMIF('Monthly CF'!$C$4:$DR$4,AN$3,'Monthly CF'!$C$52:$DR$52)</f>
        <v>0</v>
      </c>
      <c r="AO42" s="196">
        <f>SUMIF('Monthly CF'!$C$4:$DR$4,AO$3,'Monthly CF'!$C$52:$DR$52)</f>
        <v>0</v>
      </c>
      <c r="AP42" s="196">
        <f>SUMIF('Monthly CF'!$C$4:$DR$4,AP$3,'Monthly CF'!$C$52:$DR$52)</f>
        <v>0</v>
      </c>
      <c r="AQ42" s="196">
        <f>SUMIF('Monthly CF'!$C$4:$DR$4,AQ$3,'Monthly CF'!$C$52:$DR$52)</f>
        <v>0</v>
      </c>
    </row>
    <row r="43" ht="15.75" customHeight="1">
      <c r="A43" s="44"/>
      <c r="B43" s="96" t="s">
        <v>341</v>
      </c>
      <c r="C43" s="196">
        <f>SUMIF('Monthly CF'!$C$4:$DR$4,C$3,'Monthly CF'!$C$53:$DR$53)</f>
        <v>0</v>
      </c>
      <c r="D43" s="196">
        <f>SUMIF('Monthly CF'!$C$4:$DR$4,D$3,'Monthly CF'!$C$53:$DR$53)</f>
        <v>0</v>
      </c>
      <c r="E43" s="196">
        <f>SUMIF('Monthly CF'!$C$4:$DR$4,E$3,'Monthly CF'!$C$53:$DR$53)</f>
        <v>0</v>
      </c>
      <c r="F43" s="196">
        <f>SUMIF('Monthly CF'!$C$4:$DR$4,F$3,'Monthly CF'!$C$53:$DR$53)</f>
        <v>0</v>
      </c>
      <c r="G43" s="196">
        <f>SUMIF('Monthly CF'!$C$4:$DR$4,G$3,'Monthly CF'!$C$53:$DR$53)</f>
        <v>0</v>
      </c>
      <c r="H43" s="196">
        <f>SUMIF('Monthly CF'!$C$4:$DR$4,H$3,'Monthly CF'!$C$53:$DR$53)</f>
        <v>0</v>
      </c>
      <c r="I43" s="196">
        <f>SUMIF('Monthly CF'!$C$4:$DR$4,I$3,'Monthly CF'!$C$53:$DR$53)</f>
        <v>0</v>
      </c>
      <c r="J43" s="196">
        <f>SUMIF('Monthly CF'!$C$4:$DR$4,J$3,'Monthly CF'!$C$53:$DR$53)</f>
        <v>0</v>
      </c>
      <c r="K43" s="196">
        <f>SUMIF('Monthly CF'!$C$4:$DR$4,K$3,'Monthly CF'!$C$53:$DR$53)</f>
        <v>0</v>
      </c>
      <c r="L43" s="196">
        <f>SUMIF('Monthly CF'!$C$4:$DR$4,L$3,'Monthly CF'!$C$53:$DR$53)</f>
        <v>0</v>
      </c>
      <c r="M43" s="196">
        <f>SUMIF('Monthly CF'!$C$4:$DR$4,M$3,'Monthly CF'!$C$53:$DR$53)</f>
        <v>0</v>
      </c>
      <c r="N43" s="196">
        <f>SUMIF('Monthly CF'!$C$4:$DR$4,N$3,'Monthly CF'!$C$53:$DR$53)</f>
        <v>0</v>
      </c>
      <c r="O43" s="196">
        <f>SUMIF('Monthly CF'!$C$4:$DR$4,O$3,'Monthly CF'!$C$53:$DR$53)</f>
        <v>0</v>
      </c>
      <c r="P43" s="196">
        <f>SUMIF('Monthly CF'!$C$4:$DR$4,P$3,'Monthly CF'!$C$53:$DR$53)</f>
        <v>0</v>
      </c>
      <c r="Q43" s="196">
        <f>SUMIF('Monthly CF'!$C$4:$DR$4,Q$3,'Monthly CF'!$C$53:$DR$53)</f>
        <v>0</v>
      </c>
      <c r="R43" s="196">
        <f>SUMIF('Monthly CF'!$C$4:$DR$4,R$3,'Monthly CF'!$C$53:$DR$53)</f>
        <v>0</v>
      </c>
      <c r="S43" s="196">
        <f>SUMIF('Monthly CF'!$C$4:$DR$4,S$3,'Monthly CF'!$C$53:$DR$53)</f>
        <v>0</v>
      </c>
      <c r="T43" s="196">
        <f>SUMIF('Monthly CF'!$C$4:$DR$4,T$3,'Monthly CF'!$C$53:$DR$53)</f>
        <v>0</v>
      </c>
      <c r="U43" s="196">
        <f>SUMIF('Monthly CF'!$C$4:$DR$4,U$3,'Monthly CF'!$C$53:$DR$53)</f>
        <v>0</v>
      </c>
      <c r="V43" s="196">
        <f>SUMIF('Monthly CF'!$C$4:$DR$4,V$3,'Monthly CF'!$C$53:$DR$53)</f>
        <v>0</v>
      </c>
      <c r="W43" s="196">
        <f>SUMIF('Monthly CF'!$C$4:$DR$4,W$3,'Monthly CF'!$C$53:$DR$53)</f>
        <v>0</v>
      </c>
      <c r="X43" s="196">
        <f>SUMIF('Monthly CF'!$C$4:$DR$4,X$3,'Monthly CF'!$C$53:$DR$53)</f>
        <v>0</v>
      </c>
      <c r="Y43" s="196">
        <f>SUMIF('Monthly CF'!$C$4:$DR$4,Y$3,'Monthly CF'!$C$53:$DR$53)</f>
        <v>0</v>
      </c>
      <c r="Z43" s="196">
        <f>SUMIF('Monthly CF'!$C$4:$DR$4,Z$3,'Monthly CF'!$C$53:$DR$53)</f>
        <v>0</v>
      </c>
      <c r="AA43" s="196">
        <f>SUMIF('Monthly CF'!$C$4:$DR$4,AA$3,'Monthly CF'!$C$53:$DR$53)</f>
        <v>0</v>
      </c>
      <c r="AB43" s="196">
        <f>SUMIF('Monthly CF'!$C$4:$DR$4,AB$3,'Monthly CF'!$C$53:$DR$53)</f>
        <v>0</v>
      </c>
      <c r="AC43" s="196">
        <f>SUMIF('Monthly CF'!$C$4:$DR$4,AC$3,'Monthly CF'!$C$53:$DR$53)</f>
        <v>0</v>
      </c>
      <c r="AD43" s="196">
        <f>SUMIF('Monthly CF'!$C$4:$DR$4,AD$3,'Monthly CF'!$C$53:$DR$53)</f>
        <v>0</v>
      </c>
      <c r="AE43" s="196">
        <f>SUMIF('Monthly CF'!$C$4:$DR$4,AE$3,'Monthly CF'!$C$53:$DR$53)</f>
        <v>0</v>
      </c>
      <c r="AF43" s="196">
        <f>SUMIF('Monthly CF'!$C$4:$DR$4,AF$3,'Monthly CF'!$C$53:$DR$53)</f>
        <v>0</v>
      </c>
      <c r="AG43" s="196">
        <f>SUMIF('Monthly CF'!$C$4:$DR$4,AG$3,'Monthly CF'!$C$53:$DR$53)</f>
        <v>0</v>
      </c>
      <c r="AH43" s="196">
        <f>SUMIF('Monthly CF'!$C$4:$DR$4,AH$3,'Monthly CF'!$C$53:$DR$53)</f>
        <v>0</v>
      </c>
      <c r="AI43" s="196">
        <f>SUMIF('Monthly CF'!$C$4:$DR$4,AI$3,'Monthly CF'!$C$53:$DR$53)</f>
        <v>0</v>
      </c>
      <c r="AJ43" s="196">
        <f>SUMIF('Monthly CF'!$C$4:$DR$4,AJ$3,'Monthly CF'!$C$53:$DR$53)</f>
        <v>0</v>
      </c>
      <c r="AK43" s="196">
        <f>SUMIF('Monthly CF'!$C$4:$DR$4,AK$3,'Monthly CF'!$C$53:$DR$53)</f>
        <v>0</v>
      </c>
      <c r="AL43" s="196">
        <f>SUMIF('Monthly CF'!$C$4:$DR$4,AL$3,'Monthly CF'!$C$53:$DR$53)</f>
        <v>0</v>
      </c>
      <c r="AM43" s="196">
        <f>SUMIF('Monthly CF'!$C$4:$DR$4,AM$3,'Monthly CF'!$C$53:$DR$53)</f>
        <v>0</v>
      </c>
      <c r="AN43" s="196">
        <f>SUMIF('Monthly CF'!$C$4:$DR$4,AN$3,'Monthly CF'!$C$53:$DR$53)</f>
        <v>0</v>
      </c>
      <c r="AO43" s="196">
        <f>SUMIF('Monthly CF'!$C$4:$DR$4,AO$3,'Monthly CF'!$C$53:$DR$53)</f>
        <v>0</v>
      </c>
      <c r="AP43" s="196">
        <f>SUMIF('Monthly CF'!$C$4:$DR$4,AP$3,'Monthly CF'!$C$53:$DR$53)</f>
        <v>0</v>
      </c>
      <c r="AQ43" s="196">
        <f>SUMIF('Monthly CF'!$C$4:$DR$4,AQ$3,'Monthly CF'!$C$53:$DR$53)</f>
        <v>0</v>
      </c>
    </row>
    <row r="44" ht="15.75" customHeight="1">
      <c r="A44" s="44"/>
      <c r="B44" s="96" t="s">
        <v>342</v>
      </c>
      <c r="C44" s="196">
        <f>SUMIF('Monthly CF'!$C$4:$DR$4,C$3,'Monthly CF'!$C$54:$DR$54)</f>
        <v>0</v>
      </c>
      <c r="D44" s="196">
        <f>SUMIF('Monthly CF'!$C$4:$DR$4,D$3,'Monthly CF'!$C$54:$DR$54)</f>
        <v>0</v>
      </c>
      <c r="E44" s="196">
        <f>SUMIF('Monthly CF'!$C$4:$DR$4,E$3,'Monthly CF'!$C$54:$DR$54)</f>
        <v>0</v>
      </c>
      <c r="F44" s="196">
        <f>SUMIF('Monthly CF'!$C$4:$DR$4,F$3,'Monthly CF'!$C$54:$DR$54)</f>
        <v>0</v>
      </c>
      <c r="G44" s="196">
        <f>SUMIF('Monthly CF'!$C$4:$DR$4,G$3,'Monthly CF'!$C$54:$DR$54)</f>
        <v>0</v>
      </c>
      <c r="H44" s="196">
        <f>SUMIF('Monthly CF'!$C$4:$DR$4,H$3,'Monthly CF'!$C$54:$DR$54)</f>
        <v>0</v>
      </c>
      <c r="I44" s="196">
        <f>SUMIF('Monthly CF'!$C$4:$DR$4,I$3,'Monthly CF'!$C$54:$DR$54)</f>
        <v>0</v>
      </c>
      <c r="J44" s="196">
        <f>SUMIF('Monthly CF'!$C$4:$DR$4,J$3,'Monthly CF'!$C$54:$DR$54)</f>
        <v>0</v>
      </c>
      <c r="K44" s="196">
        <f>SUMIF('Monthly CF'!$C$4:$DR$4,K$3,'Monthly CF'!$C$54:$DR$54)</f>
        <v>0</v>
      </c>
      <c r="L44" s="196">
        <f>SUMIF('Monthly CF'!$C$4:$DR$4,L$3,'Monthly CF'!$C$54:$DR$54)</f>
        <v>0</v>
      </c>
      <c r="M44" s="196">
        <f>SUMIF('Monthly CF'!$C$4:$DR$4,M$3,'Monthly CF'!$C$54:$DR$54)</f>
        <v>0</v>
      </c>
      <c r="N44" s="196">
        <f>SUMIF('Monthly CF'!$C$4:$DR$4,N$3,'Monthly CF'!$C$54:$DR$54)</f>
        <v>0</v>
      </c>
      <c r="O44" s="196">
        <f>SUMIF('Monthly CF'!$C$4:$DR$4,O$3,'Monthly CF'!$C$54:$DR$54)</f>
        <v>0</v>
      </c>
      <c r="P44" s="196">
        <f>SUMIF('Monthly CF'!$C$4:$DR$4,P$3,'Monthly CF'!$C$54:$DR$54)</f>
        <v>0</v>
      </c>
      <c r="Q44" s="196">
        <f>SUMIF('Monthly CF'!$C$4:$DR$4,Q$3,'Monthly CF'!$C$54:$DR$54)</f>
        <v>0</v>
      </c>
      <c r="R44" s="196">
        <f>SUMIF('Monthly CF'!$C$4:$DR$4,R$3,'Monthly CF'!$C$54:$DR$54)</f>
        <v>0</v>
      </c>
      <c r="S44" s="196">
        <f>SUMIF('Monthly CF'!$C$4:$DR$4,S$3,'Monthly CF'!$C$54:$DR$54)</f>
        <v>0</v>
      </c>
      <c r="T44" s="196">
        <f>SUMIF('Monthly CF'!$C$4:$DR$4,T$3,'Monthly CF'!$C$54:$DR$54)</f>
        <v>0</v>
      </c>
      <c r="U44" s="196">
        <f>SUMIF('Monthly CF'!$C$4:$DR$4,U$3,'Monthly CF'!$C$54:$DR$54)</f>
        <v>0</v>
      </c>
      <c r="V44" s="196">
        <f>SUMIF('Monthly CF'!$C$4:$DR$4,V$3,'Monthly CF'!$C$54:$DR$54)</f>
        <v>0</v>
      </c>
      <c r="W44" s="196">
        <f>SUMIF('Monthly CF'!$C$4:$DR$4,W$3,'Monthly CF'!$C$54:$DR$54)</f>
        <v>0</v>
      </c>
      <c r="X44" s="196">
        <f>SUMIF('Monthly CF'!$C$4:$DR$4,X$3,'Monthly CF'!$C$54:$DR$54)</f>
        <v>0</v>
      </c>
      <c r="Y44" s="196">
        <f>SUMIF('Monthly CF'!$C$4:$DR$4,Y$3,'Monthly CF'!$C$54:$DR$54)</f>
        <v>0</v>
      </c>
      <c r="Z44" s="196">
        <f>SUMIF('Monthly CF'!$C$4:$DR$4,Z$3,'Monthly CF'!$C$54:$DR$54)</f>
        <v>0</v>
      </c>
      <c r="AA44" s="196">
        <f>SUMIF('Monthly CF'!$C$4:$DR$4,AA$3,'Monthly CF'!$C$54:$DR$54)</f>
        <v>0</v>
      </c>
      <c r="AB44" s="196">
        <f>SUMIF('Monthly CF'!$C$4:$DR$4,AB$3,'Monthly CF'!$C$54:$DR$54)</f>
        <v>0</v>
      </c>
      <c r="AC44" s="196">
        <f>SUMIF('Monthly CF'!$C$4:$DR$4,AC$3,'Monthly CF'!$C$54:$DR$54)</f>
        <v>0</v>
      </c>
      <c r="AD44" s="196">
        <f>SUMIF('Monthly CF'!$C$4:$DR$4,AD$3,'Monthly CF'!$C$54:$DR$54)</f>
        <v>0</v>
      </c>
      <c r="AE44" s="196">
        <f>SUMIF('Monthly CF'!$C$4:$DR$4,AE$3,'Monthly CF'!$C$54:$DR$54)</f>
        <v>0</v>
      </c>
      <c r="AF44" s="196">
        <f>SUMIF('Monthly CF'!$C$4:$DR$4,AF$3,'Monthly CF'!$C$54:$DR$54)</f>
        <v>0</v>
      </c>
      <c r="AG44" s="196">
        <f>SUMIF('Monthly CF'!$C$4:$DR$4,AG$3,'Monthly CF'!$C$54:$DR$54)</f>
        <v>0</v>
      </c>
      <c r="AH44" s="196">
        <f>SUMIF('Monthly CF'!$C$4:$DR$4,AH$3,'Monthly CF'!$C$54:$DR$54)</f>
        <v>0</v>
      </c>
      <c r="AI44" s="196">
        <f>SUMIF('Monthly CF'!$C$4:$DR$4,AI$3,'Monthly CF'!$C$54:$DR$54)</f>
        <v>0</v>
      </c>
      <c r="AJ44" s="196">
        <f>SUMIF('Monthly CF'!$C$4:$DR$4,AJ$3,'Monthly CF'!$C$54:$DR$54)</f>
        <v>0</v>
      </c>
      <c r="AK44" s="196">
        <f>SUMIF('Monthly CF'!$C$4:$DR$4,AK$3,'Monthly CF'!$C$54:$DR$54)</f>
        <v>0</v>
      </c>
      <c r="AL44" s="196">
        <f>SUMIF('Monthly CF'!$C$4:$DR$4,AL$3,'Monthly CF'!$C$54:$DR$54)</f>
        <v>0</v>
      </c>
      <c r="AM44" s="196">
        <f>SUMIF('Monthly CF'!$C$4:$DR$4,AM$3,'Monthly CF'!$C$54:$DR$54)</f>
        <v>0</v>
      </c>
      <c r="AN44" s="196">
        <f>SUMIF('Monthly CF'!$C$4:$DR$4,AN$3,'Monthly CF'!$C$54:$DR$54)</f>
        <v>0</v>
      </c>
      <c r="AO44" s="196">
        <f>SUMIF('Monthly CF'!$C$4:$DR$4,AO$3,'Monthly CF'!$C$54:$DR$54)</f>
        <v>0</v>
      </c>
      <c r="AP44" s="196">
        <f>SUMIF('Monthly CF'!$C$4:$DR$4,AP$3,'Monthly CF'!$C$54:$DR$54)</f>
        <v>0</v>
      </c>
      <c r="AQ44" s="196">
        <f>SUMIF('Monthly CF'!$C$4:$DR$4,AQ$3,'Monthly CF'!$C$54:$DR$54)</f>
        <v>0</v>
      </c>
    </row>
    <row r="45" ht="15.75" customHeight="1">
      <c r="A45" s="44"/>
      <c r="B45" s="96" t="s">
        <v>347</v>
      </c>
      <c r="C45" s="196">
        <f>SUMIF('Monthly CF'!$C$4:$DR$4,C$3,'Monthly CF'!$C$55:$DR$55)</f>
        <v>0</v>
      </c>
      <c r="D45" s="196">
        <f>SUMIF('Monthly CF'!$C$4:$DR$4,D$3,'Monthly CF'!$C$55:$DR$55)</f>
        <v>0</v>
      </c>
      <c r="E45" s="196">
        <f>SUMIF('Monthly CF'!$C$4:$DR$4,E$3,'Monthly CF'!$C$55:$DR$55)</f>
        <v>0</v>
      </c>
      <c r="F45" s="196">
        <f>SUMIF('Monthly CF'!$C$4:$DR$4,F$3,'Monthly CF'!$C$55:$DR$55)</f>
        <v>0</v>
      </c>
      <c r="G45" s="196">
        <f>SUMIF('Monthly CF'!$C$4:$DR$4,G$3,'Monthly CF'!$C$55:$DR$55)</f>
        <v>0</v>
      </c>
      <c r="H45" s="196">
        <f>SUMIF('Monthly CF'!$C$4:$DR$4,H$3,'Monthly CF'!$C$55:$DR$55)</f>
        <v>0</v>
      </c>
      <c r="I45" s="196">
        <f>SUMIF('Monthly CF'!$C$4:$DR$4,I$3,'Monthly CF'!$C$55:$DR$55)</f>
        <v>0</v>
      </c>
      <c r="J45" s="196">
        <f>SUMIF('Monthly CF'!$C$4:$DR$4,J$3,'Monthly CF'!$C$55:$DR$55)</f>
        <v>0</v>
      </c>
      <c r="K45" s="196">
        <f>SUMIF('Monthly CF'!$C$4:$DR$4,K$3,'Monthly CF'!$C$55:$DR$55)</f>
        <v>0</v>
      </c>
      <c r="L45" s="196">
        <f>SUMIF('Monthly CF'!$C$4:$DR$4,L$3,'Monthly CF'!$C$55:$DR$55)</f>
        <v>0</v>
      </c>
      <c r="M45" s="196">
        <f>SUMIF('Monthly CF'!$C$4:$DR$4,M$3,'Monthly CF'!$C$55:$DR$55)</f>
        <v>0</v>
      </c>
      <c r="N45" s="196">
        <f>SUMIF('Monthly CF'!$C$4:$DR$4,N$3,'Monthly CF'!$C$55:$DR$55)</f>
        <v>0</v>
      </c>
      <c r="O45" s="196">
        <f>SUMIF('Monthly CF'!$C$4:$DR$4,O$3,'Monthly CF'!$C$55:$DR$55)</f>
        <v>0</v>
      </c>
      <c r="P45" s="196">
        <f>SUMIF('Monthly CF'!$C$4:$DR$4,P$3,'Monthly CF'!$C$55:$DR$55)</f>
        <v>0</v>
      </c>
      <c r="Q45" s="196">
        <f>SUMIF('Monthly CF'!$C$4:$DR$4,Q$3,'Monthly CF'!$C$55:$DR$55)</f>
        <v>0</v>
      </c>
      <c r="R45" s="196">
        <f>SUMIF('Monthly CF'!$C$4:$DR$4,R$3,'Monthly CF'!$C$55:$DR$55)</f>
        <v>0</v>
      </c>
      <c r="S45" s="196">
        <f>SUMIF('Monthly CF'!$C$4:$DR$4,S$3,'Monthly CF'!$C$55:$DR$55)</f>
        <v>0</v>
      </c>
      <c r="T45" s="196">
        <f>SUMIF('Monthly CF'!$C$4:$DR$4,T$3,'Monthly CF'!$C$55:$DR$55)</f>
        <v>0</v>
      </c>
      <c r="U45" s="196">
        <f>SUMIF('Monthly CF'!$C$4:$DR$4,U$3,'Monthly CF'!$C$55:$DR$55)</f>
        <v>0</v>
      </c>
      <c r="V45" s="196">
        <f>SUMIF('Monthly CF'!$C$4:$DR$4,V$3,'Monthly CF'!$C$55:$DR$55)</f>
        <v>0</v>
      </c>
      <c r="W45" s="196">
        <f>SUMIF('Monthly CF'!$C$4:$DR$4,W$3,'Monthly CF'!$C$55:$DR$55)</f>
        <v>0</v>
      </c>
      <c r="X45" s="196">
        <f>SUMIF('Monthly CF'!$C$4:$DR$4,X$3,'Monthly CF'!$C$55:$DR$55)</f>
        <v>0</v>
      </c>
      <c r="Y45" s="196">
        <f>SUMIF('Monthly CF'!$C$4:$DR$4,Y$3,'Monthly CF'!$C$55:$DR$55)</f>
        <v>0</v>
      </c>
      <c r="Z45" s="196">
        <f>SUMIF('Monthly CF'!$C$4:$DR$4,Z$3,'Monthly CF'!$C$55:$DR$55)</f>
        <v>0</v>
      </c>
      <c r="AA45" s="196">
        <f>SUMIF('Monthly CF'!$C$4:$DR$4,AA$3,'Monthly CF'!$C$55:$DR$55)</f>
        <v>0</v>
      </c>
      <c r="AB45" s="196">
        <f>SUMIF('Monthly CF'!$C$4:$DR$4,AB$3,'Monthly CF'!$C$55:$DR$55)</f>
        <v>0</v>
      </c>
      <c r="AC45" s="196">
        <f>SUMIF('Monthly CF'!$C$4:$DR$4,AC$3,'Monthly CF'!$C$55:$DR$55)</f>
        <v>0</v>
      </c>
      <c r="AD45" s="196">
        <f>SUMIF('Monthly CF'!$C$4:$DR$4,AD$3,'Monthly CF'!$C$55:$DR$55)</f>
        <v>0</v>
      </c>
      <c r="AE45" s="196">
        <f>SUMIF('Monthly CF'!$C$4:$DR$4,AE$3,'Monthly CF'!$C$55:$DR$55)</f>
        <v>0</v>
      </c>
      <c r="AF45" s="196">
        <f>SUMIF('Monthly CF'!$C$4:$DR$4,AF$3,'Monthly CF'!$C$55:$DR$55)</f>
        <v>0</v>
      </c>
      <c r="AG45" s="196">
        <f>SUMIF('Monthly CF'!$C$4:$DR$4,AG$3,'Monthly CF'!$C$55:$DR$55)</f>
        <v>0</v>
      </c>
      <c r="AH45" s="196">
        <f>SUMIF('Monthly CF'!$C$4:$DR$4,AH$3,'Monthly CF'!$C$55:$DR$55)</f>
        <v>0</v>
      </c>
      <c r="AI45" s="196">
        <f>SUMIF('Monthly CF'!$C$4:$DR$4,AI$3,'Monthly CF'!$C$55:$DR$55)</f>
        <v>0</v>
      </c>
      <c r="AJ45" s="196">
        <f>SUMIF('Monthly CF'!$C$4:$DR$4,AJ$3,'Monthly CF'!$C$55:$DR$55)</f>
        <v>0</v>
      </c>
      <c r="AK45" s="196">
        <f>SUMIF('Monthly CF'!$C$4:$DR$4,AK$3,'Monthly CF'!$C$55:$DR$55)</f>
        <v>0</v>
      </c>
      <c r="AL45" s="196">
        <f>SUMIF('Monthly CF'!$C$4:$DR$4,AL$3,'Monthly CF'!$C$55:$DR$55)</f>
        <v>0</v>
      </c>
      <c r="AM45" s="196">
        <f>SUMIF('Monthly CF'!$C$4:$DR$4,AM$3,'Monthly CF'!$C$55:$DR$55)</f>
        <v>0</v>
      </c>
      <c r="AN45" s="196">
        <f>SUMIF('Monthly CF'!$C$4:$DR$4,AN$3,'Monthly CF'!$C$55:$DR$55)</f>
        <v>0</v>
      </c>
      <c r="AO45" s="196">
        <f>SUMIF('Monthly CF'!$C$4:$DR$4,AO$3,'Monthly CF'!$C$55:$DR$55)</f>
        <v>0</v>
      </c>
      <c r="AP45" s="196">
        <f>SUMIF('Monthly CF'!$C$4:$DR$4,AP$3,'Monthly CF'!$C$55:$DR$55)</f>
        <v>0</v>
      </c>
      <c r="AQ45" s="196">
        <f>SUMIF('Monthly CF'!$C$4:$DR$4,AQ$3,'Monthly CF'!$C$55:$DR$55)</f>
        <v>0</v>
      </c>
    </row>
    <row r="46" ht="15.75" customHeight="1">
      <c r="A46" s="44"/>
      <c r="B46" s="121" t="s">
        <v>344</v>
      </c>
      <c r="C46" s="197">
        <f t="array" ref="C46">INDEX('Monthly CF'!$C$56:$DR$56,MATCH(C$3*3,'Monthly CF'!$C$3:$DR$3,0))</f>
        <v>0</v>
      </c>
      <c r="D46" s="197">
        <f t="array" ref="D46">INDEX('Monthly CF'!$C$56:$DR$56,MATCH(D$3*3,'Monthly CF'!$C$3:$DR$3,0))</f>
        <v>0</v>
      </c>
      <c r="E46" s="197">
        <f t="array" ref="E46">INDEX('Monthly CF'!$C$56:$DR$56,MATCH(E$3*3,'Monthly CF'!$C$3:$DR$3,0))</f>
        <v>0</v>
      </c>
      <c r="F46" s="197">
        <f t="array" ref="F46">INDEX('Monthly CF'!$C$56:$DR$56,MATCH(F$3*3,'Monthly CF'!$C$3:$DR$3,0))</f>
        <v>0</v>
      </c>
      <c r="G46" s="197">
        <f t="array" ref="G46">INDEX('Monthly CF'!$C$56:$DR$56,MATCH(G$3*3,'Monthly CF'!$C$3:$DR$3,0))</f>
        <v>0</v>
      </c>
      <c r="H46" s="197">
        <f t="array" ref="H46">INDEX('Monthly CF'!$C$56:$DR$56,MATCH(H$3*3,'Monthly CF'!$C$3:$DR$3,0))</f>
        <v>0</v>
      </c>
      <c r="I46" s="197">
        <f t="array" ref="I46">INDEX('Monthly CF'!$C$56:$DR$56,MATCH(I$3*3,'Monthly CF'!$C$3:$DR$3,0))</f>
        <v>0</v>
      </c>
      <c r="J46" s="197">
        <f t="array" ref="J46">INDEX('Monthly CF'!$C$56:$DR$56,MATCH(J$3*3,'Monthly CF'!$C$3:$DR$3,0))</f>
        <v>0</v>
      </c>
      <c r="K46" s="197">
        <f t="array" ref="K46">INDEX('Monthly CF'!$C$56:$DR$56,MATCH(K$3*3,'Monthly CF'!$C$3:$DR$3,0))</f>
        <v>0</v>
      </c>
      <c r="L46" s="197">
        <f t="array" ref="L46">INDEX('Monthly CF'!$C$56:$DR$56,MATCH(L$3*3,'Monthly CF'!$C$3:$DR$3,0))</f>
        <v>0</v>
      </c>
      <c r="M46" s="197">
        <f t="array" ref="M46">INDEX('Monthly CF'!$C$56:$DR$56,MATCH(M$3*3,'Monthly CF'!$C$3:$DR$3,0))</f>
        <v>0</v>
      </c>
      <c r="N46" s="197">
        <f t="array" ref="N46">INDEX('Monthly CF'!$C$56:$DR$56,MATCH(N$3*3,'Monthly CF'!$C$3:$DR$3,0))</f>
        <v>0</v>
      </c>
      <c r="O46" s="197">
        <f t="array" ref="O46">INDEX('Monthly CF'!$C$56:$DR$56,MATCH(O$3*3,'Monthly CF'!$C$3:$DR$3,0))</f>
        <v>0</v>
      </c>
      <c r="P46" s="197">
        <f t="array" ref="P46">INDEX('Monthly CF'!$C$56:$DR$56,MATCH(P$3*3,'Monthly CF'!$C$3:$DR$3,0))</f>
        <v>0</v>
      </c>
      <c r="Q46" s="197">
        <f t="array" ref="Q46">INDEX('Monthly CF'!$C$56:$DR$56,MATCH(Q$3*3,'Monthly CF'!$C$3:$DR$3,0))</f>
        <v>0</v>
      </c>
      <c r="R46" s="197">
        <f t="array" ref="R46">INDEX('Monthly CF'!$C$56:$DR$56,MATCH(R$3*3,'Monthly CF'!$C$3:$DR$3,0))</f>
        <v>0</v>
      </c>
      <c r="S46" s="197">
        <f t="array" ref="S46">INDEX('Monthly CF'!$C$56:$DR$56,MATCH(S$3*3,'Monthly CF'!$C$3:$DR$3,0))</f>
        <v>0</v>
      </c>
      <c r="T46" s="197">
        <f t="array" ref="T46">INDEX('Monthly CF'!$C$56:$DR$56,MATCH(T$3*3,'Monthly CF'!$C$3:$DR$3,0))</f>
        <v>0</v>
      </c>
      <c r="U46" s="197">
        <f t="array" ref="U46">INDEX('Monthly CF'!$C$56:$DR$56,MATCH(U$3*3,'Monthly CF'!$C$3:$DR$3,0))</f>
        <v>0</v>
      </c>
      <c r="V46" s="197">
        <f t="array" ref="V46">INDEX('Monthly CF'!$C$56:$DR$56,MATCH(V$3*3,'Monthly CF'!$C$3:$DR$3,0))</f>
        <v>0</v>
      </c>
      <c r="W46" s="197">
        <f t="array" ref="W46">INDEX('Monthly CF'!$C$56:$DR$56,MATCH(W$3*3,'Monthly CF'!$C$3:$DR$3,0))</f>
        <v>0</v>
      </c>
      <c r="X46" s="197">
        <f t="array" ref="X46">INDEX('Monthly CF'!$C$56:$DR$56,MATCH(X$3*3,'Monthly CF'!$C$3:$DR$3,0))</f>
        <v>0</v>
      </c>
      <c r="Y46" s="197">
        <f t="array" ref="Y46">INDEX('Monthly CF'!$C$56:$DR$56,MATCH(Y$3*3,'Monthly CF'!$C$3:$DR$3,0))</f>
        <v>0</v>
      </c>
      <c r="Z46" s="197">
        <f t="array" ref="Z46">INDEX('Monthly CF'!$C$56:$DR$56,MATCH(Z$3*3,'Monthly CF'!$C$3:$DR$3,0))</f>
        <v>0</v>
      </c>
      <c r="AA46" s="197">
        <f t="array" ref="AA46">INDEX('Monthly CF'!$C$56:$DR$56,MATCH(AA$3*3,'Monthly CF'!$C$3:$DR$3,0))</f>
        <v>0</v>
      </c>
      <c r="AB46" s="197">
        <f t="array" ref="AB46">INDEX('Monthly CF'!$C$56:$DR$56,MATCH(AB$3*3,'Monthly CF'!$C$3:$DR$3,0))</f>
        <v>0</v>
      </c>
      <c r="AC46" s="197">
        <f t="array" ref="AC46">INDEX('Monthly CF'!$C$56:$DR$56,MATCH(AC$3*3,'Monthly CF'!$C$3:$DR$3,0))</f>
        <v>0</v>
      </c>
      <c r="AD46" s="197">
        <f t="array" ref="AD46">INDEX('Monthly CF'!$C$56:$DR$56,MATCH(AD$3*3,'Monthly CF'!$C$3:$DR$3,0))</f>
        <v>0</v>
      </c>
      <c r="AE46" s="197">
        <f t="array" ref="AE46">INDEX('Monthly CF'!$C$56:$DR$56,MATCH(AE$3*3,'Monthly CF'!$C$3:$DR$3,0))</f>
        <v>0</v>
      </c>
      <c r="AF46" s="197">
        <f t="array" ref="AF46">INDEX('Monthly CF'!$C$56:$DR$56,MATCH(AF$3*3,'Monthly CF'!$C$3:$DR$3,0))</f>
        <v>0</v>
      </c>
      <c r="AG46" s="197">
        <f t="array" ref="AG46">INDEX('Monthly CF'!$C$56:$DR$56,MATCH(AG$3*3,'Monthly CF'!$C$3:$DR$3,0))</f>
        <v>0</v>
      </c>
      <c r="AH46" s="197">
        <f t="array" ref="AH46">INDEX('Monthly CF'!$C$56:$DR$56,MATCH(AH$3*3,'Monthly CF'!$C$3:$DR$3,0))</f>
        <v>0</v>
      </c>
      <c r="AI46" s="197">
        <f t="array" ref="AI46">INDEX('Monthly CF'!$C$56:$DR$56,MATCH(AI$3*3,'Monthly CF'!$C$3:$DR$3,0))</f>
        <v>0</v>
      </c>
      <c r="AJ46" s="197">
        <f t="array" ref="AJ46">INDEX('Monthly CF'!$C$56:$DR$56,MATCH(AJ$3*3,'Monthly CF'!$C$3:$DR$3,0))</f>
        <v>0</v>
      </c>
      <c r="AK46" s="197">
        <f t="array" ref="AK46">INDEX('Monthly CF'!$C$56:$DR$56,MATCH(AK$3*3,'Monthly CF'!$C$3:$DR$3,0))</f>
        <v>0</v>
      </c>
      <c r="AL46" s="197">
        <f t="array" ref="AL46">INDEX('Monthly CF'!$C$56:$DR$56,MATCH(AL$3*3,'Monthly CF'!$C$3:$DR$3,0))</f>
        <v>0</v>
      </c>
      <c r="AM46" s="197">
        <f t="array" ref="AM46">INDEX('Monthly CF'!$C$56:$DR$56,MATCH(AM$3*3,'Monthly CF'!$C$3:$DR$3,0))</f>
        <v>0</v>
      </c>
      <c r="AN46" s="197">
        <f t="array" ref="AN46">INDEX('Monthly CF'!$C$56:$DR$56,MATCH(AN$3*3,'Monthly CF'!$C$3:$DR$3,0))</f>
        <v>0</v>
      </c>
      <c r="AO46" s="197">
        <f t="array" ref="AO46">INDEX('Monthly CF'!$C$56:$DR$56,MATCH(AO$3*3,'Monthly CF'!$C$3:$DR$3,0))</f>
        <v>0</v>
      </c>
      <c r="AP46" s="197">
        <f t="array" ref="AP46">INDEX('Monthly CF'!$C$56:$DR$56,MATCH(AP$3*3,'Monthly CF'!$C$3:$DR$3,0))</f>
        <v>0</v>
      </c>
      <c r="AQ46" s="197" t="str">
        <f t="array" ref="AQ46">INDEX('Monthly CF'!$C$56:$DR$56,MATCH(AQ$3*3,'Monthly CF'!$C$3:$DR$3,0))</f>
        <v>#N/A</v>
      </c>
    </row>
    <row r="47" ht="15.75" customHeight="1">
      <c r="A47" s="44"/>
      <c r="B47" s="96" t="s">
        <v>348</v>
      </c>
      <c r="C47" s="198">
        <f>SUMIF('Monthly CF'!$C$4:$DR$4,C$3,'Monthly CF'!$C$57:$DR$57)</f>
        <v>0</v>
      </c>
      <c r="D47" s="198">
        <f>SUMIF('Monthly CF'!$C$4:$DR$4,D$3,'Monthly CF'!$C$57:$DR$57)</f>
        <v>0</v>
      </c>
      <c r="E47" s="198">
        <f>SUMIF('Monthly CF'!$C$4:$DR$4,E$3,'Monthly CF'!$C$57:$DR$57)</f>
        <v>0</v>
      </c>
      <c r="F47" s="198">
        <f>SUMIF('Monthly CF'!$C$4:$DR$4,F$3,'Monthly CF'!$C$57:$DR$57)</f>
        <v>0</v>
      </c>
      <c r="G47" s="198">
        <f>SUMIF('Monthly CF'!$C$4:$DR$4,G$3,'Monthly CF'!$C$57:$DR$57)</f>
        <v>0</v>
      </c>
      <c r="H47" s="198">
        <f>SUMIF('Monthly CF'!$C$4:$DR$4,H$3,'Monthly CF'!$C$57:$DR$57)</f>
        <v>0</v>
      </c>
      <c r="I47" s="198">
        <f>SUMIF('Monthly CF'!$C$4:$DR$4,I$3,'Monthly CF'!$C$57:$DR$57)</f>
        <v>0</v>
      </c>
      <c r="J47" s="198">
        <f>SUMIF('Monthly CF'!$C$4:$DR$4,J$3,'Monthly CF'!$C$57:$DR$57)</f>
        <v>0</v>
      </c>
      <c r="K47" s="198">
        <f>SUMIF('Monthly CF'!$C$4:$DR$4,K$3,'Monthly CF'!$C$57:$DR$57)</f>
        <v>0</v>
      </c>
      <c r="L47" s="198">
        <f>SUMIF('Monthly CF'!$C$4:$DR$4,L$3,'Monthly CF'!$C$57:$DR$57)</f>
        <v>0</v>
      </c>
      <c r="M47" s="198">
        <f>SUMIF('Monthly CF'!$C$4:$DR$4,M$3,'Monthly CF'!$C$57:$DR$57)</f>
        <v>0</v>
      </c>
      <c r="N47" s="198">
        <f>SUMIF('Monthly CF'!$C$4:$DR$4,N$3,'Monthly CF'!$C$57:$DR$57)</f>
        <v>0</v>
      </c>
      <c r="O47" s="198">
        <f>SUMIF('Monthly CF'!$C$4:$DR$4,O$3,'Monthly CF'!$C$57:$DR$57)</f>
        <v>0</v>
      </c>
      <c r="P47" s="198">
        <f>SUMIF('Monthly CF'!$C$4:$DR$4,P$3,'Monthly CF'!$C$57:$DR$57)</f>
        <v>0</v>
      </c>
      <c r="Q47" s="198">
        <f>SUMIF('Monthly CF'!$C$4:$DR$4,Q$3,'Monthly CF'!$C$57:$DR$57)</f>
        <v>0</v>
      </c>
      <c r="R47" s="198">
        <f>SUMIF('Monthly CF'!$C$4:$DR$4,R$3,'Monthly CF'!$C$57:$DR$57)</f>
        <v>0</v>
      </c>
      <c r="S47" s="198">
        <f>SUMIF('Monthly CF'!$C$4:$DR$4,S$3,'Monthly CF'!$C$57:$DR$57)</f>
        <v>0</v>
      </c>
      <c r="T47" s="198">
        <f>SUMIF('Monthly CF'!$C$4:$DR$4,T$3,'Monthly CF'!$C$57:$DR$57)</f>
        <v>0</v>
      </c>
      <c r="U47" s="198">
        <f>SUMIF('Monthly CF'!$C$4:$DR$4,U$3,'Monthly CF'!$C$57:$DR$57)</f>
        <v>0</v>
      </c>
      <c r="V47" s="198">
        <f>SUMIF('Monthly CF'!$C$4:$DR$4,V$3,'Monthly CF'!$C$57:$DR$57)</f>
        <v>0</v>
      </c>
      <c r="W47" s="198">
        <f>SUMIF('Monthly CF'!$C$4:$DR$4,W$3,'Monthly CF'!$C$57:$DR$57)</f>
        <v>0</v>
      </c>
      <c r="X47" s="198">
        <f>SUMIF('Monthly CF'!$C$4:$DR$4,X$3,'Monthly CF'!$C$57:$DR$57)</f>
        <v>0</v>
      </c>
      <c r="Y47" s="198">
        <f>SUMIF('Monthly CF'!$C$4:$DR$4,Y$3,'Monthly CF'!$C$57:$DR$57)</f>
        <v>0</v>
      </c>
      <c r="Z47" s="198">
        <f>SUMIF('Monthly CF'!$C$4:$DR$4,Z$3,'Monthly CF'!$C$57:$DR$57)</f>
        <v>0</v>
      </c>
      <c r="AA47" s="198">
        <f>SUMIF('Monthly CF'!$C$4:$DR$4,AA$3,'Monthly CF'!$C$57:$DR$57)</f>
        <v>0</v>
      </c>
      <c r="AB47" s="198">
        <f>SUMIF('Monthly CF'!$C$4:$DR$4,AB$3,'Monthly CF'!$C$57:$DR$57)</f>
        <v>0</v>
      </c>
      <c r="AC47" s="198">
        <f>SUMIF('Monthly CF'!$C$4:$DR$4,AC$3,'Monthly CF'!$C$57:$DR$57)</f>
        <v>0</v>
      </c>
      <c r="AD47" s="198">
        <f>SUMIF('Monthly CF'!$C$4:$DR$4,AD$3,'Monthly CF'!$C$57:$DR$57)</f>
        <v>0</v>
      </c>
      <c r="AE47" s="198">
        <f>SUMIF('Monthly CF'!$C$4:$DR$4,AE$3,'Monthly CF'!$C$57:$DR$57)</f>
        <v>0</v>
      </c>
      <c r="AF47" s="198">
        <f>SUMIF('Monthly CF'!$C$4:$DR$4,AF$3,'Monthly CF'!$C$57:$DR$57)</f>
        <v>0</v>
      </c>
      <c r="AG47" s="198">
        <f>SUMIF('Monthly CF'!$C$4:$DR$4,AG$3,'Monthly CF'!$C$57:$DR$57)</f>
        <v>0</v>
      </c>
      <c r="AH47" s="198">
        <f>SUMIF('Monthly CF'!$C$4:$DR$4,AH$3,'Monthly CF'!$C$57:$DR$57)</f>
        <v>0</v>
      </c>
      <c r="AI47" s="198">
        <f>SUMIF('Monthly CF'!$C$4:$DR$4,AI$3,'Monthly CF'!$C$57:$DR$57)</f>
        <v>0</v>
      </c>
      <c r="AJ47" s="198">
        <f>SUMIF('Monthly CF'!$C$4:$DR$4,AJ$3,'Monthly CF'!$C$57:$DR$57)</f>
        <v>0</v>
      </c>
      <c r="AK47" s="198">
        <f>SUMIF('Monthly CF'!$C$4:$DR$4,AK$3,'Monthly CF'!$C$57:$DR$57)</f>
        <v>0</v>
      </c>
      <c r="AL47" s="198">
        <f>SUMIF('Monthly CF'!$C$4:$DR$4,AL$3,'Monthly CF'!$C$57:$DR$57)</f>
        <v>0</v>
      </c>
      <c r="AM47" s="198">
        <f>SUMIF('Monthly CF'!$C$4:$DR$4,AM$3,'Monthly CF'!$C$57:$DR$57)</f>
        <v>0</v>
      </c>
      <c r="AN47" s="198">
        <f>SUMIF('Monthly CF'!$C$4:$DR$4,AN$3,'Monthly CF'!$C$57:$DR$57)</f>
        <v>0</v>
      </c>
      <c r="AO47" s="198">
        <f>SUMIF('Monthly CF'!$C$4:$DR$4,AO$3,'Monthly CF'!$C$57:$DR$57)</f>
        <v>0</v>
      </c>
      <c r="AP47" s="198">
        <f>SUMIF('Monthly CF'!$C$4:$DR$4,AP$3,'Monthly CF'!$C$57:$DR$57)</f>
        <v>0</v>
      </c>
      <c r="AQ47" s="198">
        <f>SUMIF('Monthly CF'!$C$4:$DR$4,AQ$3,'Monthly CF'!$C$57:$DR$57)</f>
        <v>0</v>
      </c>
    </row>
    <row r="48" ht="15.75" customHeight="1">
      <c r="A48" s="44"/>
      <c r="B48" s="4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</row>
    <row r="49" ht="15.75" customHeight="1">
      <c r="A49" s="44"/>
      <c r="B49" s="124" t="s">
        <v>349</v>
      </c>
      <c r="C49" s="195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</row>
    <row r="50" ht="15.75" customHeight="1">
      <c r="A50" s="44"/>
      <c r="B50" s="96" t="s">
        <v>339</v>
      </c>
      <c r="C50" s="196" t="str">
        <f t="array" ref="C50">INDEX('Monthly CF'!$C$60:$DR$60,MATCH((C$3-1)*3+1,'Monthly CF'!$C$3:$DR$3,0))</f>
        <v>0</v>
      </c>
      <c r="D50" s="196">
        <f t="array" ref="D50">INDEX('Monthly CF'!$C$60:$DR$60,MATCH((D$3-1)*3+1,'Monthly CF'!$C$3:$DR$3,0))</f>
        <v>0</v>
      </c>
      <c r="E50" s="196">
        <f t="array" ref="E50">INDEX('Monthly CF'!$C$60:$DR$60,MATCH((E$3-1)*3+1,'Monthly CF'!$C$3:$DR$3,0))</f>
        <v>0</v>
      </c>
      <c r="F50" s="196">
        <f t="array" ref="F50">INDEX('Monthly CF'!$C$60:$DR$60,MATCH((F$3-1)*3+1,'Monthly CF'!$C$3:$DR$3,0))</f>
        <v>0</v>
      </c>
      <c r="G50" s="196">
        <f t="array" ref="G50">INDEX('Monthly CF'!$C$60:$DR$60,MATCH((G$3-1)*3+1,'Monthly CF'!$C$3:$DR$3,0))</f>
        <v>0</v>
      </c>
      <c r="H50" s="196">
        <f t="array" ref="H50">INDEX('Monthly CF'!$C$60:$DR$60,MATCH((H$3-1)*3+1,'Monthly CF'!$C$3:$DR$3,0))</f>
        <v>0</v>
      </c>
      <c r="I50" s="196">
        <f t="array" ref="I50">INDEX('Monthly CF'!$C$60:$DR$60,MATCH((I$3-1)*3+1,'Monthly CF'!$C$3:$DR$3,0))</f>
        <v>0</v>
      </c>
      <c r="J50" s="196">
        <f t="array" ref="J50">INDEX('Monthly CF'!$C$60:$DR$60,MATCH((J$3-1)*3+1,'Monthly CF'!$C$3:$DR$3,0))</f>
        <v>0</v>
      </c>
      <c r="K50" s="196">
        <f t="array" ref="K50">INDEX('Monthly CF'!$C$60:$DR$60,MATCH((K$3-1)*3+1,'Monthly CF'!$C$3:$DR$3,0))</f>
        <v>0</v>
      </c>
      <c r="L50" s="196">
        <f t="array" ref="L50">INDEX('Monthly CF'!$C$60:$DR$60,MATCH((L$3-1)*3+1,'Monthly CF'!$C$3:$DR$3,0))</f>
        <v>0</v>
      </c>
      <c r="M50" s="196">
        <f t="array" ref="M50">INDEX('Monthly CF'!$C$60:$DR$60,MATCH((M$3-1)*3+1,'Monthly CF'!$C$3:$DR$3,0))</f>
        <v>0</v>
      </c>
      <c r="N50" s="196">
        <f t="array" ref="N50">INDEX('Monthly CF'!$C$60:$DR$60,MATCH((N$3-1)*3+1,'Monthly CF'!$C$3:$DR$3,0))</f>
        <v>0</v>
      </c>
      <c r="O50" s="196">
        <f t="array" ref="O50">INDEX('Monthly CF'!$C$60:$DR$60,MATCH((O$3-1)*3+1,'Monthly CF'!$C$3:$DR$3,0))</f>
        <v>0</v>
      </c>
      <c r="P50" s="196">
        <f t="array" ref="P50">INDEX('Monthly CF'!$C$60:$DR$60,MATCH((P$3-1)*3+1,'Monthly CF'!$C$3:$DR$3,0))</f>
        <v>0</v>
      </c>
      <c r="Q50" s="196">
        <f t="array" ref="Q50">INDEX('Monthly CF'!$C$60:$DR$60,MATCH((Q$3-1)*3+1,'Monthly CF'!$C$3:$DR$3,0))</f>
        <v>0</v>
      </c>
      <c r="R50" s="196">
        <f t="array" ref="R50">INDEX('Monthly CF'!$C$60:$DR$60,MATCH((R$3-1)*3+1,'Monthly CF'!$C$3:$DR$3,0))</f>
        <v>0</v>
      </c>
      <c r="S50" s="196">
        <f t="array" ref="S50">INDEX('Monthly CF'!$C$60:$DR$60,MATCH((S$3-1)*3+1,'Monthly CF'!$C$3:$DR$3,0))</f>
        <v>0</v>
      </c>
      <c r="T50" s="196">
        <f t="array" ref="T50">INDEX('Monthly CF'!$C$60:$DR$60,MATCH((T$3-1)*3+1,'Monthly CF'!$C$3:$DR$3,0))</f>
        <v>0</v>
      </c>
      <c r="U50" s="196">
        <f t="array" ref="U50">INDEX('Monthly CF'!$C$60:$DR$60,MATCH((U$3-1)*3+1,'Monthly CF'!$C$3:$DR$3,0))</f>
        <v>0</v>
      </c>
      <c r="V50" s="196">
        <f t="array" ref="V50">INDEX('Monthly CF'!$C$60:$DR$60,MATCH((V$3-1)*3+1,'Monthly CF'!$C$3:$DR$3,0))</f>
        <v>0</v>
      </c>
      <c r="W50" s="196">
        <f t="array" ref="W50">INDEX('Monthly CF'!$C$60:$DR$60,MATCH((W$3-1)*3+1,'Monthly CF'!$C$3:$DR$3,0))</f>
        <v>0</v>
      </c>
      <c r="X50" s="196">
        <f t="array" ref="X50">INDEX('Monthly CF'!$C$60:$DR$60,MATCH((X$3-1)*3+1,'Monthly CF'!$C$3:$DR$3,0))</f>
        <v>0</v>
      </c>
      <c r="Y50" s="196">
        <f t="array" ref="Y50">INDEX('Monthly CF'!$C$60:$DR$60,MATCH((Y$3-1)*3+1,'Monthly CF'!$C$3:$DR$3,0))</f>
        <v>0</v>
      </c>
      <c r="Z50" s="196">
        <f t="array" ref="Z50">INDEX('Monthly CF'!$C$60:$DR$60,MATCH((Z$3-1)*3+1,'Monthly CF'!$C$3:$DR$3,0))</f>
        <v>0</v>
      </c>
      <c r="AA50" s="196">
        <f t="array" ref="AA50">INDEX('Monthly CF'!$C$60:$DR$60,MATCH((AA$3-1)*3+1,'Monthly CF'!$C$3:$DR$3,0))</f>
        <v>0</v>
      </c>
      <c r="AB50" s="196">
        <f t="array" ref="AB50">INDEX('Monthly CF'!$C$60:$DR$60,MATCH((AB$3-1)*3+1,'Monthly CF'!$C$3:$DR$3,0))</f>
        <v>0</v>
      </c>
      <c r="AC50" s="196">
        <f t="array" ref="AC50">INDEX('Monthly CF'!$C$60:$DR$60,MATCH((AC$3-1)*3+1,'Monthly CF'!$C$3:$DR$3,0))</f>
        <v>0</v>
      </c>
      <c r="AD50" s="196">
        <f t="array" ref="AD50">INDEX('Monthly CF'!$C$60:$DR$60,MATCH((AD$3-1)*3+1,'Monthly CF'!$C$3:$DR$3,0))</f>
        <v>0</v>
      </c>
      <c r="AE50" s="196">
        <f t="array" ref="AE50">INDEX('Monthly CF'!$C$60:$DR$60,MATCH((AE$3-1)*3+1,'Monthly CF'!$C$3:$DR$3,0))</f>
        <v>0</v>
      </c>
      <c r="AF50" s="196">
        <f t="array" ref="AF50">INDEX('Monthly CF'!$C$60:$DR$60,MATCH((AF$3-1)*3+1,'Monthly CF'!$C$3:$DR$3,0))</f>
        <v>0</v>
      </c>
      <c r="AG50" s="196">
        <f t="array" ref="AG50">INDEX('Monthly CF'!$C$60:$DR$60,MATCH((AG$3-1)*3+1,'Monthly CF'!$C$3:$DR$3,0))</f>
        <v>0</v>
      </c>
      <c r="AH50" s="196">
        <f t="array" ref="AH50">INDEX('Monthly CF'!$C$60:$DR$60,MATCH((AH$3-1)*3+1,'Monthly CF'!$C$3:$DR$3,0))</f>
        <v>0</v>
      </c>
      <c r="AI50" s="196">
        <f t="array" ref="AI50">INDEX('Monthly CF'!$C$60:$DR$60,MATCH((AI$3-1)*3+1,'Monthly CF'!$C$3:$DR$3,0))</f>
        <v>0</v>
      </c>
      <c r="AJ50" s="196">
        <f t="array" ref="AJ50">INDEX('Monthly CF'!$C$60:$DR$60,MATCH((AJ$3-1)*3+1,'Monthly CF'!$C$3:$DR$3,0))</f>
        <v>0</v>
      </c>
      <c r="AK50" s="196">
        <f t="array" ref="AK50">INDEX('Monthly CF'!$C$60:$DR$60,MATCH((AK$3-1)*3+1,'Monthly CF'!$C$3:$DR$3,0))</f>
        <v>0</v>
      </c>
      <c r="AL50" s="196">
        <f t="array" ref="AL50">INDEX('Monthly CF'!$C$60:$DR$60,MATCH((AL$3-1)*3+1,'Monthly CF'!$C$3:$DR$3,0))</f>
        <v>0</v>
      </c>
      <c r="AM50" s="196">
        <f t="array" ref="AM50">INDEX('Monthly CF'!$C$60:$DR$60,MATCH((AM$3-1)*3+1,'Monthly CF'!$C$3:$DR$3,0))</f>
        <v>0</v>
      </c>
      <c r="AN50" s="196">
        <f t="array" ref="AN50">INDEX('Monthly CF'!$C$60:$DR$60,MATCH((AN$3-1)*3+1,'Monthly CF'!$C$3:$DR$3,0))</f>
        <v>0</v>
      </c>
      <c r="AO50" s="196">
        <f t="array" ref="AO50">INDEX('Monthly CF'!$C$60:$DR$60,MATCH((AO$3-1)*3+1,'Monthly CF'!$C$3:$DR$3,0))</f>
        <v>0</v>
      </c>
      <c r="AP50" s="196">
        <f t="array" ref="AP50">INDEX('Monthly CF'!$C$60:$DR$60,MATCH((AP$3-1)*3+1,'Monthly CF'!$C$3:$DR$3,0))</f>
        <v>0</v>
      </c>
      <c r="AQ50" s="196" t="str">
        <f t="array" ref="AQ50">INDEX('Monthly CF'!$C$60:$DR$60,MATCH((AQ$3-1)*3+1,'Monthly CF'!$C$3:$DR$3,0))</f>
        <v>#N/A</v>
      </c>
    </row>
    <row r="51" ht="15.75" customHeight="1">
      <c r="A51" s="44"/>
      <c r="B51" s="96" t="s">
        <v>340</v>
      </c>
      <c r="C51" s="196">
        <f>SUMIF('Monthly CF'!$C$4:$DR$4,C$3,'Monthly CF'!$C$61:$DR$61)</f>
        <v>0</v>
      </c>
      <c r="D51" s="196">
        <f>SUMIF('Monthly CF'!$C$4:$DR$4,D$3,'Monthly CF'!$C$61:$DR$61)</f>
        <v>0</v>
      </c>
      <c r="E51" s="196">
        <f>SUMIF('Monthly CF'!$C$4:$DR$4,E$3,'Monthly CF'!$C$61:$DR$61)</f>
        <v>0</v>
      </c>
      <c r="F51" s="196">
        <f>SUMIF('Monthly CF'!$C$4:$DR$4,F$3,'Monthly CF'!$C$61:$DR$61)</f>
        <v>0</v>
      </c>
      <c r="G51" s="196">
        <f>SUMIF('Monthly CF'!$C$4:$DR$4,G$3,'Monthly CF'!$C$61:$DR$61)</f>
        <v>0</v>
      </c>
      <c r="H51" s="196">
        <f>SUMIF('Monthly CF'!$C$4:$DR$4,H$3,'Monthly CF'!$C$61:$DR$61)</f>
        <v>0</v>
      </c>
      <c r="I51" s="196">
        <f>SUMIF('Monthly CF'!$C$4:$DR$4,I$3,'Monthly CF'!$C$61:$DR$61)</f>
        <v>0</v>
      </c>
      <c r="J51" s="196">
        <f>SUMIF('Monthly CF'!$C$4:$DR$4,J$3,'Monthly CF'!$C$61:$DR$61)</f>
        <v>0</v>
      </c>
      <c r="K51" s="196">
        <f>SUMIF('Monthly CF'!$C$4:$DR$4,K$3,'Monthly CF'!$C$61:$DR$61)</f>
        <v>0</v>
      </c>
      <c r="L51" s="196">
        <f>SUMIF('Monthly CF'!$C$4:$DR$4,L$3,'Monthly CF'!$C$61:$DR$61)</f>
        <v>0</v>
      </c>
      <c r="M51" s="196">
        <f>SUMIF('Monthly CF'!$C$4:$DR$4,M$3,'Monthly CF'!$C$61:$DR$61)</f>
        <v>0</v>
      </c>
      <c r="N51" s="196">
        <f>SUMIF('Monthly CF'!$C$4:$DR$4,N$3,'Monthly CF'!$C$61:$DR$61)</f>
        <v>0</v>
      </c>
      <c r="O51" s="196">
        <f>SUMIF('Monthly CF'!$C$4:$DR$4,O$3,'Monthly CF'!$C$61:$DR$61)</f>
        <v>0</v>
      </c>
      <c r="P51" s="196">
        <f>SUMIF('Monthly CF'!$C$4:$DR$4,P$3,'Monthly CF'!$C$61:$DR$61)</f>
        <v>0</v>
      </c>
      <c r="Q51" s="196">
        <f>SUMIF('Monthly CF'!$C$4:$DR$4,Q$3,'Monthly CF'!$C$61:$DR$61)</f>
        <v>0</v>
      </c>
      <c r="R51" s="196">
        <f>SUMIF('Monthly CF'!$C$4:$DR$4,R$3,'Monthly CF'!$C$61:$DR$61)</f>
        <v>0</v>
      </c>
      <c r="S51" s="196">
        <f>SUMIF('Monthly CF'!$C$4:$DR$4,S$3,'Monthly CF'!$C$61:$DR$61)</f>
        <v>0</v>
      </c>
      <c r="T51" s="196">
        <f>SUMIF('Monthly CF'!$C$4:$DR$4,T$3,'Monthly CF'!$C$61:$DR$61)</f>
        <v>0</v>
      </c>
      <c r="U51" s="196">
        <f>SUMIF('Monthly CF'!$C$4:$DR$4,U$3,'Monthly CF'!$C$61:$DR$61)</f>
        <v>0</v>
      </c>
      <c r="V51" s="196">
        <f>SUMIF('Monthly CF'!$C$4:$DR$4,V$3,'Monthly CF'!$C$61:$DR$61)</f>
        <v>0</v>
      </c>
      <c r="W51" s="196">
        <f>SUMIF('Monthly CF'!$C$4:$DR$4,W$3,'Monthly CF'!$C$61:$DR$61)</f>
        <v>0</v>
      </c>
      <c r="X51" s="196">
        <f>SUMIF('Monthly CF'!$C$4:$DR$4,X$3,'Monthly CF'!$C$61:$DR$61)</f>
        <v>0</v>
      </c>
      <c r="Y51" s="196">
        <f>SUMIF('Monthly CF'!$C$4:$DR$4,Y$3,'Monthly CF'!$C$61:$DR$61)</f>
        <v>0</v>
      </c>
      <c r="Z51" s="196">
        <f>SUMIF('Monthly CF'!$C$4:$DR$4,Z$3,'Monthly CF'!$C$61:$DR$61)</f>
        <v>0</v>
      </c>
      <c r="AA51" s="196">
        <f>SUMIF('Monthly CF'!$C$4:$DR$4,AA$3,'Monthly CF'!$C$61:$DR$61)</f>
        <v>0</v>
      </c>
      <c r="AB51" s="196">
        <f>SUMIF('Monthly CF'!$C$4:$DR$4,AB$3,'Monthly CF'!$C$61:$DR$61)</f>
        <v>0</v>
      </c>
      <c r="AC51" s="196">
        <f>SUMIF('Monthly CF'!$C$4:$DR$4,AC$3,'Monthly CF'!$C$61:$DR$61)</f>
        <v>0</v>
      </c>
      <c r="AD51" s="196">
        <f>SUMIF('Monthly CF'!$C$4:$DR$4,AD$3,'Monthly CF'!$C$61:$DR$61)</f>
        <v>0</v>
      </c>
      <c r="AE51" s="196">
        <f>SUMIF('Monthly CF'!$C$4:$DR$4,AE$3,'Monthly CF'!$C$61:$DR$61)</f>
        <v>0</v>
      </c>
      <c r="AF51" s="196">
        <f>SUMIF('Monthly CF'!$C$4:$DR$4,AF$3,'Monthly CF'!$C$61:$DR$61)</f>
        <v>0</v>
      </c>
      <c r="AG51" s="196">
        <f>SUMIF('Monthly CF'!$C$4:$DR$4,AG$3,'Monthly CF'!$C$61:$DR$61)</f>
        <v>0</v>
      </c>
      <c r="AH51" s="196">
        <f>SUMIF('Monthly CF'!$C$4:$DR$4,AH$3,'Monthly CF'!$C$61:$DR$61)</f>
        <v>0</v>
      </c>
      <c r="AI51" s="196">
        <f>SUMIF('Monthly CF'!$C$4:$DR$4,AI$3,'Monthly CF'!$C$61:$DR$61)</f>
        <v>0</v>
      </c>
      <c r="AJ51" s="196">
        <f>SUMIF('Monthly CF'!$C$4:$DR$4,AJ$3,'Monthly CF'!$C$61:$DR$61)</f>
        <v>0</v>
      </c>
      <c r="AK51" s="196">
        <f>SUMIF('Monthly CF'!$C$4:$DR$4,AK$3,'Monthly CF'!$C$61:$DR$61)</f>
        <v>0</v>
      </c>
      <c r="AL51" s="196">
        <f>SUMIF('Monthly CF'!$C$4:$DR$4,AL$3,'Monthly CF'!$C$61:$DR$61)</f>
        <v>0</v>
      </c>
      <c r="AM51" s="196">
        <f>SUMIF('Monthly CF'!$C$4:$DR$4,AM$3,'Monthly CF'!$C$61:$DR$61)</f>
        <v>0</v>
      </c>
      <c r="AN51" s="196">
        <f>SUMIF('Monthly CF'!$C$4:$DR$4,AN$3,'Monthly CF'!$C$61:$DR$61)</f>
        <v>0</v>
      </c>
      <c r="AO51" s="196">
        <f>SUMIF('Monthly CF'!$C$4:$DR$4,AO$3,'Monthly CF'!$C$61:$DR$61)</f>
        <v>0</v>
      </c>
      <c r="AP51" s="196">
        <f>SUMIF('Monthly CF'!$C$4:$DR$4,AP$3,'Monthly CF'!$C$61:$DR$61)</f>
        <v>0</v>
      </c>
      <c r="AQ51" s="196">
        <f>SUMIF('Monthly CF'!$C$4:$DR$4,AQ$3,'Monthly CF'!$C$61:$DR$61)</f>
        <v>0</v>
      </c>
    </row>
    <row r="52" ht="15.75" customHeight="1">
      <c r="A52" s="44"/>
      <c r="B52" s="96" t="s">
        <v>341</v>
      </c>
      <c r="C52" s="196">
        <f>SUMIF('Monthly CF'!$C$4:$DR$4,C$3,'Monthly CF'!$C$62:$DR$62)</f>
        <v>0</v>
      </c>
      <c r="D52" s="196">
        <f>SUMIF('Monthly CF'!$C$4:$DR$4,D$3,'Monthly CF'!$C$62:$DR$62)</f>
        <v>0</v>
      </c>
      <c r="E52" s="196">
        <f>SUMIF('Monthly CF'!$C$4:$DR$4,E$3,'Monthly CF'!$C$62:$DR$62)</f>
        <v>0</v>
      </c>
      <c r="F52" s="196">
        <f>SUMIF('Monthly CF'!$C$4:$DR$4,F$3,'Monthly CF'!$C$62:$DR$62)</f>
        <v>0</v>
      </c>
      <c r="G52" s="196">
        <f>SUMIF('Monthly CF'!$C$4:$DR$4,G$3,'Monthly CF'!$C$62:$DR$62)</f>
        <v>0</v>
      </c>
      <c r="H52" s="196">
        <f>SUMIF('Monthly CF'!$C$4:$DR$4,H$3,'Monthly CF'!$C$62:$DR$62)</f>
        <v>0</v>
      </c>
      <c r="I52" s="196">
        <f>SUMIF('Monthly CF'!$C$4:$DR$4,I$3,'Monthly CF'!$C$62:$DR$62)</f>
        <v>0</v>
      </c>
      <c r="J52" s="196">
        <f>SUMIF('Monthly CF'!$C$4:$DR$4,J$3,'Monthly CF'!$C$62:$DR$62)</f>
        <v>0</v>
      </c>
      <c r="K52" s="196">
        <f>SUMIF('Monthly CF'!$C$4:$DR$4,K$3,'Monthly CF'!$C$62:$DR$62)</f>
        <v>0</v>
      </c>
      <c r="L52" s="196">
        <f>SUMIF('Monthly CF'!$C$4:$DR$4,L$3,'Monthly CF'!$C$62:$DR$62)</f>
        <v>0</v>
      </c>
      <c r="M52" s="196">
        <f>SUMIF('Monthly CF'!$C$4:$DR$4,M$3,'Monthly CF'!$C$62:$DR$62)</f>
        <v>0</v>
      </c>
      <c r="N52" s="196">
        <f>SUMIF('Monthly CF'!$C$4:$DR$4,N$3,'Monthly CF'!$C$62:$DR$62)</f>
        <v>0</v>
      </c>
      <c r="O52" s="196">
        <f>SUMIF('Monthly CF'!$C$4:$DR$4,O$3,'Monthly CF'!$C$62:$DR$62)</f>
        <v>0</v>
      </c>
      <c r="P52" s="196">
        <f>SUMIF('Monthly CF'!$C$4:$DR$4,P$3,'Monthly CF'!$C$62:$DR$62)</f>
        <v>0</v>
      </c>
      <c r="Q52" s="196">
        <f>SUMIF('Monthly CF'!$C$4:$DR$4,Q$3,'Monthly CF'!$C$62:$DR$62)</f>
        <v>0</v>
      </c>
      <c r="R52" s="196">
        <f>SUMIF('Monthly CF'!$C$4:$DR$4,R$3,'Monthly CF'!$C$62:$DR$62)</f>
        <v>0</v>
      </c>
      <c r="S52" s="196">
        <f>SUMIF('Monthly CF'!$C$4:$DR$4,S$3,'Monthly CF'!$C$62:$DR$62)</f>
        <v>0</v>
      </c>
      <c r="T52" s="196">
        <f>SUMIF('Monthly CF'!$C$4:$DR$4,T$3,'Monthly CF'!$C$62:$DR$62)</f>
        <v>0</v>
      </c>
      <c r="U52" s="196">
        <f>SUMIF('Monthly CF'!$C$4:$DR$4,U$3,'Monthly CF'!$C$62:$DR$62)</f>
        <v>0</v>
      </c>
      <c r="V52" s="196">
        <f>SUMIF('Monthly CF'!$C$4:$DR$4,V$3,'Monthly CF'!$C$62:$DR$62)</f>
        <v>0</v>
      </c>
      <c r="W52" s="196">
        <f>SUMIF('Monthly CF'!$C$4:$DR$4,W$3,'Monthly CF'!$C$62:$DR$62)</f>
        <v>0</v>
      </c>
      <c r="X52" s="196">
        <f>SUMIF('Monthly CF'!$C$4:$DR$4,X$3,'Monthly CF'!$C$62:$DR$62)</f>
        <v>0</v>
      </c>
      <c r="Y52" s="196">
        <f>SUMIF('Monthly CF'!$C$4:$DR$4,Y$3,'Monthly CF'!$C$62:$DR$62)</f>
        <v>0</v>
      </c>
      <c r="Z52" s="196">
        <f>SUMIF('Monthly CF'!$C$4:$DR$4,Z$3,'Monthly CF'!$C$62:$DR$62)</f>
        <v>0</v>
      </c>
      <c r="AA52" s="196">
        <f>SUMIF('Monthly CF'!$C$4:$DR$4,AA$3,'Monthly CF'!$C$62:$DR$62)</f>
        <v>0</v>
      </c>
      <c r="AB52" s="196">
        <f>SUMIF('Monthly CF'!$C$4:$DR$4,AB$3,'Monthly CF'!$C$62:$DR$62)</f>
        <v>0</v>
      </c>
      <c r="AC52" s="196">
        <f>SUMIF('Monthly CF'!$C$4:$DR$4,AC$3,'Monthly CF'!$C$62:$DR$62)</f>
        <v>0</v>
      </c>
      <c r="AD52" s="196">
        <f>SUMIF('Monthly CF'!$C$4:$DR$4,AD$3,'Monthly CF'!$C$62:$DR$62)</f>
        <v>0</v>
      </c>
      <c r="AE52" s="196">
        <f>SUMIF('Monthly CF'!$C$4:$DR$4,AE$3,'Monthly CF'!$C$62:$DR$62)</f>
        <v>0</v>
      </c>
      <c r="AF52" s="196">
        <f>SUMIF('Monthly CF'!$C$4:$DR$4,AF$3,'Monthly CF'!$C$62:$DR$62)</f>
        <v>0</v>
      </c>
      <c r="AG52" s="196">
        <f>SUMIF('Monthly CF'!$C$4:$DR$4,AG$3,'Monthly CF'!$C$62:$DR$62)</f>
        <v>0</v>
      </c>
      <c r="AH52" s="196">
        <f>SUMIF('Monthly CF'!$C$4:$DR$4,AH$3,'Monthly CF'!$C$62:$DR$62)</f>
        <v>0</v>
      </c>
      <c r="AI52" s="196">
        <f>SUMIF('Monthly CF'!$C$4:$DR$4,AI$3,'Monthly CF'!$C$62:$DR$62)</f>
        <v>0</v>
      </c>
      <c r="AJ52" s="196">
        <f>SUMIF('Monthly CF'!$C$4:$DR$4,AJ$3,'Monthly CF'!$C$62:$DR$62)</f>
        <v>0</v>
      </c>
      <c r="AK52" s="196">
        <f>SUMIF('Monthly CF'!$C$4:$DR$4,AK$3,'Monthly CF'!$C$62:$DR$62)</f>
        <v>0</v>
      </c>
      <c r="AL52" s="196">
        <f>SUMIF('Monthly CF'!$C$4:$DR$4,AL$3,'Monthly CF'!$C$62:$DR$62)</f>
        <v>0</v>
      </c>
      <c r="AM52" s="196">
        <f>SUMIF('Monthly CF'!$C$4:$DR$4,AM$3,'Monthly CF'!$C$62:$DR$62)</f>
        <v>0</v>
      </c>
      <c r="AN52" s="196">
        <f>SUMIF('Monthly CF'!$C$4:$DR$4,AN$3,'Monthly CF'!$C$62:$DR$62)</f>
        <v>0</v>
      </c>
      <c r="AO52" s="196">
        <f>SUMIF('Monthly CF'!$C$4:$DR$4,AO$3,'Monthly CF'!$C$62:$DR$62)</f>
        <v>0</v>
      </c>
      <c r="AP52" s="196">
        <f>SUMIF('Monthly CF'!$C$4:$DR$4,AP$3,'Monthly CF'!$C$62:$DR$62)</f>
        <v>0</v>
      </c>
      <c r="AQ52" s="196">
        <f>SUMIF('Monthly CF'!$C$4:$DR$4,AQ$3,'Monthly CF'!$C$62:$DR$62)</f>
        <v>0</v>
      </c>
    </row>
    <row r="53" ht="15.75" customHeight="1">
      <c r="A53" s="44"/>
      <c r="B53" s="96" t="s">
        <v>342</v>
      </c>
      <c r="C53" s="196">
        <f>SUMIF('Monthly CF'!$C$4:$DR$4,C$3,'Monthly CF'!$C$63:$DR$63)</f>
        <v>0</v>
      </c>
      <c r="D53" s="196">
        <f>SUMIF('Monthly CF'!$C$4:$DR$4,D$3,'Monthly CF'!$C$63:$DR$63)</f>
        <v>0</v>
      </c>
      <c r="E53" s="196">
        <f>SUMIF('Monthly CF'!$C$4:$DR$4,E$3,'Monthly CF'!$C$63:$DR$63)</f>
        <v>0</v>
      </c>
      <c r="F53" s="196">
        <f>SUMIF('Monthly CF'!$C$4:$DR$4,F$3,'Monthly CF'!$C$63:$DR$63)</f>
        <v>0</v>
      </c>
      <c r="G53" s="196">
        <f>SUMIF('Monthly CF'!$C$4:$DR$4,G$3,'Monthly CF'!$C$63:$DR$63)</f>
        <v>0</v>
      </c>
      <c r="H53" s="196">
        <f>SUMIF('Monthly CF'!$C$4:$DR$4,H$3,'Monthly CF'!$C$63:$DR$63)</f>
        <v>0</v>
      </c>
      <c r="I53" s="196">
        <f>SUMIF('Monthly CF'!$C$4:$DR$4,I$3,'Monthly CF'!$C$63:$DR$63)</f>
        <v>0</v>
      </c>
      <c r="J53" s="196">
        <f>SUMIF('Monthly CF'!$C$4:$DR$4,J$3,'Monthly CF'!$C$63:$DR$63)</f>
        <v>0</v>
      </c>
      <c r="K53" s="196">
        <f>SUMIF('Monthly CF'!$C$4:$DR$4,K$3,'Monthly CF'!$C$63:$DR$63)</f>
        <v>0</v>
      </c>
      <c r="L53" s="196">
        <f>SUMIF('Monthly CF'!$C$4:$DR$4,L$3,'Monthly CF'!$C$63:$DR$63)</f>
        <v>0</v>
      </c>
      <c r="M53" s="196">
        <f>SUMIF('Monthly CF'!$C$4:$DR$4,M$3,'Monthly CF'!$C$63:$DR$63)</f>
        <v>0</v>
      </c>
      <c r="N53" s="196">
        <f>SUMIF('Monthly CF'!$C$4:$DR$4,N$3,'Monthly CF'!$C$63:$DR$63)</f>
        <v>0</v>
      </c>
      <c r="O53" s="196">
        <f>SUMIF('Monthly CF'!$C$4:$DR$4,O$3,'Monthly CF'!$C$63:$DR$63)</f>
        <v>0</v>
      </c>
      <c r="P53" s="196">
        <f>SUMIF('Monthly CF'!$C$4:$DR$4,P$3,'Monthly CF'!$C$63:$DR$63)</f>
        <v>0</v>
      </c>
      <c r="Q53" s="196">
        <f>SUMIF('Monthly CF'!$C$4:$DR$4,Q$3,'Monthly CF'!$C$63:$DR$63)</f>
        <v>0</v>
      </c>
      <c r="R53" s="196">
        <f>SUMIF('Monthly CF'!$C$4:$DR$4,R$3,'Monthly CF'!$C$63:$DR$63)</f>
        <v>0</v>
      </c>
      <c r="S53" s="196">
        <f>SUMIF('Monthly CF'!$C$4:$DR$4,S$3,'Monthly CF'!$C$63:$DR$63)</f>
        <v>0</v>
      </c>
      <c r="T53" s="196">
        <f>SUMIF('Monthly CF'!$C$4:$DR$4,T$3,'Monthly CF'!$C$63:$DR$63)</f>
        <v>0</v>
      </c>
      <c r="U53" s="196">
        <f>SUMIF('Monthly CF'!$C$4:$DR$4,U$3,'Monthly CF'!$C$63:$DR$63)</f>
        <v>0</v>
      </c>
      <c r="V53" s="196">
        <f>SUMIF('Monthly CF'!$C$4:$DR$4,V$3,'Monthly CF'!$C$63:$DR$63)</f>
        <v>0</v>
      </c>
      <c r="W53" s="196">
        <f>SUMIF('Monthly CF'!$C$4:$DR$4,W$3,'Monthly CF'!$C$63:$DR$63)</f>
        <v>0</v>
      </c>
      <c r="X53" s="196">
        <f>SUMIF('Monthly CF'!$C$4:$DR$4,X$3,'Monthly CF'!$C$63:$DR$63)</f>
        <v>0</v>
      </c>
      <c r="Y53" s="196">
        <f>SUMIF('Monthly CF'!$C$4:$DR$4,Y$3,'Monthly CF'!$C$63:$DR$63)</f>
        <v>0</v>
      </c>
      <c r="Z53" s="196">
        <f>SUMIF('Monthly CF'!$C$4:$DR$4,Z$3,'Monthly CF'!$C$63:$DR$63)</f>
        <v>0</v>
      </c>
      <c r="AA53" s="196">
        <f>SUMIF('Monthly CF'!$C$4:$DR$4,AA$3,'Monthly CF'!$C$63:$DR$63)</f>
        <v>0</v>
      </c>
      <c r="AB53" s="196">
        <f>SUMIF('Monthly CF'!$C$4:$DR$4,AB$3,'Monthly CF'!$C$63:$DR$63)</f>
        <v>0</v>
      </c>
      <c r="AC53" s="196">
        <f>SUMIF('Monthly CF'!$C$4:$DR$4,AC$3,'Monthly CF'!$C$63:$DR$63)</f>
        <v>0</v>
      </c>
      <c r="AD53" s="196">
        <f>SUMIF('Monthly CF'!$C$4:$DR$4,AD$3,'Monthly CF'!$C$63:$DR$63)</f>
        <v>0</v>
      </c>
      <c r="AE53" s="196">
        <f>SUMIF('Monthly CF'!$C$4:$DR$4,AE$3,'Monthly CF'!$C$63:$DR$63)</f>
        <v>0</v>
      </c>
      <c r="AF53" s="196">
        <f>SUMIF('Monthly CF'!$C$4:$DR$4,AF$3,'Monthly CF'!$C$63:$DR$63)</f>
        <v>0</v>
      </c>
      <c r="AG53" s="196">
        <f>SUMIF('Monthly CF'!$C$4:$DR$4,AG$3,'Monthly CF'!$C$63:$DR$63)</f>
        <v>0</v>
      </c>
      <c r="AH53" s="196">
        <f>SUMIF('Monthly CF'!$C$4:$DR$4,AH$3,'Monthly CF'!$C$63:$DR$63)</f>
        <v>0</v>
      </c>
      <c r="AI53" s="196">
        <f>SUMIF('Monthly CF'!$C$4:$DR$4,AI$3,'Monthly CF'!$C$63:$DR$63)</f>
        <v>0</v>
      </c>
      <c r="AJ53" s="196">
        <f>SUMIF('Monthly CF'!$C$4:$DR$4,AJ$3,'Monthly CF'!$C$63:$DR$63)</f>
        <v>0</v>
      </c>
      <c r="AK53" s="196">
        <f>SUMIF('Monthly CF'!$C$4:$DR$4,AK$3,'Monthly CF'!$C$63:$DR$63)</f>
        <v>0</v>
      </c>
      <c r="AL53" s="196">
        <f>SUMIF('Monthly CF'!$C$4:$DR$4,AL$3,'Monthly CF'!$C$63:$DR$63)</f>
        <v>0</v>
      </c>
      <c r="AM53" s="196">
        <f>SUMIF('Monthly CF'!$C$4:$DR$4,AM$3,'Monthly CF'!$C$63:$DR$63)</f>
        <v>0</v>
      </c>
      <c r="AN53" s="196">
        <f>SUMIF('Monthly CF'!$C$4:$DR$4,AN$3,'Monthly CF'!$C$63:$DR$63)</f>
        <v>0</v>
      </c>
      <c r="AO53" s="196">
        <f>SUMIF('Monthly CF'!$C$4:$DR$4,AO$3,'Monthly CF'!$C$63:$DR$63)</f>
        <v>0</v>
      </c>
      <c r="AP53" s="196">
        <f>SUMIF('Monthly CF'!$C$4:$DR$4,AP$3,'Monthly CF'!$C$63:$DR$63)</f>
        <v>0</v>
      </c>
      <c r="AQ53" s="196">
        <f>SUMIF('Monthly CF'!$C$4:$DR$4,AQ$3,'Monthly CF'!$C$63:$DR$63)</f>
        <v>0</v>
      </c>
    </row>
    <row r="54" ht="15.75" customHeight="1">
      <c r="A54" s="44"/>
      <c r="B54" s="96" t="s">
        <v>343</v>
      </c>
      <c r="C54" s="196">
        <f>SUMIF('Monthly CF'!$C$4:$DR$4,C$3,'Monthly CF'!$C$64:$DR$64)</f>
        <v>0</v>
      </c>
      <c r="D54" s="196">
        <f>SUMIF('Monthly CF'!$C$4:$DR$4,D$3,'Monthly CF'!$C$64:$DR$64)</f>
        <v>0</v>
      </c>
      <c r="E54" s="196">
        <f>SUMIF('Monthly CF'!$C$4:$DR$4,E$3,'Monthly CF'!$C$64:$DR$64)</f>
        <v>0</v>
      </c>
      <c r="F54" s="196">
        <f>SUMIF('Monthly CF'!$C$4:$DR$4,F$3,'Monthly CF'!$C$64:$DR$64)</f>
        <v>0</v>
      </c>
      <c r="G54" s="196">
        <f>SUMIF('Monthly CF'!$C$4:$DR$4,G$3,'Monthly CF'!$C$64:$DR$64)</f>
        <v>0</v>
      </c>
      <c r="H54" s="196">
        <f>SUMIF('Monthly CF'!$C$4:$DR$4,H$3,'Monthly CF'!$C$64:$DR$64)</f>
        <v>0</v>
      </c>
      <c r="I54" s="196">
        <f>SUMIF('Monthly CF'!$C$4:$DR$4,I$3,'Monthly CF'!$C$64:$DR$64)</f>
        <v>0</v>
      </c>
      <c r="J54" s="196">
        <f>SUMIF('Monthly CF'!$C$4:$DR$4,J$3,'Monthly CF'!$C$64:$DR$64)</f>
        <v>0</v>
      </c>
      <c r="K54" s="196">
        <f>SUMIF('Monthly CF'!$C$4:$DR$4,K$3,'Monthly CF'!$C$64:$DR$64)</f>
        <v>0</v>
      </c>
      <c r="L54" s="196">
        <f>SUMIF('Monthly CF'!$C$4:$DR$4,L$3,'Monthly CF'!$C$64:$DR$64)</f>
        <v>0</v>
      </c>
      <c r="M54" s="196">
        <f>SUMIF('Monthly CF'!$C$4:$DR$4,M$3,'Monthly CF'!$C$64:$DR$64)</f>
        <v>0</v>
      </c>
      <c r="N54" s="196">
        <f>SUMIF('Monthly CF'!$C$4:$DR$4,N$3,'Monthly CF'!$C$64:$DR$64)</f>
        <v>0</v>
      </c>
      <c r="O54" s="196">
        <f>SUMIF('Monthly CF'!$C$4:$DR$4,O$3,'Monthly CF'!$C$64:$DR$64)</f>
        <v>0</v>
      </c>
      <c r="P54" s="196">
        <f>SUMIF('Monthly CF'!$C$4:$DR$4,P$3,'Monthly CF'!$C$64:$DR$64)</f>
        <v>0</v>
      </c>
      <c r="Q54" s="196">
        <f>SUMIF('Monthly CF'!$C$4:$DR$4,Q$3,'Monthly CF'!$C$64:$DR$64)</f>
        <v>0</v>
      </c>
      <c r="R54" s="196">
        <f>SUMIF('Monthly CF'!$C$4:$DR$4,R$3,'Monthly CF'!$C$64:$DR$64)</f>
        <v>0</v>
      </c>
      <c r="S54" s="196">
        <f>SUMIF('Monthly CF'!$C$4:$DR$4,S$3,'Monthly CF'!$C$64:$DR$64)</f>
        <v>0</v>
      </c>
      <c r="T54" s="196">
        <f>SUMIF('Monthly CF'!$C$4:$DR$4,T$3,'Monthly CF'!$C$64:$DR$64)</f>
        <v>0</v>
      </c>
      <c r="U54" s="196">
        <f>SUMIF('Monthly CF'!$C$4:$DR$4,U$3,'Monthly CF'!$C$64:$DR$64)</f>
        <v>0</v>
      </c>
      <c r="V54" s="196">
        <f>SUMIF('Monthly CF'!$C$4:$DR$4,V$3,'Monthly CF'!$C$64:$DR$64)</f>
        <v>0</v>
      </c>
      <c r="W54" s="196">
        <f>SUMIF('Monthly CF'!$C$4:$DR$4,W$3,'Monthly CF'!$C$64:$DR$64)</f>
        <v>0</v>
      </c>
      <c r="X54" s="196">
        <f>SUMIF('Monthly CF'!$C$4:$DR$4,X$3,'Monthly CF'!$C$64:$DR$64)</f>
        <v>0</v>
      </c>
      <c r="Y54" s="196">
        <f>SUMIF('Monthly CF'!$C$4:$DR$4,Y$3,'Monthly CF'!$C$64:$DR$64)</f>
        <v>0</v>
      </c>
      <c r="Z54" s="196">
        <f>SUMIF('Monthly CF'!$C$4:$DR$4,Z$3,'Monthly CF'!$C$64:$DR$64)</f>
        <v>0</v>
      </c>
      <c r="AA54" s="196">
        <f>SUMIF('Monthly CF'!$C$4:$DR$4,AA$3,'Monthly CF'!$C$64:$DR$64)</f>
        <v>0</v>
      </c>
      <c r="AB54" s="196">
        <f>SUMIF('Monthly CF'!$C$4:$DR$4,AB$3,'Monthly CF'!$C$64:$DR$64)</f>
        <v>0</v>
      </c>
      <c r="AC54" s="196">
        <f>SUMIF('Monthly CF'!$C$4:$DR$4,AC$3,'Monthly CF'!$C$64:$DR$64)</f>
        <v>0</v>
      </c>
      <c r="AD54" s="196">
        <f>SUMIF('Monthly CF'!$C$4:$DR$4,AD$3,'Monthly CF'!$C$64:$DR$64)</f>
        <v>0</v>
      </c>
      <c r="AE54" s="196">
        <f>SUMIF('Monthly CF'!$C$4:$DR$4,AE$3,'Monthly CF'!$C$64:$DR$64)</f>
        <v>0</v>
      </c>
      <c r="AF54" s="196">
        <f>SUMIF('Monthly CF'!$C$4:$DR$4,AF$3,'Monthly CF'!$C$64:$DR$64)</f>
        <v>0</v>
      </c>
      <c r="AG54" s="196">
        <f>SUMIF('Monthly CF'!$C$4:$DR$4,AG$3,'Monthly CF'!$C$64:$DR$64)</f>
        <v>0</v>
      </c>
      <c r="AH54" s="196">
        <f>SUMIF('Monthly CF'!$C$4:$DR$4,AH$3,'Monthly CF'!$C$64:$DR$64)</f>
        <v>0</v>
      </c>
      <c r="AI54" s="196">
        <f>SUMIF('Monthly CF'!$C$4:$DR$4,AI$3,'Monthly CF'!$C$64:$DR$64)</f>
        <v>0</v>
      </c>
      <c r="AJ54" s="196">
        <f>SUMIF('Monthly CF'!$C$4:$DR$4,AJ$3,'Monthly CF'!$C$64:$DR$64)</f>
        <v>0</v>
      </c>
      <c r="AK54" s="196">
        <f>SUMIF('Monthly CF'!$C$4:$DR$4,AK$3,'Monthly CF'!$C$64:$DR$64)</f>
        <v>0</v>
      </c>
      <c r="AL54" s="196">
        <f>SUMIF('Monthly CF'!$C$4:$DR$4,AL$3,'Monthly CF'!$C$64:$DR$64)</f>
        <v>0</v>
      </c>
      <c r="AM54" s="196">
        <f>SUMIF('Monthly CF'!$C$4:$DR$4,AM$3,'Monthly CF'!$C$64:$DR$64)</f>
        <v>0</v>
      </c>
      <c r="AN54" s="196">
        <f>SUMIF('Monthly CF'!$C$4:$DR$4,AN$3,'Monthly CF'!$C$64:$DR$64)</f>
        <v>0</v>
      </c>
      <c r="AO54" s="196">
        <f>SUMIF('Monthly CF'!$C$4:$DR$4,AO$3,'Monthly CF'!$C$64:$DR$64)</f>
        <v>0</v>
      </c>
      <c r="AP54" s="196">
        <f>SUMIF('Monthly CF'!$C$4:$DR$4,AP$3,'Monthly CF'!$C$64:$DR$64)</f>
        <v>0</v>
      </c>
      <c r="AQ54" s="196">
        <f>SUMIF('Monthly CF'!$C$4:$DR$4,AQ$3,'Monthly CF'!$C$64:$DR$64)</f>
        <v>0</v>
      </c>
    </row>
    <row r="55" ht="15.75" customHeight="1">
      <c r="A55" s="44"/>
      <c r="B55" s="121" t="s">
        <v>344</v>
      </c>
      <c r="C55" s="197">
        <f t="array" ref="C55">INDEX('Monthly CF'!$C$65:$DR$65,MATCH(C$3*3,'Monthly CF'!$C$3:$DR$3,0))</f>
        <v>0</v>
      </c>
      <c r="D55" s="197">
        <f t="array" ref="D55">INDEX('Monthly CF'!$C$65:$DR$65,MATCH(D$3*3,'Monthly CF'!$C$3:$DR$3,0))</f>
        <v>0</v>
      </c>
      <c r="E55" s="197">
        <f t="array" ref="E55">INDEX('Monthly CF'!$C$65:$DR$65,MATCH(E$3*3,'Monthly CF'!$C$3:$DR$3,0))</f>
        <v>0</v>
      </c>
      <c r="F55" s="197">
        <f t="array" ref="F55">INDEX('Monthly CF'!$C$65:$DR$65,MATCH(F$3*3,'Monthly CF'!$C$3:$DR$3,0))</f>
        <v>0</v>
      </c>
      <c r="G55" s="197">
        <f t="array" ref="G55">INDEX('Monthly CF'!$C$65:$DR$65,MATCH(G$3*3,'Monthly CF'!$C$3:$DR$3,0))</f>
        <v>0</v>
      </c>
      <c r="H55" s="197">
        <f t="array" ref="H55">INDEX('Monthly CF'!$C$65:$DR$65,MATCH(H$3*3,'Monthly CF'!$C$3:$DR$3,0))</f>
        <v>0</v>
      </c>
      <c r="I55" s="197">
        <f t="array" ref="I55">INDEX('Monthly CF'!$C$65:$DR$65,MATCH(I$3*3,'Monthly CF'!$C$3:$DR$3,0))</f>
        <v>0</v>
      </c>
      <c r="J55" s="197">
        <f t="array" ref="J55">INDEX('Monthly CF'!$C$65:$DR$65,MATCH(J$3*3,'Monthly CF'!$C$3:$DR$3,0))</f>
        <v>0</v>
      </c>
      <c r="K55" s="197">
        <f t="array" ref="K55">INDEX('Monthly CF'!$C$65:$DR$65,MATCH(K$3*3,'Monthly CF'!$C$3:$DR$3,0))</f>
        <v>0</v>
      </c>
      <c r="L55" s="197">
        <f t="array" ref="L55">INDEX('Monthly CF'!$C$65:$DR$65,MATCH(L$3*3,'Monthly CF'!$C$3:$DR$3,0))</f>
        <v>0</v>
      </c>
      <c r="M55" s="197">
        <f t="array" ref="M55">INDEX('Monthly CF'!$C$65:$DR$65,MATCH(M$3*3,'Monthly CF'!$C$3:$DR$3,0))</f>
        <v>0</v>
      </c>
      <c r="N55" s="197">
        <f t="array" ref="N55">INDEX('Monthly CF'!$C$65:$DR$65,MATCH(N$3*3,'Monthly CF'!$C$3:$DR$3,0))</f>
        <v>0</v>
      </c>
      <c r="O55" s="197">
        <f t="array" ref="O55">INDEX('Monthly CF'!$C$65:$DR$65,MATCH(O$3*3,'Monthly CF'!$C$3:$DR$3,0))</f>
        <v>0</v>
      </c>
      <c r="P55" s="197">
        <f t="array" ref="P55">INDEX('Monthly CF'!$C$65:$DR$65,MATCH(P$3*3,'Monthly CF'!$C$3:$DR$3,0))</f>
        <v>0</v>
      </c>
      <c r="Q55" s="197">
        <f t="array" ref="Q55">INDEX('Monthly CF'!$C$65:$DR$65,MATCH(Q$3*3,'Monthly CF'!$C$3:$DR$3,0))</f>
        <v>0</v>
      </c>
      <c r="R55" s="197">
        <f t="array" ref="R55">INDEX('Monthly CF'!$C$65:$DR$65,MATCH(R$3*3,'Monthly CF'!$C$3:$DR$3,0))</f>
        <v>0</v>
      </c>
      <c r="S55" s="197">
        <f t="array" ref="S55">INDEX('Monthly CF'!$C$65:$DR$65,MATCH(S$3*3,'Monthly CF'!$C$3:$DR$3,0))</f>
        <v>0</v>
      </c>
      <c r="T55" s="197">
        <f t="array" ref="T55">INDEX('Monthly CF'!$C$65:$DR$65,MATCH(T$3*3,'Monthly CF'!$C$3:$DR$3,0))</f>
        <v>0</v>
      </c>
      <c r="U55" s="197">
        <f t="array" ref="U55">INDEX('Monthly CF'!$C$65:$DR$65,MATCH(U$3*3,'Monthly CF'!$C$3:$DR$3,0))</f>
        <v>0</v>
      </c>
      <c r="V55" s="197">
        <f t="array" ref="V55">INDEX('Monthly CF'!$C$65:$DR$65,MATCH(V$3*3,'Monthly CF'!$C$3:$DR$3,0))</f>
        <v>0</v>
      </c>
      <c r="W55" s="197">
        <f t="array" ref="W55">INDEX('Monthly CF'!$C$65:$DR$65,MATCH(W$3*3,'Monthly CF'!$C$3:$DR$3,0))</f>
        <v>0</v>
      </c>
      <c r="X55" s="197">
        <f t="array" ref="X55">INDEX('Monthly CF'!$C$65:$DR$65,MATCH(X$3*3,'Monthly CF'!$C$3:$DR$3,0))</f>
        <v>0</v>
      </c>
      <c r="Y55" s="197">
        <f t="array" ref="Y55">INDEX('Monthly CF'!$C$65:$DR$65,MATCH(Y$3*3,'Monthly CF'!$C$3:$DR$3,0))</f>
        <v>0</v>
      </c>
      <c r="Z55" s="197">
        <f t="array" ref="Z55">INDEX('Monthly CF'!$C$65:$DR$65,MATCH(Z$3*3,'Monthly CF'!$C$3:$DR$3,0))</f>
        <v>0</v>
      </c>
      <c r="AA55" s="197">
        <f t="array" ref="AA55">INDEX('Monthly CF'!$C$65:$DR$65,MATCH(AA$3*3,'Monthly CF'!$C$3:$DR$3,0))</f>
        <v>0</v>
      </c>
      <c r="AB55" s="197">
        <f t="array" ref="AB55">INDEX('Monthly CF'!$C$65:$DR$65,MATCH(AB$3*3,'Monthly CF'!$C$3:$DR$3,0))</f>
        <v>0</v>
      </c>
      <c r="AC55" s="197">
        <f t="array" ref="AC55">INDEX('Monthly CF'!$C$65:$DR$65,MATCH(AC$3*3,'Monthly CF'!$C$3:$DR$3,0))</f>
        <v>0</v>
      </c>
      <c r="AD55" s="197">
        <f t="array" ref="AD55">INDEX('Monthly CF'!$C$65:$DR$65,MATCH(AD$3*3,'Monthly CF'!$C$3:$DR$3,0))</f>
        <v>0</v>
      </c>
      <c r="AE55" s="197">
        <f t="array" ref="AE55">INDEX('Monthly CF'!$C$65:$DR$65,MATCH(AE$3*3,'Monthly CF'!$C$3:$DR$3,0))</f>
        <v>0</v>
      </c>
      <c r="AF55" s="197">
        <f t="array" ref="AF55">INDEX('Monthly CF'!$C$65:$DR$65,MATCH(AF$3*3,'Monthly CF'!$C$3:$DR$3,0))</f>
        <v>0</v>
      </c>
      <c r="AG55" s="197">
        <f t="array" ref="AG55">INDEX('Monthly CF'!$C$65:$DR$65,MATCH(AG$3*3,'Monthly CF'!$C$3:$DR$3,0))</f>
        <v>0</v>
      </c>
      <c r="AH55" s="197">
        <f t="array" ref="AH55">INDEX('Monthly CF'!$C$65:$DR$65,MATCH(AH$3*3,'Monthly CF'!$C$3:$DR$3,0))</f>
        <v>0</v>
      </c>
      <c r="AI55" s="197">
        <f t="array" ref="AI55">INDEX('Monthly CF'!$C$65:$DR$65,MATCH(AI$3*3,'Monthly CF'!$C$3:$DR$3,0))</f>
        <v>0</v>
      </c>
      <c r="AJ55" s="197">
        <f t="array" ref="AJ55">INDEX('Monthly CF'!$C$65:$DR$65,MATCH(AJ$3*3,'Monthly CF'!$C$3:$DR$3,0))</f>
        <v>0</v>
      </c>
      <c r="AK55" s="197">
        <f t="array" ref="AK55">INDEX('Monthly CF'!$C$65:$DR$65,MATCH(AK$3*3,'Monthly CF'!$C$3:$DR$3,0))</f>
        <v>0</v>
      </c>
      <c r="AL55" s="197">
        <f t="array" ref="AL55">INDEX('Monthly CF'!$C$65:$DR$65,MATCH(AL$3*3,'Monthly CF'!$C$3:$DR$3,0))</f>
        <v>0</v>
      </c>
      <c r="AM55" s="197">
        <f t="array" ref="AM55">INDEX('Monthly CF'!$C$65:$DR$65,MATCH(AM$3*3,'Monthly CF'!$C$3:$DR$3,0))</f>
        <v>0</v>
      </c>
      <c r="AN55" s="197">
        <f t="array" ref="AN55">INDEX('Monthly CF'!$C$65:$DR$65,MATCH(AN$3*3,'Monthly CF'!$C$3:$DR$3,0))</f>
        <v>0</v>
      </c>
      <c r="AO55" s="197">
        <f t="array" ref="AO55">INDEX('Monthly CF'!$C$65:$DR$65,MATCH(AO$3*3,'Monthly CF'!$C$3:$DR$3,0))</f>
        <v>0</v>
      </c>
      <c r="AP55" s="197">
        <f t="array" ref="AP55">INDEX('Monthly CF'!$C$65:$DR$65,MATCH(AP$3*3,'Monthly CF'!$C$3:$DR$3,0))</f>
        <v>0</v>
      </c>
      <c r="AQ55" s="197" t="str">
        <f t="array" ref="AQ55">INDEX('Monthly CF'!$C$65:$DR$65,MATCH(AQ$3*3,'Monthly CF'!$C$3:$DR$3,0))</f>
        <v>#N/A</v>
      </c>
    </row>
    <row r="56" ht="15.75" customHeight="1">
      <c r="A56" s="44"/>
      <c r="B56" s="96" t="s">
        <v>350</v>
      </c>
      <c r="C56" s="199">
        <f>SUMIF('Monthly CF'!$C$4:$DR$4,C$3,'Monthly CF'!$C$66:$DR$66)</f>
        <v>0</v>
      </c>
      <c r="D56" s="199">
        <f>SUMIF('Monthly CF'!$C$4:$DR$4,D$3,'Monthly CF'!$C$66:$DR$66)</f>
        <v>0</v>
      </c>
      <c r="E56" s="199">
        <f>SUMIF('Monthly CF'!$C$4:$DR$4,E$3,'Monthly CF'!$C$66:$DR$66)</f>
        <v>0</v>
      </c>
      <c r="F56" s="199">
        <f>SUMIF('Monthly CF'!$C$4:$DR$4,F$3,'Monthly CF'!$C$66:$DR$66)</f>
        <v>0</v>
      </c>
      <c r="G56" s="199">
        <f>SUMIF('Monthly CF'!$C$4:$DR$4,G$3,'Monthly CF'!$C$66:$DR$66)</f>
        <v>0</v>
      </c>
      <c r="H56" s="199">
        <f>SUMIF('Monthly CF'!$C$4:$DR$4,H$3,'Monthly CF'!$C$66:$DR$66)</f>
        <v>0</v>
      </c>
      <c r="I56" s="199">
        <f>SUMIF('Monthly CF'!$C$4:$DR$4,I$3,'Monthly CF'!$C$66:$DR$66)</f>
        <v>0</v>
      </c>
      <c r="J56" s="199">
        <f>SUMIF('Monthly CF'!$C$4:$DR$4,J$3,'Monthly CF'!$C$66:$DR$66)</f>
        <v>0</v>
      </c>
      <c r="K56" s="199">
        <f>SUMIF('Monthly CF'!$C$4:$DR$4,K$3,'Monthly CF'!$C$66:$DR$66)</f>
        <v>0</v>
      </c>
      <c r="L56" s="199">
        <f>SUMIF('Monthly CF'!$C$4:$DR$4,L$3,'Monthly CF'!$C$66:$DR$66)</f>
        <v>0</v>
      </c>
      <c r="M56" s="199">
        <f>SUMIF('Monthly CF'!$C$4:$DR$4,M$3,'Monthly CF'!$C$66:$DR$66)</f>
        <v>0</v>
      </c>
      <c r="N56" s="199">
        <f>SUMIF('Monthly CF'!$C$4:$DR$4,N$3,'Monthly CF'!$C$66:$DR$66)</f>
        <v>0</v>
      </c>
      <c r="O56" s="199">
        <f>SUMIF('Monthly CF'!$C$4:$DR$4,O$3,'Monthly CF'!$C$66:$DR$66)</f>
        <v>0</v>
      </c>
      <c r="P56" s="199">
        <f>SUMIF('Monthly CF'!$C$4:$DR$4,P$3,'Monthly CF'!$C$66:$DR$66)</f>
        <v>0</v>
      </c>
      <c r="Q56" s="199">
        <f>SUMIF('Monthly CF'!$C$4:$DR$4,Q$3,'Monthly CF'!$C$66:$DR$66)</f>
        <v>0</v>
      </c>
      <c r="R56" s="199">
        <f>SUMIF('Monthly CF'!$C$4:$DR$4,R$3,'Monthly CF'!$C$66:$DR$66)</f>
        <v>0</v>
      </c>
      <c r="S56" s="199">
        <f>SUMIF('Monthly CF'!$C$4:$DR$4,S$3,'Monthly CF'!$C$66:$DR$66)</f>
        <v>0</v>
      </c>
      <c r="T56" s="199">
        <f>SUMIF('Monthly CF'!$C$4:$DR$4,T$3,'Monthly CF'!$C$66:$DR$66)</f>
        <v>0</v>
      </c>
      <c r="U56" s="199">
        <f>SUMIF('Monthly CF'!$C$4:$DR$4,U$3,'Monthly CF'!$C$66:$DR$66)</f>
        <v>0</v>
      </c>
      <c r="V56" s="199">
        <f>SUMIF('Monthly CF'!$C$4:$DR$4,V$3,'Monthly CF'!$C$66:$DR$66)</f>
        <v>0</v>
      </c>
      <c r="W56" s="199">
        <f>SUMIF('Monthly CF'!$C$4:$DR$4,W$3,'Monthly CF'!$C$66:$DR$66)</f>
        <v>0</v>
      </c>
      <c r="X56" s="199">
        <f>SUMIF('Monthly CF'!$C$4:$DR$4,X$3,'Monthly CF'!$C$66:$DR$66)</f>
        <v>0</v>
      </c>
      <c r="Y56" s="199">
        <f>SUMIF('Monthly CF'!$C$4:$DR$4,Y$3,'Monthly CF'!$C$66:$DR$66)</f>
        <v>0</v>
      </c>
      <c r="Z56" s="199">
        <f>SUMIF('Monthly CF'!$C$4:$DR$4,Z$3,'Monthly CF'!$C$66:$DR$66)</f>
        <v>0</v>
      </c>
      <c r="AA56" s="199">
        <f>SUMIF('Monthly CF'!$C$4:$DR$4,AA$3,'Monthly CF'!$C$66:$DR$66)</f>
        <v>0</v>
      </c>
      <c r="AB56" s="199">
        <f>SUMIF('Monthly CF'!$C$4:$DR$4,AB$3,'Monthly CF'!$C$66:$DR$66)</f>
        <v>0</v>
      </c>
      <c r="AC56" s="199">
        <f>SUMIF('Monthly CF'!$C$4:$DR$4,AC$3,'Monthly CF'!$C$66:$DR$66)</f>
        <v>0</v>
      </c>
      <c r="AD56" s="199">
        <f>SUMIF('Monthly CF'!$C$4:$DR$4,AD$3,'Monthly CF'!$C$66:$DR$66)</f>
        <v>0</v>
      </c>
      <c r="AE56" s="199">
        <f>SUMIF('Monthly CF'!$C$4:$DR$4,AE$3,'Monthly CF'!$C$66:$DR$66)</f>
        <v>0</v>
      </c>
      <c r="AF56" s="199">
        <f>SUMIF('Monthly CF'!$C$4:$DR$4,AF$3,'Monthly CF'!$C$66:$DR$66)</f>
        <v>0</v>
      </c>
      <c r="AG56" s="199">
        <f>SUMIF('Monthly CF'!$C$4:$DR$4,AG$3,'Monthly CF'!$C$66:$DR$66)</f>
        <v>0</v>
      </c>
      <c r="AH56" s="199">
        <f>SUMIF('Monthly CF'!$C$4:$DR$4,AH$3,'Monthly CF'!$C$66:$DR$66)</f>
        <v>0</v>
      </c>
      <c r="AI56" s="199">
        <f>SUMIF('Monthly CF'!$C$4:$DR$4,AI$3,'Monthly CF'!$C$66:$DR$66)</f>
        <v>0</v>
      </c>
      <c r="AJ56" s="199">
        <f>SUMIF('Monthly CF'!$C$4:$DR$4,AJ$3,'Monthly CF'!$C$66:$DR$66)</f>
        <v>0</v>
      </c>
      <c r="AK56" s="199">
        <f>SUMIF('Monthly CF'!$C$4:$DR$4,AK$3,'Monthly CF'!$C$66:$DR$66)</f>
        <v>0</v>
      </c>
      <c r="AL56" s="199">
        <f>SUMIF('Monthly CF'!$C$4:$DR$4,AL$3,'Monthly CF'!$C$66:$DR$66)</f>
        <v>0</v>
      </c>
      <c r="AM56" s="199">
        <f>SUMIF('Monthly CF'!$C$4:$DR$4,AM$3,'Monthly CF'!$C$66:$DR$66)</f>
        <v>0</v>
      </c>
      <c r="AN56" s="199">
        <f>SUMIF('Monthly CF'!$C$4:$DR$4,AN$3,'Monthly CF'!$C$66:$DR$66)</f>
        <v>0</v>
      </c>
      <c r="AO56" s="199">
        <f>SUMIF('Monthly CF'!$C$4:$DR$4,AO$3,'Monthly CF'!$C$66:$DR$66)</f>
        <v>0</v>
      </c>
      <c r="AP56" s="199">
        <f>SUMIF('Monthly CF'!$C$4:$DR$4,AP$3,'Monthly CF'!$C$66:$DR$66)</f>
        <v>0</v>
      </c>
      <c r="AQ56" s="199">
        <f>SUMIF('Monthly CF'!$C$4:$DR$4,AQ$3,'Monthly CF'!$C$66:$DR$66)</f>
        <v>0</v>
      </c>
    </row>
    <row r="57" ht="15.75" customHeight="1">
      <c r="A57" s="44"/>
      <c r="B57" s="96"/>
      <c r="C57" s="96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200"/>
      <c r="AO57" s="200"/>
      <c r="AP57" s="200"/>
      <c r="AQ57" s="201"/>
    </row>
    <row r="58" ht="15.75" customHeight="1">
      <c r="A58" s="44"/>
      <c r="B58" s="96" t="s">
        <v>156</v>
      </c>
      <c r="C58" s="196">
        <f>SUMIF('Monthly CF'!$C$4:$DR$4,C$3,'Monthly CF'!$C$68:$DR$68)</f>
        <v>-345000</v>
      </c>
      <c r="D58" s="196">
        <f>SUMIF('Monthly CF'!$C$4:$DR$4,D$3,'Monthly CF'!$C$68:$DR$68)</f>
        <v>0</v>
      </c>
      <c r="E58" s="196">
        <f>SUMIF('Monthly CF'!$C$4:$DR$4,E$3,'Monthly CF'!$C$68:$DR$68)</f>
        <v>0</v>
      </c>
      <c r="F58" s="196">
        <f>SUMIF('Monthly CF'!$C$4:$DR$4,F$3,'Monthly CF'!$C$68:$DR$68)</f>
        <v>0</v>
      </c>
      <c r="G58" s="196">
        <f>SUMIF('Monthly CF'!$C$4:$DR$4,G$3,'Monthly CF'!$C$68:$DR$68)</f>
        <v>0</v>
      </c>
      <c r="H58" s="196">
        <f>SUMIF('Monthly CF'!$C$4:$DR$4,H$3,'Monthly CF'!$C$68:$DR$68)</f>
        <v>0</v>
      </c>
      <c r="I58" s="196">
        <f>SUMIF('Monthly CF'!$C$4:$DR$4,I$3,'Monthly CF'!$C$68:$DR$68)</f>
        <v>0</v>
      </c>
      <c r="J58" s="196">
        <f>SUMIF('Monthly CF'!$C$4:$DR$4,J$3,'Monthly CF'!$C$68:$DR$68)</f>
        <v>0</v>
      </c>
      <c r="K58" s="196">
        <f>SUMIF('Monthly CF'!$C$4:$DR$4,K$3,'Monthly CF'!$C$68:$DR$68)</f>
        <v>0</v>
      </c>
      <c r="L58" s="196">
        <f>SUMIF('Monthly CF'!$C$4:$DR$4,L$3,'Monthly CF'!$C$68:$DR$68)</f>
        <v>0</v>
      </c>
      <c r="M58" s="196">
        <f>SUMIF('Monthly CF'!$C$4:$DR$4,M$3,'Monthly CF'!$C$68:$DR$68)</f>
        <v>0</v>
      </c>
      <c r="N58" s="196">
        <f>SUMIF('Monthly CF'!$C$4:$DR$4,N$3,'Monthly CF'!$C$68:$DR$68)</f>
        <v>0</v>
      </c>
      <c r="O58" s="196">
        <f>SUMIF('Monthly CF'!$C$4:$DR$4,O$3,'Monthly CF'!$C$68:$DR$68)</f>
        <v>0</v>
      </c>
      <c r="P58" s="196">
        <f>SUMIF('Monthly CF'!$C$4:$DR$4,P$3,'Monthly CF'!$C$68:$DR$68)</f>
        <v>0</v>
      </c>
      <c r="Q58" s="196">
        <f>SUMIF('Monthly CF'!$C$4:$DR$4,Q$3,'Monthly CF'!$C$68:$DR$68)</f>
        <v>0</v>
      </c>
      <c r="R58" s="196">
        <f>SUMIF('Monthly CF'!$C$4:$DR$4,R$3,'Monthly CF'!$C$68:$DR$68)</f>
        <v>0</v>
      </c>
      <c r="S58" s="196">
        <f>SUMIF('Monthly CF'!$C$4:$DR$4,S$3,'Monthly CF'!$C$68:$DR$68)</f>
        <v>0</v>
      </c>
      <c r="T58" s="196">
        <f>SUMIF('Monthly CF'!$C$4:$DR$4,T$3,'Monthly CF'!$C$68:$DR$68)</f>
        <v>0</v>
      </c>
      <c r="U58" s="196">
        <f>SUMIF('Monthly CF'!$C$4:$DR$4,U$3,'Monthly CF'!$C$68:$DR$68)</f>
        <v>0</v>
      </c>
      <c r="V58" s="196">
        <f>SUMIF('Monthly CF'!$C$4:$DR$4,V$3,'Monthly CF'!$C$68:$DR$68)</f>
        <v>0</v>
      </c>
      <c r="W58" s="196">
        <f>SUMIF('Monthly CF'!$C$4:$DR$4,W$3,'Monthly CF'!$C$68:$DR$68)</f>
        <v>0</v>
      </c>
      <c r="X58" s="196">
        <f>SUMIF('Monthly CF'!$C$4:$DR$4,X$3,'Monthly CF'!$C$68:$DR$68)</f>
        <v>0</v>
      </c>
      <c r="Y58" s="196">
        <f>SUMIF('Monthly CF'!$C$4:$DR$4,Y$3,'Monthly CF'!$C$68:$DR$68)</f>
        <v>0</v>
      </c>
      <c r="Z58" s="196">
        <f>SUMIF('Monthly CF'!$C$4:$DR$4,Z$3,'Monthly CF'!$C$68:$DR$68)</f>
        <v>0</v>
      </c>
      <c r="AA58" s="196">
        <f>SUMIF('Monthly CF'!$C$4:$DR$4,AA$3,'Monthly CF'!$C$68:$DR$68)</f>
        <v>0</v>
      </c>
      <c r="AB58" s="196">
        <f>SUMIF('Monthly CF'!$C$4:$DR$4,AB$3,'Monthly CF'!$C$68:$DR$68)</f>
        <v>0</v>
      </c>
      <c r="AC58" s="196">
        <f>SUMIF('Monthly CF'!$C$4:$DR$4,AC$3,'Monthly CF'!$C$68:$DR$68)</f>
        <v>0</v>
      </c>
      <c r="AD58" s="196">
        <f>SUMIF('Monthly CF'!$C$4:$DR$4,AD$3,'Monthly CF'!$C$68:$DR$68)</f>
        <v>0</v>
      </c>
      <c r="AE58" s="196">
        <f>SUMIF('Monthly CF'!$C$4:$DR$4,AE$3,'Monthly CF'!$C$68:$DR$68)</f>
        <v>0</v>
      </c>
      <c r="AF58" s="196">
        <f>SUMIF('Monthly CF'!$C$4:$DR$4,AF$3,'Monthly CF'!$C$68:$DR$68)</f>
        <v>0</v>
      </c>
      <c r="AG58" s="196">
        <f>SUMIF('Monthly CF'!$C$4:$DR$4,AG$3,'Monthly CF'!$C$68:$DR$68)</f>
        <v>0</v>
      </c>
      <c r="AH58" s="196">
        <f>SUMIF('Monthly CF'!$C$4:$DR$4,AH$3,'Monthly CF'!$C$68:$DR$68)</f>
        <v>0</v>
      </c>
      <c r="AI58" s="196">
        <f>SUMIF('Monthly CF'!$C$4:$DR$4,AI$3,'Monthly CF'!$C$68:$DR$68)</f>
        <v>0</v>
      </c>
      <c r="AJ58" s="196">
        <f>SUMIF('Monthly CF'!$C$4:$DR$4,AJ$3,'Monthly CF'!$C$68:$DR$68)</f>
        <v>0</v>
      </c>
      <c r="AK58" s="196">
        <f>SUMIF('Monthly CF'!$C$4:$DR$4,AK$3,'Monthly CF'!$C$68:$DR$68)</f>
        <v>0</v>
      </c>
      <c r="AL58" s="196">
        <f>SUMIF('Monthly CF'!$C$4:$DR$4,AL$3,'Monthly CF'!$C$68:$DR$68)</f>
        <v>0</v>
      </c>
      <c r="AM58" s="196">
        <f>SUMIF('Monthly CF'!$C$4:$DR$4,AM$3,'Monthly CF'!$C$68:$DR$68)</f>
        <v>0</v>
      </c>
      <c r="AN58" s="196">
        <f>SUMIF('Monthly CF'!$C$4:$DR$4,AN$3,'Monthly CF'!$C$68:$DR$68)</f>
        <v>0</v>
      </c>
      <c r="AO58" s="196">
        <f>SUMIF('Monthly CF'!$C$4:$DR$4,AO$3,'Monthly CF'!$C$68:$DR$68)</f>
        <v>0</v>
      </c>
      <c r="AP58" s="196">
        <f>SUMIF('Monthly CF'!$C$4:$DR$4,AP$3,'Monthly CF'!$C$68:$DR$68)</f>
        <v>0</v>
      </c>
      <c r="AQ58" s="196">
        <f>SUMIF('Monthly CF'!$C$4:$DR$4,AQ$3,'Monthly CF'!$C$68:$DR$68)</f>
        <v>0</v>
      </c>
    </row>
    <row r="59" ht="15.75" customHeight="1">
      <c r="A59" s="44"/>
      <c r="B59" s="96" t="s">
        <v>352</v>
      </c>
      <c r="C59" s="196">
        <f>SUMIF('Monthly CF'!$C$4:$DR$4,C$3,'Monthly CF'!$C$69:$DR$69)</f>
        <v>0</v>
      </c>
      <c r="D59" s="196">
        <f>SUMIF('Monthly CF'!$C$4:$DR$4,D$3,'Monthly CF'!$C$69:$DR$69)</f>
        <v>0</v>
      </c>
      <c r="E59" s="196">
        <f>SUMIF('Monthly CF'!$C$4:$DR$4,E$3,'Monthly CF'!$C$69:$DR$69)</f>
        <v>0</v>
      </c>
      <c r="F59" s="196">
        <f>SUMIF('Monthly CF'!$C$4:$DR$4,F$3,'Monthly CF'!$C$69:$DR$69)</f>
        <v>0</v>
      </c>
      <c r="G59" s="196">
        <f>SUMIF('Monthly CF'!$C$4:$DR$4,G$3,'Monthly CF'!$C$69:$DR$69)</f>
        <v>0</v>
      </c>
      <c r="H59" s="196">
        <f>SUMIF('Monthly CF'!$C$4:$DR$4,H$3,'Monthly CF'!$C$69:$DR$69)</f>
        <v>0</v>
      </c>
      <c r="I59" s="196">
        <f>SUMIF('Monthly CF'!$C$4:$DR$4,I$3,'Monthly CF'!$C$69:$DR$69)</f>
        <v>0</v>
      </c>
      <c r="J59" s="196">
        <f>SUMIF('Monthly CF'!$C$4:$DR$4,J$3,'Monthly CF'!$C$69:$DR$69)</f>
        <v>0</v>
      </c>
      <c r="K59" s="196">
        <f>SUMIF('Monthly CF'!$C$4:$DR$4,K$3,'Monthly CF'!$C$69:$DR$69)</f>
        <v>0</v>
      </c>
      <c r="L59" s="196">
        <f>SUMIF('Monthly CF'!$C$4:$DR$4,L$3,'Monthly CF'!$C$69:$DR$69)</f>
        <v>0</v>
      </c>
      <c r="M59" s="196">
        <f>SUMIF('Monthly CF'!$C$4:$DR$4,M$3,'Monthly CF'!$C$69:$DR$69)</f>
        <v>0</v>
      </c>
      <c r="N59" s="196">
        <f>SUMIF('Monthly CF'!$C$4:$DR$4,N$3,'Monthly CF'!$C$69:$DR$69)</f>
        <v>0</v>
      </c>
      <c r="O59" s="196">
        <f>SUMIF('Monthly CF'!$C$4:$DR$4,O$3,'Monthly CF'!$C$69:$DR$69)</f>
        <v>0</v>
      </c>
      <c r="P59" s="196">
        <f>SUMIF('Monthly CF'!$C$4:$DR$4,P$3,'Monthly CF'!$C$69:$DR$69)</f>
        <v>0</v>
      </c>
      <c r="Q59" s="196">
        <f>SUMIF('Monthly CF'!$C$4:$DR$4,Q$3,'Monthly CF'!$C$69:$DR$69)</f>
        <v>0</v>
      </c>
      <c r="R59" s="196">
        <f>SUMIF('Monthly CF'!$C$4:$DR$4,R$3,'Monthly CF'!$C$69:$DR$69)</f>
        <v>0</v>
      </c>
      <c r="S59" s="196">
        <f>SUMIF('Monthly CF'!$C$4:$DR$4,S$3,'Monthly CF'!$C$69:$DR$69)</f>
        <v>0</v>
      </c>
      <c r="T59" s="196">
        <f>SUMIF('Monthly CF'!$C$4:$DR$4,T$3,'Monthly CF'!$C$69:$DR$69)</f>
        <v>0</v>
      </c>
      <c r="U59" s="196">
        <f>SUMIF('Monthly CF'!$C$4:$DR$4,U$3,'Monthly CF'!$C$69:$DR$69)</f>
        <v>0</v>
      </c>
      <c r="V59" s="196">
        <f>SUMIF('Monthly CF'!$C$4:$DR$4,V$3,'Monthly CF'!$C$69:$DR$69)</f>
        <v>0</v>
      </c>
      <c r="W59" s="196">
        <f>SUMIF('Monthly CF'!$C$4:$DR$4,W$3,'Monthly CF'!$C$69:$DR$69)</f>
        <v>0</v>
      </c>
      <c r="X59" s="196">
        <f>SUMIF('Monthly CF'!$C$4:$DR$4,X$3,'Monthly CF'!$C$69:$DR$69)</f>
        <v>0</v>
      </c>
      <c r="Y59" s="196">
        <f>SUMIF('Monthly CF'!$C$4:$DR$4,Y$3,'Monthly CF'!$C$69:$DR$69)</f>
        <v>0</v>
      </c>
      <c r="Z59" s="196">
        <f>SUMIF('Monthly CF'!$C$4:$DR$4,Z$3,'Monthly CF'!$C$69:$DR$69)</f>
        <v>0</v>
      </c>
      <c r="AA59" s="196">
        <f>SUMIF('Monthly CF'!$C$4:$DR$4,AA$3,'Monthly CF'!$C$69:$DR$69)</f>
        <v>0</v>
      </c>
      <c r="AB59" s="196">
        <f>SUMIF('Monthly CF'!$C$4:$DR$4,AB$3,'Monthly CF'!$C$69:$DR$69)</f>
        <v>0</v>
      </c>
      <c r="AC59" s="196">
        <f>SUMIF('Monthly CF'!$C$4:$DR$4,AC$3,'Monthly CF'!$C$69:$DR$69)</f>
        <v>0</v>
      </c>
      <c r="AD59" s="196">
        <f>SUMIF('Monthly CF'!$C$4:$DR$4,AD$3,'Monthly CF'!$C$69:$DR$69)</f>
        <v>0</v>
      </c>
      <c r="AE59" s="196">
        <f>SUMIF('Monthly CF'!$C$4:$DR$4,AE$3,'Monthly CF'!$C$69:$DR$69)</f>
        <v>0</v>
      </c>
      <c r="AF59" s="196">
        <f>SUMIF('Monthly CF'!$C$4:$DR$4,AF$3,'Monthly CF'!$C$69:$DR$69)</f>
        <v>0</v>
      </c>
      <c r="AG59" s="196">
        <f>SUMIF('Monthly CF'!$C$4:$DR$4,AG$3,'Monthly CF'!$C$69:$DR$69)</f>
        <v>0</v>
      </c>
      <c r="AH59" s="196">
        <f>SUMIF('Monthly CF'!$C$4:$DR$4,AH$3,'Monthly CF'!$C$69:$DR$69)</f>
        <v>0</v>
      </c>
      <c r="AI59" s="196">
        <f>SUMIF('Monthly CF'!$C$4:$DR$4,AI$3,'Monthly CF'!$C$69:$DR$69)</f>
        <v>0</v>
      </c>
      <c r="AJ59" s="196">
        <f>SUMIF('Monthly CF'!$C$4:$DR$4,AJ$3,'Monthly CF'!$C$69:$DR$69)</f>
        <v>0</v>
      </c>
      <c r="AK59" s="196">
        <f>SUMIF('Monthly CF'!$C$4:$DR$4,AK$3,'Monthly CF'!$C$69:$DR$69)</f>
        <v>0</v>
      </c>
      <c r="AL59" s="196">
        <f>SUMIF('Monthly CF'!$C$4:$DR$4,AL$3,'Monthly CF'!$C$69:$DR$69)</f>
        <v>0</v>
      </c>
      <c r="AM59" s="196">
        <f>SUMIF('Monthly CF'!$C$4:$DR$4,AM$3,'Monthly CF'!$C$69:$DR$69)</f>
        <v>0</v>
      </c>
      <c r="AN59" s="196">
        <f>SUMIF('Monthly CF'!$C$4:$DR$4,AN$3,'Monthly CF'!$C$69:$DR$69)</f>
        <v>0</v>
      </c>
      <c r="AO59" s="196">
        <f>SUMIF('Monthly CF'!$C$4:$DR$4,AO$3,'Monthly CF'!$C$69:$DR$69)</f>
        <v>0</v>
      </c>
      <c r="AP59" s="196">
        <f>SUMIF('Monthly CF'!$C$4:$DR$4,AP$3,'Monthly CF'!$C$69:$DR$69)</f>
        <v>0</v>
      </c>
      <c r="AQ59" s="196">
        <f>SUMIF('Monthly CF'!$C$4:$DR$4,AQ$3,'Monthly CF'!$C$69:$DR$69)</f>
        <v>0</v>
      </c>
    </row>
    <row r="60" ht="15.75" customHeight="1">
      <c r="A60" s="44"/>
      <c r="B60" s="96" t="s">
        <v>353</v>
      </c>
      <c r="C60" s="196">
        <f>SUMIF('Monthly CF'!$C$4:$DR$4,C$3,'Monthly CF'!$C$70:$DR$70)</f>
        <v>0</v>
      </c>
      <c r="D60" s="196">
        <f>SUMIF('Monthly CF'!$C$4:$DR$4,D$3,'Monthly CF'!$C$70:$DR$70)</f>
        <v>0</v>
      </c>
      <c r="E60" s="196">
        <f>SUMIF('Monthly CF'!$C$4:$DR$4,E$3,'Monthly CF'!$C$70:$DR$70)</f>
        <v>0</v>
      </c>
      <c r="F60" s="196">
        <f>SUMIF('Monthly CF'!$C$4:$DR$4,F$3,'Monthly CF'!$C$70:$DR$70)</f>
        <v>0</v>
      </c>
      <c r="G60" s="196">
        <f>SUMIF('Monthly CF'!$C$4:$DR$4,G$3,'Monthly CF'!$C$70:$DR$70)</f>
        <v>0</v>
      </c>
      <c r="H60" s="196">
        <f>SUMIF('Monthly CF'!$C$4:$DR$4,H$3,'Monthly CF'!$C$70:$DR$70)</f>
        <v>0</v>
      </c>
      <c r="I60" s="196">
        <f>SUMIF('Monthly CF'!$C$4:$DR$4,I$3,'Monthly CF'!$C$70:$DR$70)</f>
        <v>0</v>
      </c>
      <c r="J60" s="196">
        <f>SUMIF('Monthly CF'!$C$4:$DR$4,J$3,'Monthly CF'!$C$70:$DR$70)</f>
        <v>0</v>
      </c>
      <c r="K60" s="196">
        <f>SUMIF('Monthly CF'!$C$4:$DR$4,K$3,'Monthly CF'!$C$70:$DR$70)</f>
        <v>0</v>
      </c>
      <c r="L60" s="196">
        <f>SUMIF('Monthly CF'!$C$4:$DR$4,L$3,'Monthly CF'!$C$70:$DR$70)</f>
        <v>0</v>
      </c>
      <c r="M60" s="196">
        <f>SUMIF('Monthly CF'!$C$4:$DR$4,M$3,'Monthly CF'!$C$70:$DR$70)</f>
        <v>0</v>
      </c>
      <c r="N60" s="196">
        <f>SUMIF('Monthly CF'!$C$4:$DR$4,N$3,'Monthly CF'!$C$70:$DR$70)</f>
        <v>0</v>
      </c>
      <c r="O60" s="196">
        <f>SUMIF('Monthly CF'!$C$4:$DR$4,O$3,'Monthly CF'!$C$70:$DR$70)</f>
        <v>0</v>
      </c>
      <c r="P60" s="196">
        <f>SUMIF('Monthly CF'!$C$4:$DR$4,P$3,'Monthly CF'!$C$70:$DR$70)</f>
        <v>0</v>
      </c>
      <c r="Q60" s="196">
        <f>SUMIF('Monthly CF'!$C$4:$DR$4,Q$3,'Monthly CF'!$C$70:$DR$70)</f>
        <v>0</v>
      </c>
      <c r="R60" s="196">
        <f>SUMIF('Monthly CF'!$C$4:$DR$4,R$3,'Monthly CF'!$C$70:$DR$70)</f>
        <v>0</v>
      </c>
      <c r="S60" s="196">
        <f>SUMIF('Monthly CF'!$C$4:$DR$4,S$3,'Monthly CF'!$C$70:$DR$70)</f>
        <v>0</v>
      </c>
      <c r="T60" s="196">
        <f>SUMIF('Monthly CF'!$C$4:$DR$4,T$3,'Monthly CF'!$C$70:$DR$70)</f>
        <v>0</v>
      </c>
      <c r="U60" s="196">
        <f>SUMIF('Monthly CF'!$C$4:$DR$4,U$3,'Monthly CF'!$C$70:$DR$70)</f>
        <v>0</v>
      </c>
      <c r="V60" s="196">
        <f>SUMIF('Monthly CF'!$C$4:$DR$4,V$3,'Monthly CF'!$C$70:$DR$70)</f>
        <v>0</v>
      </c>
      <c r="W60" s="196">
        <f>SUMIF('Monthly CF'!$C$4:$DR$4,W$3,'Monthly CF'!$C$70:$DR$70)</f>
        <v>0</v>
      </c>
      <c r="X60" s="196">
        <f>SUMIF('Monthly CF'!$C$4:$DR$4,X$3,'Monthly CF'!$C$70:$DR$70)</f>
        <v>0</v>
      </c>
      <c r="Y60" s="196">
        <f>SUMIF('Monthly CF'!$C$4:$DR$4,Y$3,'Monthly CF'!$C$70:$DR$70)</f>
        <v>0</v>
      </c>
      <c r="Z60" s="196">
        <f>SUMIF('Monthly CF'!$C$4:$DR$4,Z$3,'Monthly CF'!$C$70:$DR$70)</f>
        <v>0</v>
      </c>
      <c r="AA60" s="196">
        <f>SUMIF('Monthly CF'!$C$4:$DR$4,AA$3,'Monthly CF'!$C$70:$DR$70)</f>
        <v>0</v>
      </c>
      <c r="AB60" s="196">
        <f>SUMIF('Monthly CF'!$C$4:$DR$4,AB$3,'Monthly CF'!$C$70:$DR$70)</f>
        <v>0</v>
      </c>
      <c r="AC60" s="196">
        <f>SUMIF('Monthly CF'!$C$4:$DR$4,AC$3,'Monthly CF'!$C$70:$DR$70)</f>
        <v>0</v>
      </c>
      <c r="AD60" s="196">
        <f>SUMIF('Monthly CF'!$C$4:$DR$4,AD$3,'Monthly CF'!$C$70:$DR$70)</f>
        <v>0</v>
      </c>
      <c r="AE60" s="196">
        <f>SUMIF('Monthly CF'!$C$4:$DR$4,AE$3,'Monthly CF'!$C$70:$DR$70)</f>
        <v>0</v>
      </c>
      <c r="AF60" s="196">
        <f>SUMIF('Monthly CF'!$C$4:$DR$4,AF$3,'Monthly CF'!$C$70:$DR$70)</f>
        <v>0</v>
      </c>
      <c r="AG60" s="196">
        <f>SUMIF('Monthly CF'!$C$4:$DR$4,AG$3,'Monthly CF'!$C$70:$DR$70)</f>
        <v>0</v>
      </c>
      <c r="AH60" s="196">
        <f>SUMIF('Monthly CF'!$C$4:$DR$4,AH$3,'Monthly CF'!$C$70:$DR$70)</f>
        <v>0</v>
      </c>
      <c r="AI60" s="196">
        <f>SUMIF('Monthly CF'!$C$4:$DR$4,AI$3,'Monthly CF'!$C$70:$DR$70)</f>
        <v>0</v>
      </c>
      <c r="AJ60" s="196">
        <f>SUMIF('Monthly CF'!$C$4:$DR$4,AJ$3,'Monthly CF'!$C$70:$DR$70)</f>
        <v>0</v>
      </c>
      <c r="AK60" s="196">
        <f>SUMIF('Monthly CF'!$C$4:$DR$4,AK$3,'Monthly CF'!$C$70:$DR$70)</f>
        <v>0</v>
      </c>
      <c r="AL60" s="196">
        <f>SUMIF('Monthly CF'!$C$4:$DR$4,AL$3,'Monthly CF'!$C$70:$DR$70)</f>
        <v>0</v>
      </c>
      <c r="AM60" s="196">
        <f>SUMIF('Monthly CF'!$C$4:$DR$4,AM$3,'Monthly CF'!$C$70:$DR$70)</f>
        <v>0</v>
      </c>
      <c r="AN60" s="196">
        <f>SUMIF('Monthly CF'!$C$4:$DR$4,AN$3,'Monthly CF'!$C$70:$DR$70)</f>
        <v>0</v>
      </c>
      <c r="AO60" s="196">
        <f>SUMIF('Monthly CF'!$C$4:$DR$4,AO$3,'Monthly CF'!$C$70:$DR$70)</f>
        <v>0</v>
      </c>
      <c r="AP60" s="196">
        <f>SUMIF('Monthly CF'!$C$4:$DR$4,AP$3,'Monthly CF'!$C$70:$DR$70)</f>
        <v>0</v>
      </c>
      <c r="AQ60" s="196">
        <f>SUMIF('Monthly CF'!$C$4:$DR$4,AQ$3,'Monthly CF'!$C$70:$DR$70)</f>
        <v>0</v>
      </c>
    </row>
    <row r="61" ht="15.75" customHeight="1">
      <c r="A61" s="44"/>
      <c r="B61" s="124" t="s">
        <v>354</v>
      </c>
      <c r="C61" s="202">
        <f>SUMIF('Monthly CF'!$C$4:$DR$4,C$3,'Monthly CF'!$C$72:$DR$72)</f>
        <v>0</v>
      </c>
      <c r="D61" s="202">
        <f>SUMIF('Monthly CF'!$C$4:$DR$4,D$3,'Monthly CF'!$C$72:$DR$72)</f>
        <v>0</v>
      </c>
      <c r="E61" s="202">
        <f>SUMIF('Monthly CF'!$C$4:$DR$4,E$3,'Monthly CF'!$C$72:$DR$72)</f>
        <v>0</v>
      </c>
      <c r="F61" s="202">
        <f>SUMIF('Monthly CF'!$C$4:$DR$4,F$3,'Monthly CF'!$C$72:$DR$72)</f>
        <v>0</v>
      </c>
      <c r="G61" s="202">
        <f>SUMIF('Monthly CF'!$C$4:$DR$4,G$3,'Monthly CF'!$C$72:$DR$72)</f>
        <v>0</v>
      </c>
      <c r="H61" s="202">
        <f>SUMIF('Monthly CF'!$C$4:$DR$4,H$3,'Monthly CF'!$C$72:$DR$72)</f>
        <v>0</v>
      </c>
      <c r="I61" s="202">
        <f>SUMIF('Monthly CF'!$C$4:$DR$4,I$3,'Monthly CF'!$C$72:$DR$72)</f>
        <v>0</v>
      </c>
      <c r="J61" s="202">
        <f>SUMIF('Monthly CF'!$C$4:$DR$4,J$3,'Monthly CF'!$C$72:$DR$72)</f>
        <v>0</v>
      </c>
      <c r="K61" s="202">
        <f>SUMIF('Monthly CF'!$C$4:$DR$4,K$3,'Monthly CF'!$C$72:$DR$72)</f>
        <v>0</v>
      </c>
      <c r="L61" s="202">
        <f>SUMIF('Monthly CF'!$C$4:$DR$4,L$3,'Monthly CF'!$C$72:$DR$72)</f>
        <v>0</v>
      </c>
      <c r="M61" s="202">
        <f>SUMIF('Monthly CF'!$C$4:$DR$4,M$3,'Monthly CF'!$C$72:$DR$72)</f>
        <v>0</v>
      </c>
      <c r="N61" s="202">
        <f>SUMIF('Monthly CF'!$C$4:$DR$4,N$3,'Monthly CF'!$C$72:$DR$72)</f>
        <v>0</v>
      </c>
      <c r="O61" s="202">
        <f>SUMIF('Monthly CF'!$C$4:$DR$4,O$3,'Monthly CF'!$C$72:$DR$72)</f>
        <v>0</v>
      </c>
      <c r="P61" s="202">
        <f>SUMIF('Monthly CF'!$C$4:$DR$4,P$3,'Monthly CF'!$C$72:$DR$72)</f>
        <v>0</v>
      </c>
      <c r="Q61" s="202">
        <f>SUMIF('Monthly CF'!$C$4:$DR$4,Q$3,'Monthly CF'!$C$72:$DR$72)</f>
        <v>0</v>
      </c>
      <c r="R61" s="202">
        <f>SUMIF('Monthly CF'!$C$4:$DR$4,R$3,'Monthly CF'!$C$72:$DR$72)</f>
        <v>0</v>
      </c>
      <c r="S61" s="202">
        <f>SUMIF('Monthly CF'!$C$4:$DR$4,S$3,'Monthly CF'!$C$72:$DR$72)</f>
        <v>0</v>
      </c>
      <c r="T61" s="202">
        <f>SUMIF('Monthly CF'!$C$4:$DR$4,T$3,'Monthly CF'!$C$72:$DR$72)</f>
        <v>0</v>
      </c>
      <c r="U61" s="202">
        <f>SUMIF('Monthly CF'!$C$4:$DR$4,U$3,'Monthly CF'!$C$72:$DR$72)</f>
        <v>0</v>
      </c>
      <c r="V61" s="202">
        <f>SUMIF('Monthly CF'!$C$4:$DR$4,V$3,'Monthly CF'!$C$72:$DR$72)</f>
        <v>0</v>
      </c>
      <c r="W61" s="202">
        <f>SUMIF('Monthly CF'!$C$4:$DR$4,W$3,'Monthly CF'!$C$72:$DR$72)</f>
        <v>0</v>
      </c>
      <c r="X61" s="202">
        <f>SUMIF('Monthly CF'!$C$4:$DR$4,X$3,'Monthly CF'!$C$72:$DR$72)</f>
        <v>0</v>
      </c>
      <c r="Y61" s="202">
        <f>SUMIF('Monthly CF'!$C$4:$DR$4,Y$3,'Monthly CF'!$C$72:$DR$72)</f>
        <v>0</v>
      </c>
      <c r="Z61" s="202">
        <f>SUMIF('Monthly CF'!$C$4:$DR$4,Z$3,'Monthly CF'!$C$72:$DR$72)</f>
        <v>0</v>
      </c>
      <c r="AA61" s="202">
        <f>SUMIF('Monthly CF'!$C$4:$DR$4,AA$3,'Monthly CF'!$C$72:$DR$72)</f>
        <v>0</v>
      </c>
      <c r="AB61" s="202">
        <f>SUMIF('Monthly CF'!$C$4:$DR$4,AB$3,'Monthly CF'!$C$72:$DR$72)</f>
        <v>0</v>
      </c>
      <c r="AC61" s="202">
        <f>SUMIF('Monthly CF'!$C$4:$DR$4,AC$3,'Monthly CF'!$C$72:$DR$72)</f>
        <v>0</v>
      </c>
      <c r="AD61" s="202">
        <f>SUMIF('Monthly CF'!$C$4:$DR$4,AD$3,'Monthly CF'!$C$72:$DR$72)</f>
        <v>0</v>
      </c>
      <c r="AE61" s="202">
        <f>SUMIF('Monthly CF'!$C$4:$DR$4,AE$3,'Monthly CF'!$C$72:$DR$72)</f>
        <v>0</v>
      </c>
      <c r="AF61" s="202">
        <f>SUMIF('Monthly CF'!$C$4:$DR$4,AF$3,'Monthly CF'!$C$72:$DR$72)</f>
        <v>0</v>
      </c>
      <c r="AG61" s="202">
        <f>SUMIF('Monthly CF'!$C$4:$DR$4,AG$3,'Monthly CF'!$C$72:$DR$72)</f>
        <v>0</v>
      </c>
      <c r="AH61" s="202">
        <f>SUMIF('Monthly CF'!$C$4:$DR$4,AH$3,'Monthly CF'!$C$72:$DR$72)</f>
        <v>0</v>
      </c>
      <c r="AI61" s="202">
        <f>SUMIF('Monthly CF'!$C$4:$DR$4,AI$3,'Monthly CF'!$C$72:$DR$72)</f>
        <v>0</v>
      </c>
      <c r="AJ61" s="202">
        <f>SUMIF('Monthly CF'!$C$4:$DR$4,AJ$3,'Monthly CF'!$C$72:$DR$72)</f>
        <v>0</v>
      </c>
      <c r="AK61" s="202">
        <f>SUMIF('Monthly CF'!$C$4:$DR$4,AK$3,'Monthly CF'!$C$72:$DR$72)</f>
        <v>0</v>
      </c>
      <c r="AL61" s="202">
        <f>SUMIF('Monthly CF'!$C$4:$DR$4,AL$3,'Monthly CF'!$C$72:$DR$72)</f>
        <v>0</v>
      </c>
      <c r="AM61" s="202">
        <f>SUMIF('Monthly CF'!$C$4:$DR$4,AM$3,'Monthly CF'!$C$72:$DR$72)</f>
        <v>0</v>
      </c>
      <c r="AN61" s="202">
        <f>SUMIF('Monthly CF'!$C$4:$DR$4,AN$3,'Monthly CF'!$C$72:$DR$72)</f>
        <v>0</v>
      </c>
      <c r="AO61" s="202">
        <f>SUMIF('Monthly CF'!$C$4:$DR$4,AO$3,'Monthly CF'!$C$72:$DR$72)</f>
        <v>0</v>
      </c>
      <c r="AP61" s="202">
        <f>SUMIF('Monthly CF'!$C$4:$DR$4,AP$3,'Monthly CF'!$C$72:$DR$72)</f>
        <v>0</v>
      </c>
      <c r="AQ61" s="203">
        <f>SUMIF('Monthly CF'!$C$4:$DR$4,AQ$3,'Monthly CF'!$C$72:$DR$72)</f>
        <v>0</v>
      </c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</row>
    <row r="63" ht="15.75" customHeight="1">
      <c r="A63" s="44"/>
      <c r="B63" s="190" t="s">
        <v>355</v>
      </c>
      <c r="C63" s="204">
        <f>SUMIF('Monthly CF'!$C$4:$DR$4,C$3,'Monthly CF'!$C$74:$DR$74)</f>
        <v>-350000</v>
      </c>
      <c r="D63" s="204">
        <f>SUMIF('Monthly CF'!$C$4:$DR$4,D$3,'Monthly CF'!$C$74:$DR$74)</f>
        <v>0</v>
      </c>
      <c r="E63" s="204">
        <f>SUMIF('Monthly CF'!$C$4:$DR$4,E$3,'Monthly CF'!$C$74:$DR$74)</f>
        <v>0</v>
      </c>
      <c r="F63" s="204">
        <f>SUMIF('Monthly CF'!$C$4:$DR$4,F$3,'Monthly CF'!$C$74:$DR$74)</f>
        <v>0</v>
      </c>
      <c r="G63" s="204">
        <f>SUMIF('Monthly CF'!$C$4:$DR$4,G$3,'Monthly CF'!$C$74:$DR$74)</f>
        <v>0</v>
      </c>
      <c r="H63" s="204">
        <f>SUMIF('Monthly CF'!$C$4:$DR$4,H$3,'Monthly CF'!$C$74:$DR$74)</f>
        <v>0</v>
      </c>
      <c r="I63" s="204">
        <f>SUMIF('Monthly CF'!$C$4:$DR$4,I$3,'Monthly CF'!$C$74:$DR$74)</f>
        <v>0</v>
      </c>
      <c r="J63" s="204">
        <f>SUMIF('Monthly CF'!$C$4:$DR$4,J$3,'Monthly CF'!$C$74:$DR$74)</f>
        <v>0</v>
      </c>
      <c r="K63" s="204">
        <f>SUMIF('Monthly CF'!$C$4:$DR$4,K$3,'Monthly CF'!$C$74:$DR$74)</f>
        <v>0</v>
      </c>
      <c r="L63" s="204">
        <f>SUMIF('Monthly CF'!$C$4:$DR$4,L$3,'Monthly CF'!$C$74:$DR$74)</f>
        <v>0</v>
      </c>
      <c r="M63" s="204">
        <f>SUMIF('Monthly CF'!$C$4:$DR$4,M$3,'Monthly CF'!$C$74:$DR$74)</f>
        <v>0</v>
      </c>
      <c r="N63" s="204">
        <f>SUMIF('Monthly CF'!$C$4:$DR$4,N$3,'Monthly CF'!$C$74:$DR$74)</f>
        <v>0</v>
      </c>
      <c r="O63" s="204">
        <f>SUMIF('Monthly CF'!$C$4:$DR$4,O$3,'Monthly CF'!$C$74:$DR$74)</f>
        <v>0</v>
      </c>
      <c r="P63" s="204">
        <f>SUMIF('Monthly CF'!$C$4:$DR$4,P$3,'Monthly CF'!$C$74:$DR$74)</f>
        <v>0</v>
      </c>
      <c r="Q63" s="204">
        <f>SUMIF('Monthly CF'!$C$4:$DR$4,Q$3,'Monthly CF'!$C$74:$DR$74)</f>
        <v>0</v>
      </c>
      <c r="R63" s="204">
        <f>SUMIF('Monthly CF'!$C$4:$DR$4,R$3,'Monthly CF'!$C$74:$DR$74)</f>
        <v>0</v>
      </c>
      <c r="S63" s="204">
        <f>SUMIF('Monthly CF'!$C$4:$DR$4,S$3,'Monthly CF'!$C$74:$DR$74)</f>
        <v>0</v>
      </c>
      <c r="T63" s="204">
        <f>SUMIF('Monthly CF'!$C$4:$DR$4,T$3,'Monthly CF'!$C$74:$DR$74)</f>
        <v>0</v>
      </c>
      <c r="U63" s="204">
        <f>SUMIF('Monthly CF'!$C$4:$DR$4,U$3,'Monthly CF'!$C$74:$DR$74)</f>
        <v>0</v>
      </c>
      <c r="V63" s="204">
        <f>SUMIF('Monthly CF'!$C$4:$DR$4,V$3,'Monthly CF'!$C$74:$DR$74)</f>
        <v>0</v>
      </c>
      <c r="W63" s="204">
        <f>SUMIF('Monthly CF'!$C$4:$DR$4,W$3,'Monthly CF'!$C$74:$DR$74)</f>
        <v>0</v>
      </c>
      <c r="X63" s="204">
        <f>SUMIF('Monthly CF'!$C$4:$DR$4,X$3,'Monthly CF'!$C$74:$DR$74)</f>
        <v>0</v>
      </c>
      <c r="Y63" s="204">
        <f>SUMIF('Monthly CF'!$C$4:$DR$4,Y$3,'Monthly CF'!$C$74:$DR$74)</f>
        <v>0</v>
      </c>
      <c r="Z63" s="204">
        <f>SUMIF('Monthly CF'!$C$4:$DR$4,Z$3,'Monthly CF'!$C$74:$DR$74)</f>
        <v>0</v>
      </c>
      <c r="AA63" s="204">
        <f>SUMIF('Monthly CF'!$C$4:$DR$4,AA$3,'Monthly CF'!$C$74:$DR$74)</f>
        <v>0</v>
      </c>
      <c r="AB63" s="204">
        <f>SUMIF('Monthly CF'!$C$4:$DR$4,AB$3,'Monthly CF'!$C$74:$DR$74)</f>
        <v>0</v>
      </c>
      <c r="AC63" s="204">
        <f>SUMIF('Monthly CF'!$C$4:$DR$4,AC$3,'Monthly CF'!$C$74:$DR$74)</f>
        <v>0</v>
      </c>
      <c r="AD63" s="204">
        <f>SUMIF('Monthly CF'!$C$4:$DR$4,AD$3,'Monthly CF'!$C$74:$DR$74)</f>
        <v>0</v>
      </c>
      <c r="AE63" s="204">
        <f>SUMIF('Monthly CF'!$C$4:$DR$4,AE$3,'Monthly CF'!$C$74:$DR$74)</f>
        <v>0</v>
      </c>
      <c r="AF63" s="204">
        <f>SUMIF('Monthly CF'!$C$4:$DR$4,AF$3,'Monthly CF'!$C$74:$DR$74)</f>
        <v>0</v>
      </c>
      <c r="AG63" s="204">
        <f>SUMIF('Monthly CF'!$C$4:$DR$4,AG$3,'Monthly CF'!$C$74:$DR$74)</f>
        <v>0</v>
      </c>
      <c r="AH63" s="204">
        <f>SUMIF('Monthly CF'!$C$4:$DR$4,AH$3,'Monthly CF'!$C$74:$DR$74)</f>
        <v>0</v>
      </c>
      <c r="AI63" s="204">
        <f>SUMIF('Monthly CF'!$C$4:$DR$4,AI$3,'Monthly CF'!$C$74:$DR$74)</f>
        <v>0</v>
      </c>
      <c r="AJ63" s="204">
        <f>SUMIF('Monthly CF'!$C$4:$DR$4,AJ$3,'Monthly CF'!$C$74:$DR$74)</f>
        <v>0</v>
      </c>
      <c r="AK63" s="204">
        <f>SUMIF('Monthly CF'!$C$4:$DR$4,AK$3,'Monthly CF'!$C$74:$DR$74)</f>
        <v>0</v>
      </c>
      <c r="AL63" s="204">
        <f>SUMIF('Monthly CF'!$C$4:$DR$4,AL$3,'Monthly CF'!$C$74:$DR$74)</f>
        <v>0</v>
      </c>
      <c r="AM63" s="204">
        <f>SUMIF('Monthly CF'!$C$4:$DR$4,AM$3,'Monthly CF'!$C$74:$DR$74)</f>
        <v>0</v>
      </c>
      <c r="AN63" s="204">
        <f>SUMIF('Monthly CF'!$C$4:$DR$4,AN$3,'Monthly CF'!$C$74:$DR$74)</f>
        <v>0</v>
      </c>
      <c r="AO63" s="204">
        <f>SUMIF('Monthly CF'!$C$4:$DR$4,AO$3,'Monthly CF'!$C$74:$DR$74)</f>
        <v>0</v>
      </c>
      <c r="AP63" s="204">
        <f>SUMIF('Monthly CF'!$C$4:$DR$4,AP$3,'Monthly CF'!$C$74:$DR$74)</f>
        <v>0</v>
      </c>
      <c r="AQ63" s="44">
        <f>SUMIF('Monthly CF'!$C$4:$DR$4,AQ$3,'Monthly CF'!$C$74:$DR$74)</f>
        <v>0</v>
      </c>
    </row>
    <row r="64" ht="15.75" customHeight="1">
      <c r="A64" s="44"/>
      <c r="B64" s="186" t="s">
        <v>356</v>
      </c>
      <c r="C64" s="205">
        <f>C63</f>
        <v>-350000</v>
      </c>
      <c r="D64" s="205">
        <f t="shared" ref="D64:AQ64" si="1">C64+D63</f>
        <v>-350000</v>
      </c>
      <c r="E64" s="205">
        <f t="shared" si="1"/>
        <v>-350000</v>
      </c>
      <c r="F64" s="205">
        <f t="shared" si="1"/>
        <v>-350000</v>
      </c>
      <c r="G64" s="205">
        <f t="shared" si="1"/>
        <v>-350000</v>
      </c>
      <c r="H64" s="205">
        <f t="shared" si="1"/>
        <v>-350000</v>
      </c>
      <c r="I64" s="205">
        <f t="shared" si="1"/>
        <v>-350000</v>
      </c>
      <c r="J64" s="205">
        <f t="shared" si="1"/>
        <v>-350000</v>
      </c>
      <c r="K64" s="205">
        <f t="shared" si="1"/>
        <v>-350000</v>
      </c>
      <c r="L64" s="205">
        <f t="shared" si="1"/>
        <v>-350000</v>
      </c>
      <c r="M64" s="205">
        <f t="shared" si="1"/>
        <v>-350000</v>
      </c>
      <c r="N64" s="205">
        <f t="shared" si="1"/>
        <v>-350000</v>
      </c>
      <c r="O64" s="205">
        <f t="shared" si="1"/>
        <v>-350000</v>
      </c>
      <c r="P64" s="205">
        <f t="shared" si="1"/>
        <v>-350000</v>
      </c>
      <c r="Q64" s="205">
        <f t="shared" si="1"/>
        <v>-350000</v>
      </c>
      <c r="R64" s="205">
        <f t="shared" si="1"/>
        <v>-350000</v>
      </c>
      <c r="S64" s="205">
        <f t="shared" si="1"/>
        <v>-350000</v>
      </c>
      <c r="T64" s="205">
        <f t="shared" si="1"/>
        <v>-350000</v>
      </c>
      <c r="U64" s="205">
        <f t="shared" si="1"/>
        <v>-350000</v>
      </c>
      <c r="V64" s="205">
        <f t="shared" si="1"/>
        <v>-350000</v>
      </c>
      <c r="W64" s="205">
        <f t="shared" si="1"/>
        <v>-350000</v>
      </c>
      <c r="X64" s="205">
        <f t="shared" si="1"/>
        <v>-350000</v>
      </c>
      <c r="Y64" s="205">
        <f t="shared" si="1"/>
        <v>-350000</v>
      </c>
      <c r="Z64" s="205">
        <f t="shared" si="1"/>
        <v>-350000</v>
      </c>
      <c r="AA64" s="205">
        <f t="shared" si="1"/>
        <v>-350000</v>
      </c>
      <c r="AB64" s="205">
        <f t="shared" si="1"/>
        <v>-350000</v>
      </c>
      <c r="AC64" s="205">
        <f t="shared" si="1"/>
        <v>-350000</v>
      </c>
      <c r="AD64" s="205">
        <f t="shared" si="1"/>
        <v>-350000</v>
      </c>
      <c r="AE64" s="205">
        <f t="shared" si="1"/>
        <v>-350000</v>
      </c>
      <c r="AF64" s="205">
        <f t="shared" si="1"/>
        <v>-350000</v>
      </c>
      <c r="AG64" s="205">
        <f t="shared" si="1"/>
        <v>-350000</v>
      </c>
      <c r="AH64" s="205">
        <f t="shared" si="1"/>
        <v>-350000</v>
      </c>
      <c r="AI64" s="205">
        <f t="shared" si="1"/>
        <v>-350000</v>
      </c>
      <c r="AJ64" s="205">
        <f t="shared" si="1"/>
        <v>-350000</v>
      </c>
      <c r="AK64" s="205">
        <f t="shared" si="1"/>
        <v>-350000</v>
      </c>
      <c r="AL64" s="205">
        <f t="shared" si="1"/>
        <v>-350000</v>
      </c>
      <c r="AM64" s="205">
        <f t="shared" si="1"/>
        <v>-350000</v>
      </c>
      <c r="AN64" s="205">
        <f t="shared" si="1"/>
        <v>-350000</v>
      </c>
      <c r="AO64" s="205">
        <f t="shared" si="1"/>
        <v>-350000</v>
      </c>
      <c r="AP64" s="205">
        <f t="shared" si="1"/>
        <v>-350000</v>
      </c>
      <c r="AQ64" s="206">
        <f t="shared" si="1"/>
        <v>-350000</v>
      </c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</row>
    <row r="66" ht="15.75" customHeight="1">
      <c r="A66" s="44"/>
      <c r="B66" s="182" t="s">
        <v>357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44"/>
    </row>
    <row r="67" ht="15.75" customHeight="1">
      <c r="A67" s="44"/>
      <c r="B67" s="184" t="s">
        <v>358</v>
      </c>
      <c r="C67" s="185">
        <f>SUMIF('Monthly CF'!$C$4:$DR$4,C$3,'Monthly CF'!$C$78:$DR$78)</f>
        <v>0</v>
      </c>
      <c r="D67" s="185">
        <f>SUMIF('Monthly CF'!$C$4:$DR$4,D$3,'Monthly CF'!$C$78:$DR$78)</f>
        <v>0</v>
      </c>
      <c r="E67" s="185">
        <f>SUMIF('Monthly CF'!$C$4:$DR$4,E$3,'Monthly CF'!$C$78:$DR$78)</f>
        <v>0</v>
      </c>
      <c r="F67" s="185">
        <f>SUMIF('Monthly CF'!$C$4:$DR$4,F$3,'Monthly CF'!$C$78:$DR$78)</f>
        <v>0</v>
      </c>
      <c r="G67" s="185">
        <f>SUMIF('Monthly CF'!$C$4:$DR$4,G$3,'Monthly CF'!$C$78:$DR$78)</f>
        <v>0</v>
      </c>
      <c r="H67" s="185">
        <f>SUMIF('Monthly CF'!$C$4:$DR$4,H$3,'Monthly CF'!$C$78:$DR$78)</f>
        <v>0</v>
      </c>
      <c r="I67" s="185">
        <f>SUMIF('Monthly CF'!$C$4:$DR$4,I$3,'Monthly CF'!$C$78:$DR$78)</f>
        <v>0</v>
      </c>
      <c r="J67" s="185">
        <f>SUMIF('Monthly CF'!$C$4:$DR$4,J$3,'Monthly CF'!$C$78:$DR$78)</f>
        <v>0</v>
      </c>
      <c r="K67" s="185">
        <f>SUMIF('Monthly CF'!$C$4:$DR$4,K$3,'Monthly CF'!$C$78:$DR$78)</f>
        <v>0</v>
      </c>
      <c r="L67" s="185">
        <f>SUMIF('Monthly CF'!$C$4:$DR$4,L$3,'Monthly CF'!$C$78:$DR$78)</f>
        <v>0</v>
      </c>
      <c r="M67" s="185">
        <f>SUMIF('Monthly CF'!$C$4:$DR$4,M$3,'Monthly CF'!$C$78:$DR$78)</f>
        <v>0</v>
      </c>
      <c r="N67" s="185">
        <f>SUMIF('Monthly CF'!$C$4:$DR$4,N$3,'Monthly CF'!$C$78:$DR$78)</f>
        <v>0</v>
      </c>
      <c r="O67" s="185">
        <f>SUMIF('Monthly CF'!$C$4:$DR$4,O$3,'Monthly CF'!$C$78:$DR$78)</f>
        <v>0</v>
      </c>
      <c r="P67" s="185">
        <f>SUMIF('Monthly CF'!$C$4:$DR$4,P$3,'Monthly CF'!$C$78:$DR$78)</f>
        <v>0</v>
      </c>
      <c r="Q67" s="185">
        <f>SUMIF('Monthly CF'!$C$4:$DR$4,Q$3,'Monthly CF'!$C$78:$DR$78)</f>
        <v>0</v>
      </c>
      <c r="R67" s="185">
        <f>SUMIF('Monthly CF'!$C$4:$DR$4,R$3,'Monthly CF'!$C$78:$DR$78)</f>
        <v>0</v>
      </c>
      <c r="S67" s="185">
        <f>SUMIF('Monthly CF'!$C$4:$DR$4,S$3,'Monthly CF'!$C$78:$DR$78)</f>
        <v>0</v>
      </c>
      <c r="T67" s="185">
        <f>SUMIF('Monthly CF'!$C$4:$DR$4,T$3,'Monthly CF'!$C$78:$DR$78)</f>
        <v>0</v>
      </c>
      <c r="U67" s="185">
        <f>SUMIF('Monthly CF'!$C$4:$DR$4,U$3,'Monthly CF'!$C$78:$DR$78)</f>
        <v>0</v>
      </c>
      <c r="V67" s="185">
        <f>SUMIF('Monthly CF'!$C$4:$DR$4,V$3,'Monthly CF'!$C$78:$DR$78)</f>
        <v>0</v>
      </c>
      <c r="W67" s="185">
        <f>SUMIF('Monthly CF'!$C$4:$DR$4,W$3,'Monthly CF'!$C$78:$DR$78)</f>
        <v>0</v>
      </c>
      <c r="X67" s="185">
        <f>SUMIF('Monthly CF'!$C$4:$DR$4,X$3,'Monthly CF'!$C$78:$DR$78)</f>
        <v>0</v>
      </c>
      <c r="Y67" s="185">
        <f>SUMIF('Monthly CF'!$C$4:$DR$4,Y$3,'Monthly CF'!$C$78:$DR$78)</f>
        <v>0</v>
      </c>
      <c r="Z67" s="185">
        <f>SUMIF('Monthly CF'!$C$4:$DR$4,Z$3,'Monthly CF'!$C$78:$DR$78)</f>
        <v>0</v>
      </c>
      <c r="AA67" s="185">
        <f>SUMIF('Monthly CF'!$C$4:$DR$4,AA$3,'Monthly CF'!$C$78:$DR$78)</f>
        <v>0</v>
      </c>
      <c r="AB67" s="185">
        <f>SUMIF('Monthly CF'!$C$4:$DR$4,AB$3,'Monthly CF'!$C$78:$DR$78)</f>
        <v>0</v>
      </c>
      <c r="AC67" s="185">
        <f>SUMIF('Monthly CF'!$C$4:$DR$4,AC$3,'Monthly CF'!$C$78:$DR$78)</f>
        <v>0</v>
      </c>
      <c r="AD67" s="185">
        <f>SUMIF('Monthly CF'!$C$4:$DR$4,AD$3,'Monthly CF'!$C$78:$DR$78)</f>
        <v>0</v>
      </c>
      <c r="AE67" s="185">
        <f>SUMIF('Monthly CF'!$C$4:$DR$4,AE$3,'Monthly CF'!$C$78:$DR$78)</f>
        <v>0</v>
      </c>
      <c r="AF67" s="185">
        <f>SUMIF('Monthly CF'!$C$4:$DR$4,AF$3,'Monthly CF'!$C$78:$DR$78)</f>
        <v>0</v>
      </c>
      <c r="AG67" s="185">
        <f>SUMIF('Monthly CF'!$C$4:$DR$4,AG$3,'Monthly CF'!$C$78:$DR$78)</f>
        <v>0</v>
      </c>
      <c r="AH67" s="185">
        <f>SUMIF('Monthly CF'!$C$4:$DR$4,AH$3,'Monthly CF'!$C$78:$DR$78)</f>
        <v>0</v>
      </c>
      <c r="AI67" s="185">
        <f>SUMIF('Monthly CF'!$C$4:$DR$4,AI$3,'Monthly CF'!$C$78:$DR$78)</f>
        <v>0</v>
      </c>
      <c r="AJ67" s="185">
        <f>SUMIF('Monthly CF'!$C$4:$DR$4,AJ$3,'Monthly CF'!$C$78:$DR$78)</f>
        <v>0</v>
      </c>
      <c r="AK67" s="185">
        <f>SUMIF('Monthly CF'!$C$4:$DR$4,AK$3,'Monthly CF'!$C$78:$DR$78)</f>
        <v>0</v>
      </c>
      <c r="AL67" s="185">
        <f>SUMIF('Monthly CF'!$C$4:$DR$4,AL$3,'Monthly CF'!$C$78:$DR$78)</f>
        <v>0</v>
      </c>
      <c r="AM67" s="185">
        <f>SUMIF('Monthly CF'!$C$4:$DR$4,AM$3,'Monthly CF'!$C$78:$DR$78)</f>
        <v>0</v>
      </c>
      <c r="AN67" s="185">
        <f>SUMIF('Monthly CF'!$C$4:$DR$4,AN$3,'Monthly CF'!$C$78:$DR$78)</f>
        <v>0</v>
      </c>
      <c r="AO67" s="185">
        <f>SUMIF('Monthly CF'!$C$4:$DR$4,AO$3,'Monthly CF'!$C$78:$DR$78)</f>
        <v>0</v>
      </c>
      <c r="AP67" s="185">
        <f>SUMIF('Monthly CF'!$C$4:$DR$4,AP$3,'Monthly CF'!$C$78:$DR$78)</f>
        <v>0</v>
      </c>
      <c r="AQ67" s="44">
        <f>SUMIF('Monthly CF'!$C$4:$DR$4,AQ$3,'Monthly CF'!$C$78:$DR$78)</f>
        <v>0</v>
      </c>
    </row>
    <row r="68" ht="15.75" customHeight="1">
      <c r="A68" s="44"/>
      <c r="B68" s="186" t="s">
        <v>359</v>
      </c>
      <c r="C68" s="207">
        <f>SUMIF('Monthly CF'!$C$4:$DR$4,C$3,'Monthly CF'!$C$79:$DR$79)</f>
        <v>0</v>
      </c>
      <c r="D68" s="207">
        <f>SUMIF('Monthly CF'!$C$4:$DR$4,D$3,'Monthly CF'!$C$79:$DR$79)</f>
        <v>0</v>
      </c>
      <c r="E68" s="207">
        <f>SUMIF('Monthly CF'!$C$4:$DR$4,E$3,'Monthly CF'!$C$79:$DR$79)</f>
        <v>0</v>
      </c>
      <c r="F68" s="207">
        <f>SUMIF('Monthly CF'!$C$4:$DR$4,F$3,'Monthly CF'!$C$79:$DR$79)</f>
        <v>0</v>
      </c>
      <c r="G68" s="207">
        <f>SUMIF('Monthly CF'!$C$4:$DR$4,G$3,'Monthly CF'!$C$79:$DR$79)</f>
        <v>0</v>
      </c>
      <c r="H68" s="207">
        <f>SUMIF('Monthly CF'!$C$4:$DR$4,H$3,'Monthly CF'!$C$79:$DR$79)</f>
        <v>0</v>
      </c>
      <c r="I68" s="207">
        <f>SUMIF('Monthly CF'!$C$4:$DR$4,I$3,'Monthly CF'!$C$79:$DR$79)</f>
        <v>0</v>
      </c>
      <c r="J68" s="207">
        <f>SUMIF('Monthly CF'!$C$4:$DR$4,J$3,'Monthly CF'!$C$79:$DR$79)</f>
        <v>0</v>
      </c>
      <c r="K68" s="207">
        <f>SUMIF('Monthly CF'!$C$4:$DR$4,K$3,'Monthly CF'!$C$79:$DR$79)</f>
        <v>0</v>
      </c>
      <c r="L68" s="207">
        <f>SUMIF('Monthly CF'!$C$4:$DR$4,L$3,'Monthly CF'!$C$79:$DR$79)</f>
        <v>0</v>
      </c>
      <c r="M68" s="207">
        <f>SUMIF('Monthly CF'!$C$4:$DR$4,M$3,'Monthly CF'!$C$79:$DR$79)</f>
        <v>0</v>
      </c>
      <c r="N68" s="207">
        <f>SUMIF('Monthly CF'!$C$4:$DR$4,N$3,'Monthly CF'!$C$79:$DR$79)</f>
        <v>0</v>
      </c>
      <c r="O68" s="207">
        <f>SUMIF('Monthly CF'!$C$4:$DR$4,O$3,'Monthly CF'!$C$79:$DR$79)</f>
        <v>0</v>
      </c>
      <c r="P68" s="207">
        <f>SUMIF('Monthly CF'!$C$4:$DR$4,P$3,'Monthly CF'!$C$79:$DR$79)</f>
        <v>0</v>
      </c>
      <c r="Q68" s="207">
        <f>SUMIF('Monthly CF'!$C$4:$DR$4,Q$3,'Monthly CF'!$C$79:$DR$79)</f>
        <v>0</v>
      </c>
      <c r="R68" s="207">
        <f>SUMIF('Monthly CF'!$C$4:$DR$4,R$3,'Monthly CF'!$C$79:$DR$79)</f>
        <v>0</v>
      </c>
      <c r="S68" s="207">
        <f>SUMIF('Monthly CF'!$C$4:$DR$4,S$3,'Monthly CF'!$C$79:$DR$79)</f>
        <v>0</v>
      </c>
      <c r="T68" s="207">
        <f>SUMIF('Monthly CF'!$C$4:$DR$4,T$3,'Monthly CF'!$C$79:$DR$79)</f>
        <v>0</v>
      </c>
      <c r="U68" s="207">
        <f>SUMIF('Monthly CF'!$C$4:$DR$4,U$3,'Monthly CF'!$C$79:$DR$79)</f>
        <v>0</v>
      </c>
      <c r="V68" s="207">
        <f>SUMIF('Monthly CF'!$C$4:$DR$4,V$3,'Monthly CF'!$C$79:$DR$79)</f>
        <v>0</v>
      </c>
      <c r="W68" s="207">
        <f>SUMIF('Monthly CF'!$C$4:$DR$4,W$3,'Monthly CF'!$C$79:$DR$79)</f>
        <v>0</v>
      </c>
      <c r="X68" s="207">
        <f>SUMIF('Monthly CF'!$C$4:$DR$4,X$3,'Monthly CF'!$C$79:$DR$79)</f>
        <v>0</v>
      </c>
      <c r="Y68" s="207">
        <f>SUMIF('Monthly CF'!$C$4:$DR$4,Y$3,'Monthly CF'!$C$79:$DR$79)</f>
        <v>0</v>
      </c>
      <c r="Z68" s="207">
        <f>SUMIF('Monthly CF'!$C$4:$DR$4,Z$3,'Monthly CF'!$C$79:$DR$79)</f>
        <v>0</v>
      </c>
      <c r="AA68" s="207">
        <f>SUMIF('Monthly CF'!$C$4:$DR$4,AA$3,'Monthly CF'!$C$79:$DR$79)</f>
        <v>0</v>
      </c>
      <c r="AB68" s="207">
        <f>SUMIF('Monthly CF'!$C$4:$DR$4,AB$3,'Monthly CF'!$C$79:$DR$79)</f>
        <v>0</v>
      </c>
      <c r="AC68" s="207">
        <f>SUMIF('Monthly CF'!$C$4:$DR$4,AC$3,'Monthly CF'!$C$79:$DR$79)</f>
        <v>0</v>
      </c>
      <c r="AD68" s="207">
        <f>SUMIF('Monthly CF'!$C$4:$DR$4,AD$3,'Monthly CF'!$C$79:$DR$79)</f>
        <v>0</v>
      </c>
      <c r="AE68" s="207">
        <f>SUMIF('Monthly CF'!$C$4:$DR$4,AE$3,'Monthly CF'!$C$79:$DR$79)</f>
        <v>0</v>
      </c>
      <c r="AF68" s="207">
        <f>SUMIF('Monthly CF'!$C$4:$DR$4,AF$3,'Monthly CF'!$C$79:$DR$79)</f>
        <v>0</v>
      </c>
      <c r="AG68" s="207">
        <f>SUMIF('Monthly CF'!$C$4:$DR$4,AG$3,'Monthly CF'!$C$79:$DR$79)</f>
        <v>0</v>
      </c>
      <c r="AH68" s="207">
        <f>SUMIF('Monthly CF'!$C$4:$DR$4,AH$3,'Monthly CF'!$C$79:$DR$79)</f>
        <v>0</v>
      </c>
      <c r="AI68" s="207">
        <f>SUMIF('Monthly CF'!$C$4:$DR$4,AI$3,'Monthly CF'!$C$79:$DR$79)</f>
        <v>0</v>
      </c>
      <c r="AJ68" s="207">
        <f>SUMIF('Monthly CF'!$C$4:$DR$4,AJ$3,'Monthly CF'!$C$79:$DR$79)</f>
        <v>0</v>
      </c>
      <c r="AK68" s="207">
        <f>SUMIF('Monthly CF'!$C$4:$DR$4,AK$3,'Monthly CF'!$C$79:$DR$79)</f>
        <v>0</v>
      </c>
      <c r="AL68" s="207">
        <f>SUMIF('Monthly CF'!$C$4:$DR$4,AL$3,'Monthly CF'!$C$79:$DR$79)</f>
        <v>0</v>
      </c>
      <c r="AM68" s="207">
        <f>SUMIF('Monthly CF'!$C$4:$DR$4,AM$3,'Monthly CF'!$C$79:$DR$79)</f>
        <v>0</v>
      </c>
      <c r="AN68" s="207">
        <f>SUMIF('Monthly CF'!$C$4:$DR$4,AN$3,'Monthly CF'!$C$79:$DR$79)</f>
        <v>0</v>
      </c>
      <c r="AO68" s="207">
        <f>SUMIF('Monthly CF'!$C$4:$DR$4,AO$3,'Monthly CF'!$C$79:$DR$79)</f>
        <v>0</v>
      </c>
      <c r="AP68" s="207">
        <f>SUMIF('Monthly CF'!$C$4:$DR$4,AP$3,'Monthly CF'!$C$79:$DR$79)</f>
        <v>0</v>
      </c>
      <c r="AQ68" s="44">
        <f>SUMIF('Monthly CF'!$C$4:$DR$4,AQ$3,'Monthly CF'!$C$79:$DR$79)</f>
        <v>0</v>
      </c>
    </row>
    <row r="69" ht="15.75" customHeight="1">
      <c r="A69" s="44"/>
      <c r="B69" s="184" t="str">
        <f>"  Capital Partner ("&amp;TEXT(Inputs!C90,"0.0%")&amp;")"</f>
        <v>  Capital Partner (-24.6%)</v>
      </c>
      <c r="C69" s="185">
        <f>SUMIF('Monthly CF'!$C$4:$DR$4,C$3,'Monthly CF'!$C$80:$DR$80)</f>
        <v>0</v>
      </c>
      <c r="D69" s="185">
        <f>SUMIF('Monthly CF'!$C$4:$DR$4,D$3,'Monthly CF'!$C$80:$DR$80)</f>
        <v>0</v>
      </c>
      <c r="E69" s="185">
        <f>SUMIF('Monthly CF'!$C$4:$DR$4,E$3,'Monthly CF'!$C$80:$DR$80)</f>
        <v>0</v>
      </c>
      <c r="F69" s="185">
        <f>SUMIF('Monthly CF'!$C$4:$DR$4,F$3,'Monthly CF'!$C$80:$DR$80)</f>
        <v>0</v>
      </c>
      <c r="G69" s="185">
        <f>SUMIF('Monthly CF'!$C$4:$DR$4,G$3,'Monthly CF'!$C$80:$DR$80)</f>
        <v>0</v>
      </c>
      <c r="H69" s="185">
        <f>SUMIF('Monthly CF'!$C$4:$DR$4,H$3,'Monthly CF'!$C$80:$DR$80)</f>
        <v>0</v>
      </c>
      <c r="I69" s="185">
        <f>SUMIF('Monthly CF'!$C$4:$DR$4,I$3,'Monthly CF'!$C$80:$DR$80)</f>
        <v>0</v>
      </c>
      <c r="J69" s="185">
        <f>SUMIF('Monthly CF'!$C$4:$DR$4,J$3,'Monthly CF'!$C$80:$DR$80)</f>
        <v>0</v>
      </c>
      <c r="K69" s="185">
        <f>SUMIF('Monthly CF'!$C$4:$DR$4,K$3,'Monthly CF'!$C$80:$DR$80)</f>
        <v>0</v>
      </c>
      <c r="L69" s="185">
        <f>SUMIF('Monthly CF'!$C$4:$DR$4,L$3,'Monthly CF'!$C$80:$DR$80)</f>
        <v>0</v>
      </c>
      <c r="M69" s="185">
        <f>SUMIF('Monthly CF'!$C$4:$DR$4,M$3,'Monthly CF'!$C$80:$DR$80)</f>
        <v>0</v>
      </c>
      <c r="N69" s="185">
        <f>SUMIF('Monthly CF'!$C$4:$DR$4,N$3,'Monthly CF'!$C$80:$DR$80)</f>
        <v>0</v>
      </c>
      <c r="O69" s="185">
        <f>SUMIF('Monthly CF'!$C$4:$DR$4,O$3,'Monthly CF'!$C$80:$DR$80)</f>
        <v>0</v>
      </c>
      <c r="P69" s="185">
        <f>SUMIF('Monthly CF'!$C$4:$DR$4,P$3,'Monthly CF'!$C$80:$DR$80)</f>
        <v>0</v>
      </c>
      <c r="Q69" s="185">
        <f>SUMIF('Monthly CF'!$C$4:$DR$4,Q$3,'Monthly CF'!$C$80:$DR$80)</f>
        <v>0</v>
      </c>
      <c r="R69" s="185">
        <f>SUMIF('Monthly CF'!$C$4:$DR$4,R$3,'Monthly CF'!$C$80:$DR$80)</f>
        <v>0</v>
      </c>
      <c r="S69" s="185">
        <f>SUMIF('Monthly CF'!$C$4:$DR$4,S$3,'Monthly CF'!$C$80:$DR$80)</f>
        <v>0</v>
      </c>
      <c r="T69" s="185">
        <f>SUMIF('Monthly CF'!$C$4:$DR$4,T$3,'Monthly CF'!$C$80:$DR$80)</f>
        <v>0</v>
      </c>
      <c r="U69" s="185">
        <f>SUMIF('Monthly CF'!$C$4:$DR$4,U$3,'Monthly CF'!$C$80:$DR$80)</f>
        <v>0</v>
      </c>
      <c r="V69" s="185">
        <f>SUMIF('Monthly CF'!$C$4:$DR$4,V$3,'Monthly CF'!$C$80:$DR$80)</f>
        <v>0</v>
      </c>
      <c r="W69" s="185">
        <f>SUMIF('Monthly CF'!$C$4:$DR$4,W$3,'Monthly CF'!$C$80:$DR$80)</f>
        <v>0</v>
      </c>
      <c r="X69" s="185">
        <f>SUMIF('Monthly CF'!$C$4:$DR$4,X$3,'Monthly CF'!$C$80:$DR$80)</f>
        <v>0</v>
      </c>
      <c r="Y69" s="185">
        <f>SUMIF('Monthly CF'!$C$4:$DR$4,Y$3,'Monthly CF'!$C$80:$DR$80)</f>
        <v>0</v>
      </c>
      <c r="Z69" s="185">
        <f>SUMIF('Monthly CF'!$C$4:$DR$4,Z$3,'Monthly CF'!$C$80:$DR$80)</f>
        <v>0</v>
      </c>
      <c r="AA69" s="185">
        <f>SUMIF('Monthly CF'!$C$4:$DR$4,AA$3,'Monthly CF'!$C$80:$DR$80)</f>
        <v>0</v>
      </c>
      <c r="AB69" s="185">
        <f>SUMIF('Monthly CF'!$C$4:$DR$4,AB$3,'Monthly CF'!$C$80:$DR$80)</f>
        <v>0</v>
      </c>
      <c r="AC69" s="185">
        <f>SUMIF('Monthly CF'!$C$4:$DR$4,AC$3,'Monthly CF'!$C$80:$DR$80)</f>
        <v>0</v>
      </c>
      <c r="AD69" s="185">
        <f>SUMIF('Monthly CF'!$C$4:$DR$4,AD$3,'Monthly CF'!$C$80:$DR$80)</f>
        <v>0</v>
      </c>
      <c r="AE69" s="185">
        <f>SUMIF('Monthly CF'!$C$4:$DR$4,AE$3,'Monthly CF'!$C$80:$DR$80)</f>
        <v>0</v>
      </c>
      <c r="AF69" s="185">
        <f>SUMIF('Monthly CF'!$C$4:$DR$4,AF$3,'Monthly CF'!$C$80:$DR$80)</f>
        <v>0</v>
      </c>
      <c r="AG69" s="185">
        <f>SUMIF('Monthly CF'!$C$4:$DR$4,AG$3,'Monthly CF'!$C$80:$DR$80)</f>
        <v>0</v>
      </c>
      <c r="AH69" s="185">
        <f>SUMIF('Monthly CF'!$C$4:$DR$4,AH$3,'Monthly CF'!$C$80:$DR$80)</f>
        <v>0</v>
      </c>
      <c r="AI69" s="185">
        <f>SUMIF('Monthly CF'!$C$4:$DR$4,AI$3,'Monthly CF'!$C$80:$DR$80)</f>
        <v>0</v>
      </c>
      <c r="AJ69" s="185">
        <f>SUMIF('Monthly CF'!$C$4:$DR$4,AJ$3,'Monthly CF'!$C$80:$DR$80)</f>
        <v>0</v>
      </c>
      <c r="AK69" s="185">
        <f>SUMIF('Monthly CF'!$C$4:$DR$4,AK$3,'Monthly CF'!$C$80:$DR$80)</f>
        <v>0</v>
      </c>
      <c r="AL69" s="185">
        <f>SUMIF('Monthly CF'!$C$4:$DR$4,AL$3,'Monthly CF'!$C$80:$DR$80)</f>
        <v>0</v>
      </c>
      <c r="AM69" s="185">
        <f>SUMIF('Monthly CF'!$C$4:$DR$4,AM$3,'Monthly CF'!$C$80:$DR$80)</f>
        <v>0</v>
      </c>
      <c r="AN69" s="185">
        <f>SUMIF('Monthly CF'!$C$4:$DR$4,AN$3,'Monthly CF'!$C$80:$DR$80)</f>
        <v>0</v>
      </c>
      <c r="AO69" s="185">
        <f>SUMIF('Monthly CF'!$C$4:$DR$4,AO$3,'Monthly CF'!$C$80:$DR$80)</f>
        <v>0</v>
      </c>
      <c r="AP69" s="185">
        <f>SUMIF('Monthly CF'!$C$4:$DR$4,AP$3,'Monthly CF'!$C$80:$DR$80)</f>
        <v>0</v>
      </c>
      <c r="AQ69" s="44">
        <f>SUMIF('Monthly CF'!$C$4:$DR$4,AQ$3,'Monthly CF'!$C$80:$DR$80)</f>
        <v>0</v>
      </c>
    </row>
    <row r="70" ht="15.75" customHeight="1">
      <c r="A70" s="44"/>
      <c r="B70" s="184" t="s">
        <v>360</v>
      </c>
      <c r="C70" s="185">
        <f>SUMIF('Monthly CF'!$C$4:$DR$4,C$3,'Monthly CF'!$C$81:$DR$81)</f>
        <v>0</v>
      </c>
      <c r="D70" s="185">
        <f>SUMIF('Monthly CF'!$C$4:$DR$4,D$3,'Monthly CF'!$C$81:$DR$81)</f>
        <v>0</v>
      </c>
      <c r="E70" s="185">
        <f>SUMIF('Monthly CF'!$C$4:$DR$4,E$3,'Monthly CF'!$C$81:$DR$81)</f>
        <v>0</v>
      </c>
      <c r="F70" s="185">
        <f>SUMIF('Monthly CF'!$C$4:$DR$4,F$3,'Monthly CF'!$C$81:$DR$81)</f>
        <v>0</v>
      </c>
      <c r="G70" s="185">
        <f>SUMIF('Monthly CF'!$C$4:$DR$4,G$3,'Monthly CF'!$C$81:$DR$81)</f>
        <v>0</v>
      </c>
      <c r="H70" s="185">
        <f>SUMIF('Monthly CF'!$C$4:$DR$4,H$3,'Monthly CF'!$C$81:$DR$81)</f>
        <v>0</v>
      </c>
      <c r="I70" s="185">
        <f>SUMIF('Monthly CF'!$C$4:$DR$4,I$3,'Monthly CF'!$C$81:$DR$81)</f>
        <v>0</v>
      </c>
      <c r="J70" s="185">
        <f>SUMIF('Monthly CF'!$C$4:$DR$4,J$3,'Monthly CF'!$C$81:$DR$81)</f>
        <v>0</v>
      </c>
      <c r="K70" s="185">
        <f>SUMIF('Monthly CF'!$C$4:$DR$4,K$3,'Monthly CF'!$C$81:$DR$81)</f>
        <v>0</v>
      </c>
      <c r="L70" s="185">
        <f>SUMIF('Monthly CF'!$C$4:$DR$4,L$3,'Monthly CF'!$C$81:$DR$81)</f>
        <v>0</v>
      </c>
      <c r="M70" s="185">
        <f>SUMIF('Monthly CF'!$C$4:$DR$4,M$3,'Monthly CF'!$C$81:$DR$81)</f>
        <v>0</v>
      </c>
      <c r="N70" s="185">
        <f>SUMIF('Monthly CF'!$C$4:$DR$4,N$3,'Monthly CF'!$C$81:$DR$81)</f>
        <v>0</v>
      </c>
      <c r="O70" s="185">
        <f>SUMIF('Monthly CF'!$C$4:$DR$4,O$3,'Monthly CF'!$C$81:$DR$81)</f>
        <v>0</v>
      </c>
      <c r="P70" s="185">
        <f>SUMIF('Monthly CF'!$C$4:$DR$4,P$3,'Monthly CF'!$C$81:$DR$81)</f>
        <v>0</v>
      </c>
      <c r="Q70" s="185">
        <f>SUMIF('Monthly CF'!$C$4:$DR$4,Q$3,'Monthly CF'!$C$81:$DR$81)</f>
        <v>0</v>
      </c>
      <c r="R70" s="185">
        <f>SUMIF('Monthly CF'!$C$4:$DR$4,R$3,'Monthly CF'!$C$81:$DR$81)</f>
        <v>0</v>
      </c>
      <c r="S70" s="185">
        <f>SUMIF('Monthly CF'!$C$4:$DR$4,S$3,'Monthly CF'!$C$81:$DR$81)</f>
        <v>0</v>
      </c>
      <c r="T70" s="185">
        <f>SUMIF('Monthly CF'!$C$4:$DR$4,T$3,'Monthly CF'!$C$81:$DR$81)</f>
        <v>0</v>
      </c>
      <c r="U70" s="185">
        <f>SUMIF('Monthly CF'!$C$4:$DR$4,U$3,'Monthly CF'!$C$81:$DR$81)</f>
        <v>0</v>
      </c>
      <c r="V70" s="185">
        <f>SUMIF('Monthly CF'!$C$4:$DR$4,V$3,'Monthly CF'!$C$81:$DR$81)</f>
        <v>0</v>
      </c>
      <c r="W70" s="185">
        <f>SUMIF('Monthly CF'!$C$4:$DR$4,W$3,'Monthly CF'!$C$81:$DR$81)</f>
        <v>0</v>
      </c>
      <c r="X70" s="185">
        <f>SUMIF('Monthly CF'!$C$4:$DR$4,X$3,'Monthly CF'!$C$81:$DR$81)</f>
        <v>0</v>
      </c>
      <c r="Y70" s="185">
        <f>SUMIF('Monthly CF'!$C$4:$DR$4,Y$3,'Monthly CF'!$C$81:$DR$81)</f>
        <v>0</v>
      </c>
      <c r="Z70" s="185">
        <f>SUMIF('Monthly CF'!$C$4:$DR$4,Z$3,'Monthly CF'!$C$81:$DR$81)</f>
        <v>0</v>
      </c>
      <c r="AA70" s="185">
        <f>SUMIF('Monthly CF'!$C$4:$DR$4,AA$3,'Monthly CF'!$C$81:$DR$81)</f>
        <v>0</v>
      </c>
      <c r="AB70" s="185">
        <f>SUMIF('Monthly CF'!$C$4:$DR$4,AB$3,'Monthly CF'!$C$81:$DR$81)</f>
        <v>0</v>
      </c>
      <c r="AC70" s="185">
        <f>SUMIF('Monthly CF'!$C$4:$DR$4,AC$3,'Monthly CF'!$C$81:$DR$81)</f>
        <v>0</v>
      </c>
      <c r="AD70" s="185">
        <f>SUMIF('Monthly CF'!$C$4:$DR$4,AD$3,'Monthly CF'!$C$81:$DR$81)</f>
        <v>0</v>
      </c>
      <c r="AE70" s="185">
        <f>SUMIF('Monthly CF'!$C$4:$DR$4,AE$3,'Monthly CF'!$C$81:$DR$81)</f>
        <v>0</v>
      </c>
      <c r="AF70" s="185">
        <f>SUMIF('Monthly CF'!$C$4:$DR$4,AF$3,'Monthly CF'!$C$81:$DR$81)</f>
        <v>0</v>
      </c>
      <c r="AG70" s="185">
        <f>SUMIF('Monthly CF'!$C$4:$DR$4,AG$3,'Monthly CF'!$C$81:$DR$81)</f>
        <v>0</v>
      </c>
      <c r="AH70" s="185">
        <f>SUMIF('Monthly CF'!$C$4:$DR$4,AH$3,'Monthly CF'!$C$81:$DR$81)</f>
        <v>0</v>
      </c>
      <c r="AI70" s="185">
        <f>SUMIF('Monthly CF'!$C$4:$DR$4,AI$3,'Monthly CF'!$C$81:$DR$81)</f>
        <v>0</v>
      </c>
      <c r="AJ70" s="185">
        <f>SUMIF('Monthly CF'!$C$4:$DR$4,AJ$3,'Monthly CF'!$C$81:$DR$81)</f>
        <v>0</v>
      </c>
      <c r="AK70" s="185">
        <f>SUMIF('Monthly CF'!$C$4:$DR$4,AK$3,'Monthly CF'!$C$81:$DR$81)</f>
        <v>0</v>
      </c>
      <c r="AL70" s="185">
        <f>SUMIF('Monthly CF'!$C$4:$DR$4,AL$3,'Monthly CF'!$C$81:$DR$81)</f>
        <v>0</v>
      </c>
      <c r="AM70" s="185">
        <f>SUMIF('Monthly CF'!$C$4:$DR$4,AM$3,'Monthly CF'!$C$81:$DR$81)</f>
        <v>0</v>
      </c>
      <c r="AN70" s="185">
        <f>SUMIF('Monthly CF'!$C$4:$DR$4,AN$3,'Monthly CF'!$C$81:$DR$81)</f>
        <v>0</v>
      </c>
      <c r="AO70" s="185">
        <f>SUMIF('Monthly CF'!$C$4:$DR$4,AO$3,'Monthly CF'!$C$81:$DR$81)</f>
        <v>0</v>
      </c>
      <c r="AP70" s="185">
        <f>SUMIF('Monthly CF'!$C$4:$DR$4,AP$3,'Monthly CF'!$C$81:$DR$81)</f>
        <v>0</v>
      </c>
      <c r="AQ70" s="44">
        <f>SUMIF('Monthly CF'!$C$4:$DR$4,AQ$3,'Monthly CF'!$C$81:$DR$81)</f>
        <v>0</v>
      </c>
    </row>
    <row r="71" ht="15.75" customHeight="1">
      <c r="A71" s="44"/>
      <c r="B71" s="184" t="str">
        <f>"  Manager ("&amp;TEXT(Inputs!C91,"0.0%")&amp;")"</f>
        <v>  Manager (124.6%)</v>
      </c>
      <c r="C71" s="185">
        <f>SUMIF('Monthly CF'!$C$4:$DR$4,C$3,'Monthly CF'!$C$82:$DR$82)</f>
        <v>0</v>
      </c>
      <c r="D71" s="185">
        <f>SUMIF('Monthly CF'!$C$4:$DR$4,D$3,'Monthly CF'!$C$82:$DR$82)</f>
        <v>0</v>
      </c>
      <c r="E71" s="185">
        <f>SUMIF('Monthly CF'!$C$4:$DR$4,E$3,'Monthly CF'!$C$82:$DR$82)</f>
        <v>0</v>
      </c>
      <c r="F71" s="185">
        <f>SUMIF('Monthly CF'!$C$4:$DR$4,F$3,'Monthly CF'!$C$82:$DR$82)</f>
        <v>0</v>
      </c>
      <c r="G71" s="185">
        <f>SUMIF('Monthly CF'!$C$4:$DR$4,G$3,'Monthly CF'!$C$82:$DR$82)</f>
        <v>0</v>
      </c>
      <c r="H71" s="185">
        <f>SUMIF('Monthly CF'!$C$4:$DR$4,H$3,'Monthly CF'!$C$82:$DR$82)</f>
        <v>0</v>
      </c>
      <c r="I71" s="185">
        <f>SUMIF('Monthly CF'!$C$4:$DR$4,I$3,'Monthly CF'!$C$82:$DR$82)</f>
        <v>0</v>
      </c>
      <c r="J71" s="185">
        <f>SUMIF('Monthly CF'!$C$4:$DR$4,J$3,'Monthly CF'!$C$82:$DR$82)</f>
        <v>0</v>
      </c>
      <c r="K71" s="185">
        <f>SUMIF('Monthly CF'!$C$4:$DR$4,K$3,'Monthly CF'!$C$82:$DR$82)</f>
        <v>0</v>
      </c>
      <c r="L71" s="185">
        <f>SUMIF('Monthly CF'!$C$4:$DR$4,L$3,'Monthly CF'!$C$82:$DR$82)</f>
        <v>0</v>
      </c>
      <c r="M71" s="185">
        <f>SUMIF('Monthly CF'!$C$4:$DR$4,M$3,'Monthly CF'!$C$82:$DR$82)</f>
        <v>0</v>
      </c>
      <c r="N71" s="185">
        <f>SUMIF('Monthly CF'!$C$4:$DR$4,N$3,'Monthly CF'!$C$82:$DR$82)</f>
        <v>0</v>
      </c>
      <c r="O71" s="185">
        <f>SUMIF('Monthly CF'!$C$4:$DR$4,O$3,'Monthly CF'!$C$82:$DR$82)</f>
        <v>0</v>
      </c>
      <c r="P71" s="185">
        <f>SUMIF('Monthly CF'!$C$4:$DR$4,P$3,'Monthly CF'!$C$82:$DR$82)</f>
        <v>0</v>
      </c>
      <c r="Q71" s="185">
        <f>SUMIF('Monthly CF'!$C$4:$DR$4,Q$3,'Monthly CF'!$C$82:$DR$82)</f>
        <v>0</v>
      </c>
      <c r="R71" s="185">
        <f>SUMIF('Monthly CF'!$C$4:$DR$4,R$3,'Monthly CF'!$C$82:$DR$82)</f>
        <v>0</v>
      </c>
      <c r="S71" s="185">
        <f>SUMIF('Monthly CF'!$C$4:$DR$4,S$3,'Monthly CF'!$C$82:$DR$82)</f>
        <v>0</v>
      </c>
      <c r="T71" s="185">
        <f>SUMIF('Monthly CF'!$C$4:$DR$4,T$3,'Monthly CF'!$C$82:$DR$82)</f>
        <v>0</v>
      </c>
      <c r="U71" s="185">
        <f>SUMIF('Monthly CF'!$C$4:$DR$4,U$3,'Monthly CF'!$C$82:$DR$82)</f>
        <v>0</v>
      </c>
      <c r="V71" s="185">
        <f>SUMIF('Monthly CF'!$C$4:$DR$4,V$3,'Monthly CF'!$C$82:$DR$82)</f>
        <v>0</v>
      </c>
      <c r="W71" s="185">
        <f>SUMIF('Monthly CF'!$C$4:$DR$4,W$3,'Monthly CF'!$C$82:$DR$82)</f>
        <v>0</v>
      </c>
      <c r="X71" s="185">
        <f>SUMIF('Monthly CF'!$C$4:$DR$4,X$3,'Monthly CF'!$C$82:$DR$82)</f>
        <v>0</v>
      </c>
      <c r="Y71" s="185">
        <f>SUMIF('Monthly CF'!$C$4:$DR$4,Y$3,'Monthly CF'!$C$82:$DR$82)</f>
        <v>0</v>
      </c>
      <c r="Z71" s="185">
        <f>SUMIF('Monthly CF'!$C$4:$DR$4,Z$3,'Monthly CF'!$C$82:$DR$82)</f>
        <v>0</v>
      </c>
      <c r="AA71" s="185">
        <f>SUMIF('Monthly CF'!$C$4:$DR$4,AA$3,'Monthly CF'!$C$82:$DR$82)</f>
        <v>0</v>
      </c>
      <c r="AB71" s="185">
        <f>SUMIF('Monthly CF'!$C$4:$DR$4,AB$3,'Monthly CF'!$C$82:$DR$82)</f>
        <v>0</v>
      </c>
      <c r="AC71" s="185">
        <f>SUMIF('Monthly CF'!$C$4:$DR$4,AC$3,'Monthly CF'!$C$82:$DR$82)</f>
        <v>0</v>
      </c>
      <c r="AD71" s="185">
        <f>SUMIF('Monthly CF'!$C$4:$DR$4,AD$3,'Monthly CF'!$C$82:$DR$82)</f>
        <v>0</v>
      </c>
      <c r="AE71" s="185">
        <f>SUMIF('Monthly CF'!$C$4:$DR$4,AE$3,'Monthly CF'!$C$82:$DR$82)</f>
        <v>0</v>
      </c>
      <c r="AF71" s="185">
        <f>SUMIF('Monthly CF'!$C$4:$DR$4,AF$3,'Monthly CF'!$C$82:$DR$82)</f>
        <v>0</v>
      </c>
      <c r="AG71" s="185">
        <f>SUMIF('Monthly CF'!$C$4:$DR$4,AG$3,'Monthly CF'!$C$82:$DR$82)</f>
        <v>0</v>
      </c>
      <c r="AH71" s="185">
        <f>SUMIF('Monthly CF'!$C$4:$DR$4,AH$3,'Monthly CF'!$C$82:$DR$82)</f>
        <v>0</v>
      </c>
      <c r="AI71" s="185">
        <f>SUMIF('Monthly CF'!$C$4:$DR$4,AI$3,'Monthly CF'!$C$82:$DR$82)</f>
        <v>0</v>
      </c>
      <c r="AJ71" s="185">
        <f>SUMIF('Monthly CF'!$C$4:$DR$4,AJ$3,'Monthly CF'!$C$82:$DR$82)</f>
        <v>0</v>
      </c>
      <c r="AK71" s="185">
        <f>SUMIF('Monthly CF'!$C$4:$DR$4,AK$3,'Monthly CF'!$C$82:$DR$82)</f>
        <v>0</v>
      </c>
      <c r="AL71" s="185">
        <f>SUMIF('Monthly CF'!$C$4:$DR$4,AL$3,'Monthly CF'!$C$82:$DR$82)</f>
        <v>0</v>
      </c>
      <c r="AM71" s="185">
        <f>SUMIF('Monthly CF'!$C$4:$DR$4,AM$3,'Monthly CF'!$C$82:$DR$82)</f>
        <v>0</v>
      </c>
      <c r="AN71" s="185">
        <f>SUMIF('Monthly CF'!$C$4:$DR$4,AN$3,'Monthly CF'!$C$82:$DR$82)</f>
        <v>0</v>
      </c>
      <c r="AO71" s="185">
        <f>SUMIF('Monthly CF'!$C$4:$DR$4,AO$3,'Monthly CF'!$C$82:$DR$82)</f>
        <v>0</v>
      </c>
      <c r="AP71" s="185">
        <f>SUMIF('Monthly CF'!$C$4:$DR$4,AP$3,'Monthly CF'!$C$82:$DR$82)</f>
        <v>0</v>
      </c>
      <c r="AQ71" s="44">
        <f>SUMIF('Monthly CF'!$C$4:$DR$4,AQ$3,'Monthly CF'!$C$82:$DR$82)</f>
        <v>0</v>
      </c>
    </row>
    <row r="72" ht="15.75" customHeight="1">
      <c r="A72" s="44"/>
      <c r="B72" s="124" t="s">
        <v>361</v>
      </c>
      <c r="C72" s="189">
        <f>SUMIF('Monthly CF'!$C$4:$DR$4,C$3,'Monthly CF'!$C$83:$DR$83)</f>
        <v>0</v>
      </c>
      <c r="D72" s="189">
        <f>SUMIF('Monthly CF'!$C$4:$DR$4,D$3,'Monthly CF'!$C$83:$DR$83)</f>
        <v>0</v>
      </c>
      <c r="E72" s="189">
        <f>SUMIF('Monthly CF'!$C$4:$DR$4,E$3,'Monthly CF'!$C$83:$DR$83)</f>
        <v>0</v>
      </c>
      <c r="F72" s="189">
        <f>SUMIF('Monthly CF'!$C$4:$DR$4,F$3,'Monthly CF'!$C$83:$DR$83)</f>
        <v>0</v>
      </c>
      <c r="G72" s="189">
        <f>SUMIF('Monthly CF'!$C$4:$DR$4,G$3,'Monthly CF'!$C$83:$DR$83)</f>
        <v>0</v>
      </c>
      <c r="H72" s="189">
        <f>SUMIF('Monthly CF'!$C$4:$DR$4,H$3,'Monthly CF'!$C$83:$DR$83)</f>
        <v>0</v>
      </c>
      <c r="I72" s="189">
        <f>SUMIF('Monthly CF'!$C$4:$DR$4,I$3,'Monthly CF'!$C$83:$DR$83)</f>
        <v>0</v>
      </c>
      <c r="J72" s="189">
        <f>SUMIF('Monthly CF'!$C$4:$DR$4,J$3,'Monthly CF'!$C$83:$DR$83)</f>
        <v>0</v>
      </c>
      <c r="K72" s="189">
        <f>SUMIF('Monthly CF'!$C$4:$DR$4,K$3,'Monthly CF'!$C$83:$DR$83)</f>
        <v>0</v>
      </c>
      <c r="L72" s="189">
        <f>SUMIF('Monthly CF'!$C$4:$DR$4,L$3,'Monthly CF'!$C$83:$DR$83)</f>
        <v>0</v>
      </c>
      <c r="M72" s="189">
        <f>SUMIF('Monthly CF'!$C$4:$DR$4,M$3,'Monthly CF'!$C$83:$DR$83)</f>
        <v>0</v>
      </c>
      <c r="N72" s="189">
        <f>SUMIF('Monthly CF'!$C$4:$DR$4,N$3,'Monthly CF'!$C$83:$DR$83)</f>
        <v>0</v>
      </c>
      <c r="O72" s="189">
        <f>SUMIF('Monthly CF'!$C$4:$DR$4,O$3,'Monthly CF'!$C$83:$DR$83)</f>
        <v>0</v>
      </c>
      <c r="P72" s="189">
        <f>SUMIF('Monthly CF'!$C$4:$DR$4,P$3,'Monthly CF'!$C$83:$DR$83)</f>
        <v>0</v>
      </c>
      <c r="Q72" s="189">
        <f>SUMIF('Monthly CF'!$C$4:$DR$4,Q$3,'Monthly CF'!$C$83:$DR$83)</f>
        <v>0</v>
      </c>
      <c r="R72" s="189">
        <f>SUMIF('Monthly CF'!$C$4:$DR$4,R$3,'Monthly CF'!$C$83:$DR$83)</f>
        <v>0</v>
      </c>
      <c r="S72" s="189">
        <f>SUMIF('Monthly CF'!$C$4:$DR$4,S$3,'Monthly CF'!$C$83:$DR$83)</f>
        <v>0</v>
      </c>
      <c r="T72" s="189">
        <f>SUMIF('Monthly CF'!$C$4:$DR$4,T$3,'Monthly CF'!$C$83:$DR$83)</f>
        <v>0</v>
      </c>
      <c r="U72" s="189">
        <f>SUMIF('Monthly CF'!$C$4:$DR$4,U$3,'Monthly CF'!$C$83:$DR$83)</f>
        <v>0</v>
      </c>
      <c r="V72" s="189">
        <f>SUMIF('Monthly CF'!$C$4:$DR$4,V$3,'Monthly CF'!$C$83:$DR$83)</f>
        <v>0</v>
      </c>
      <c r="W72" s="189">
        <f>SUMIF('Monthly CF'!$C$4:$DR$4,W$3,'Monthly CF'!$C$83:$DR$83)</f>
        <v>0</v>
      </c>
      <c r="X72" s="189">
        <f>SUMIF('Monthly CF'!$C$4:$DR$4,X$3,'Monthly CF'!$C$83:$DR$83)</f>
        <v>0</v>
      </c>
      <c r="Y72" s="189">
        <f>SUMIF('Monthly CF'!$C$4:$DR$4,Y$3,'Monthly CF'!$C$83:$DR$83)</f>
        <v>0</v>
      </c>
      <c r="Z72" s="189">
        <f>SUMIF('Monthly CF'!$C$4:$DR$4,Z$3,'Monthly CF'!$C$83:$DR$83)</f>
        <v>0</v>
      </c>
      <c r="AA72" s="189">
        <f>SUMIF('Monthly CF'!$C$4:$DR$4,AA$3,'Monthly CF'!$C$83:$DR$83)</f>
        <v>0</v>
      </c>
      <c r="AB72" s="189">
        <f>SUMIF('Monthly CF'!$C$4:$DR$4,AB$3,'Monthly CF'!$C$83:$DR$83)</f>
        <v>0</v>
      </c>
      <c r="AC72" s="189">
        <f>SUMIF('Monthly CF'!$C$4:$DR$4,AC$3,'Monthly CF'!$C$83:$DR$83)</f>
        <v>0</v>
      </c>
      <c r="AD72" s="189">
        <f>SUMIF('Monthly CF'!$C$4:$DR$4,AD$3,'Monthly CF'!$C$83:$DR$83)</f>
        <v>0</v>
      </c>
      <c r="AE72" s="189">
        <f>SUMIF('Monthly CF'!$C$4:$DR$4,AE$3,'Monthly CF'!$C$83:$DR$83)</f>
        <v>0</v>
      </c>
      <c r="AF72" s="189">
        <f>SUMIF('Monthly CF'!$C$4:$DR$4,AF$3,'Monthly CF'!$C$83:$DR$83)</f>
        <v>0</v>
      </c>
      <c r="AG72" s="189">
        <f>SUMIF('Monthly CF'!$C$4:$DR$4,AG$3,'Monthly CF'!$C$83:$DR$83)</f>
        <v>0</v>
      </c>
      <c r="AH72" s="189">
        <f>SUMIF('Monthly CF'!$C$4:$DR$4,AH$3,'Monthly CF'!$C$83:$DR$83)</f>
        <v>0</v>
      </c>
      <c r="AI72" s="189">
        <f>SUMIF('Monthly CF'!$C$4:$DR$4,AI$3,'Monthly CF'!$C$83:$DR$83)</f>
        <v>0</v>
      </c>
      <c r="AJ72" s="189">
        <f>SUMIF('Monthly CF'!$C$4:$DR$4,AJ$3,'Monthly CF'!$C$83:$DR$83)</f>
        <v>0</v>
      </c>
      <c r="AK72" s="189">
        <f>SUMIF('Monthly CF'!$C$4:$DR$4,AK$3,'Monthly CF'!$C$83:$DR$83)</f>
        <v>0</v>
      </c>
      <c r="AL72" s="189">
        <f>SUMIF('Monthly CF'!$C$4:$DR$4,AL$3,'Monthly CF'!$C$83:$DR$83)</f>
        <v>0</v>
      </c>
      <c r="AM72" s="189">
        <f>SUMIF('Monthly CF'!$C$4:$DR$4,AM$3,'Monthly CF'!$C$83:$DR$83)</f>
        <v>0</v>
      </c>
      <c r="AN72" s="189">
        <f>SUMIF('Monthly CF'!$C$4:$DR$4,AN$3,'Monthly CF'!$C$83:$DR$83)</f>
        <v>0</v>
      </c>
      <c r="AO72" s="189">
        <f>SUMIF('Monthly CF'!$C$4:$DR$4,AO$3,'Monthly CF'!$C$83:$DR$83)</f>
        <v>0</v>
      </c>
      <c r="AP72" s="189">
        <f>SUMIF('Monthly CF'!$C$4:$DR$4,AP$3,'Monthly CF'!$C$83:$DR$83)</f>
        <v>0</v>
      </c>
      <c r="AQ72" s="44">
        <f>SUMIF('Monthly CF'!$C$4:$DR$4,AQ$3,'Monthly CF'!$C$83:$DR$83)</f>
        <v>0</v>
      </c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</row>
    <row r="74" ht="15.75" customHeight="1">
      <c r="A74" s="44"/>
      <c r="B74" s="184" t="s">
        <v>371</v>
      </c>
      <c r="C74" s="208" t="str">
        <f t="shared" ref="C74:AQ74" si="2">IF(ABS(C61)=0,"-",C18/ABS(C61))</f>
        <v>-</v>
      </c>
      <c r="D74" s="208" t="str">
        <f t="shared" si="2"/>
        <v>-</v>
      </c>
      <c r="E74" s="208" t="str">
        <f t="shared" si="2"/>
        <v>-</v>
      </c>
      <c r="F74" s="208" t="str">
        <f t="shared" si="2"/>
        <v>-</v>
      </c>
      <c r="G74" s="208" t="str">
        <f t="shared" si="2"/>
        <v>-</v>
      </c>
      <c r="H74" s="208" t="str">
        <f t="shared" si="2"/>
        <v>-</v>
      </c>
      <c r="I74" s="208" t="str">
        <f t="shared" si="2"/>
        <v>-</v>
      </c>
      <c r="J74" s="208" t="str">
        <f t="shared" si="2"/>
        <v>-</v>
      </c>
      <c r="K74" s="208" t="str">
        <f t="shared" si="2"/>
        <v>-</v>
      </c>
      <c r="L74" s="208" t="str">
        <f t="shared" si="2"/>
        <v>-</v>
      </c>
      <c r="M74" s="208" t="str">
        <f t="shared" si="2"/>
        <v>-</v>
      </c>
      <c r="N74" s="208" t="str">
        <f t="shared" si="2"/>
        <v>-</v>
      </c>
      <c r="O74" s="208" t="str">
        <f t="shared" si="2"/>
        <v>-</v>
      </c>
      <c r="P74" s="208" t="str">
        <f t="shared" si="2"/>
        <v>-</v>
      </c>
      <c r="Q74" s="208" t="str">
        <f t="shared" si="2"/>
        <v>-</v>
      </c>
      <c r="R74" s="208" t="str">
        <f t="shared" si="2"/>
        <v>-</v>
      </c>
      <c r="S74" s="208" t="str">
        <f t="shared" si="2"/>
        <v>-</v>
      </c>
      <c r="T74" s="208" t="str">
        <f t="shared" si="2"/>
        <v>-</v>
      </c>
      <c r="U74" s="208" t="str">
        <f t="shared" si="2"/>
        <v>-</v>
      </c>
      <c r="V74" s="208" t="str">
        <f t="shared" si="2"/>
        <v>-</v>
      </c>
      <c r="W74" s="208" t="str">
        <f t="shared" si="2"/>
        <v>-</v>
      </c>
      <c r="X74" s="208" t="str">
        <f t="shared" si="2"/>
        <v>-</v>
      </c>
      <c r="Y74" s="208" t="str">
        <f t="shared" si="2"/>
        <v>-</v>
      </c>
      <c r="Z74" s="208" t="str">
        <f t="shared" si="2"/>
        <v>-</v>
      </c>
      <c r="AA74" s="208" t="str">
        <f t="shared" si="2"/>
        <v>-</v>
      </c>
      <c r="AB74" s="208" t="str">
        <f t="shared" si="2"/>
        <v>-</v>
      </c>
      <c r="AC74" s="208" t="str">
        <f t="shared" si="2"/>
        <v>-</v>
      </c>
      <c r="AD74" s="208" t="str">
        <f t="shared" si="2"/>
        <v>-</v>
      </c>
      <c r="AE74" s="208" t="str">
        <f t="shared" si="2"/>
        <v>-</v>
      </c>
      <c r="AF74" s="208" t="str">
        <f t="shared" si="2"/>
        <v>-</v>
      </c>
      <c r="AG74" s="208" t="str">
        <f t="shared" si="2"/>
        <v>-</v>
      </c>
      <c r="AH74" s="208" t="str">
        <f t="shared" si="2"/>
        <v>-</v>
      </c>
      <c r="AI74" s="208" t="str">
        <f t="shared" si="2"/>
        <v>-</v>
      </c>
      <c r="AJ74" s="208" t="str">
        <f t="shared" si="2"/>
        <v>-</v>
      </c>
      <c r="AK74" s="208" t="str">
        <f t="shared" si="2"/>
        <v>-</v>
      </c>
      <c r="AL74" s="208" t="str">
        <f t="shared" si="2"/>
        <v>-</v>
      </c>
      <c r="AM74" s="208" t="str">
        <f t="shared" si="2"/>
        <v>-</v>
      </c>
      <c r="AN74" s="208" t="str">
        <f t="shared" si="2"/>
        <v>-</v>
      </c>
      <c r="AO74" s="208" t="str">
        <f t="shared" si="2"/>
        <v>-</v>
      </c>
      <c r="AP74" s="208" t="str">
        <f t="shared" si="2"/>
        <v>-</v>
      </c>
      <c r="AQ74" s="44" t="str">
        <f t="shared" si="2"/>
        <v>-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2">
    <mergeCell ref="A1:AQ1"/>
    <mergeCell ref="A2:AQ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12" width="14.0"/>
  </cols>
  <sheetData>
    <row r="1" ht="27.75" customHeight="1">
      <c r="A1" s="42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3.5" customHeight="1">
      <c r="A2" s="43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.0" customHeight="1">
      <c r="A3" s="44"/>
      <c r="B3" s="180" t="s">
        <v>368</v>
      </c>
      <c r="C3" s="209">
        <v>1.0</v>
      </c>
      <c r="D3" s="209">
        <v>2.0</v>
      </c>
      <c r="E3" s="209">
        <v>3.0</v>
      </c>
      <c r="F3" s="209">
        <v>4.0</v>
      </c>
      <c r="G3" s="209">
        <v>5.0</v>
      </c>
      <c r="H3" s="209">
        <v>6.0</v>
      </c>
      <c r="I3" s="209">
        <v>7.0</v>
      </c>
      <c r="J3" s="209">
        <v>8.0</v>
      </c>
      <c r="K3" s="209">
        <v>9.0</v>
      </c>
      <c r="L3" s="209">
        <v>10.0</v>
      </c>
    </row>
    <row r="4" ht="15.75" customHeight="1">
      <c r="A4" s="44"/>
      <c r="B4" s="45" t="s">
        <v>315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5.75" customHeight="1">
      <c r="A5" s="44"/>
      <c r="B5" s="46" t="s">
        <v>97</v>
      </c>
      <c r="C5" s="152">
        <f>SUMIF('Monthly CF'!$C$5:$DR$5,C$3,'Monthly CF'!$C$8:$DR$8)</f>
        <v>0</v>
      </c>
      <c r="D5" s="152">
        <f>SUMIF('Monthly CF'!$C$5:$DR$5,D$3,'Monthly CF'!$C$8:$DR$8)</f>
        <v>0</v>
      </c>
      <c r="E5" s="152">
        <f>SUMIF('Monthly CF'!$C$5:$DR$5,E$3,'Monthly CF'!$C$8:$DR$8)</f>
        <v>0</v>
      </c>
      <c r="F5" s="152">
        <f>SUMIF('Monthly CF'!$C$5:$DR$5,F$3,'Monthly CF'!$C$8:$DR$8)</f>
        <v>0</v>
      </c>
      <c r="G5" s="152">
        <f>SUMIF('Monthly CF'!$C$5:$DR$5,G$3,'Monthly CF'!$C$8:$DR$8)</f>
        <v>0</v>
      </c>
      <c r="H5" s="152">
        <f>SUMIF('Monthly CF'!$C$5:$DR$5,H$3,'Monthly CF'!$C$8:$DR$8)</f>
        <v>0</v>
      </c>
      <c r="I5" s="152">
        <f>SUMIF('Monthly CF'!$C$5:$DR$5,I$3,'Monthly CF'!$C$8:$DR$8)</f>
        <v>0</v>
      </c>
      <c r="J5" s="152">
        <f>SUMIF('Monthly CF'!$C$5:$DR$5,J$3,'Monthly CF'!$C$8:$DR$8)</f>
        <v>0</v>
      </c>
      <c r="K5" s="152">
        <f>SUMIF('Monthly CF'!$C$5:$DR$5,K$3,'Monthly CF'!$C$8:$DR$8)</f>
        <v>0</v>
      </c>
      <c r="L5" s="152">
        <f>SUMIF('Monthly CF'!$C$5:$DR$5,L$3,'Monthly CF'!$C$8:$DR$8)</f>
        <v>0</v>
      </c>
    </row>
    <row r="6" ht="15.75" customHeight="1">
      <c r="A6" s="44"/>
      <c r="B6" s="46" t="s">
        <v>316</v>
      </c>
      <c r="C6" s="151">
        <f>SUMIF('Monthly CF'!$C$5:$DR$5,C$3,'Monthly CF'!$C$9:$DR$9)</f>
        <v>0</v>
      </c>
      <c r="D6" s="151">
        <f>SUMIF('Monthly CF'!$C$5:$DR$5,D$3,'Monthly CF'!$C$9:$DR$9)</f>
        <v>0</v>
      </c>
      <c r="E6" s="151">
        <f>SUMIF('Monthly CF'!$C$5:$DR$5,E$3,'Monthly CF'!$C$9:$DR$9)</f>
        <v>0</v>
      </c>
      <c r="F6" s="151">
        <f>SUMIF('Monthly CF'!$C$5:$DR$5,F$3,'Monthly CF'!$C$9:$DR$9)</f>
        <v>0</v>
      </c>
      <c r="G6" s="151">
        <f>SUMIF('Monthly CF'!$C$5:$DR$5,G$3,'Monthly CF'!$C$9:$DR$9)</f>
        <v>0</v>
      </c>
      <c r="H6" s="151">
        <f>SUMIF('Monthly CF'!$C$5:$DR$5,H$3,'Monthly CF'!$C$9:$DR$9)</f>
        <v>0</v>
      </c>
      <c r="I6" s="151">
        <f>SUMIF('Monthly CF'!$C$5:$DR$5,I$3,'Monthly CF'!$C$9:$DR$9)</f>
        <v>0</v>
      </c>
      <c r="J6" s="151">
        <f>SUMIF('Monthly CF'!$C$5:$DR$5,J$3,'Monthly CF'!$C$9:$DR$9)</f>
        <v>0</v>
      </c>
      <c r="K6" s="151">
        <f>SUMIF('Monthly CF'!$C$5:$DR$5,K$3,'Monthly CF'!$C$9:$DR$9)</f>
        <v>0</v>
      </c>
      <c r="L6" s="151">
        <f>SUMIF('Monthly CF'!$C$5:$DR$5,L$3,'Monthly CF'!$C$9:$DR$9)</f>
        <v>0</v>
      </c>
    </row>
    <row r="7" ht="15.75" customHeight="1">
      <c r="A7" s="44"/>
      <c r="B7" s="46" t="s">
        <v>317</v>
      </c>
      <c r="C7" s="152">
        <f>SUMIF('Monthly CF'!$C$5:$DR$5,C$3,'Monthly CF'!$C$10:$DR$10)</f>
        <v>0</v>
      </c>
      <c r="D7" s="152">
        <f>SUMIF('Monthly CF'!$C$5:$DR$5,D$3,'Monthly CF'!$C$10:$DR$10)</f>
        <v>0</v>
      </c>
      <c r="E7" s="152">
        <f>SUMIF('Monthly CF'!$C$5:$DR$5,E$3,'Monthly CF'!$C$10:$DR$10)</f>
        <v>0</v>
      </c>
      <c r="F7" s="152">
        <f>SUMIF('Monthly CF'!$C$5:$DR$5,F$3,'Monthly CF'!$C$10:$DR$10)</f>
        <v>0</v>
      </c>
      <c r="G7" s="152">
        <f>SUMIF('Monthly CF'!$C$5:$DR$5,G$3,'Monthly CF'!$C$10:$DR$10)</f>
        <v>0</v>
      </c>
      <c r="H7" s="152">
        <f>SUMIF('Monthly CF'!$C$5:$DR$5,H$3,'Monthly CF'!$C$10:$DR$10)</f>
        <v>0</v>
      </c>
      <c r="I7" s="152">
        <f>SUMIF('Monthly CF'!$C$5:$DR$5,I$3,'Monthly CF'!$C$10:$DR$10)</f>
        <v>0</v>
      </c>
      <c r="J7" s="152">
        <f>SUMIF('Monthly CF'!$C$5:$DR$5,J$3,'Monthly CF'!$C$10:$DR$10)</f>
        <v>0</v>
      </c>
      <c r="K7" s="152">
        <f>SUMIF('Monthly CF'!$C$5:$DR$5,K$3,'Monthly CF'!$C$10:$DR$10)</f>
        <v>0</v>
      </c>
      <c r="L7" s="152">
        <f>SUMIF('Monthly CF'!$C$5:$DR$5,L$3,'Monthly CF'!$C$10:$DR$10)</f>
        <v>0</v>
      </c>
    </row>
    <row r="8" ht="15.75" customHeight="1">
      <c r="A8" s="44"/>
      <c r="B8" s="101" t="s">
        <v>318</v>
      </c>
      <c r="C8" s="157">
        <f>SUMIF('Monthly CF'!$C$5:$DR$5,C$3,'Monthly CF'!$C$11:$DR$11)</f>
        <v>0</v>
      </c>
      <c r="D8" s="157">
        <f>SUMIF('Monthly CF'!$C$5:$DR$5,D$3,'Monthly CF'!$C$11:$DR$11)</f>
        <v>0</v>
      </c>
      <c r="E8" s="157">
        <f>SUMIF('Monthly CF'!$C$5:$DR$5,E$3,'Monthly CF'!$C$11:$DR$11)</f>
        <v>0</v>
      </c>
      <c r="F8" s="157">
        <f>SUMIF('Monthly CF'!$C$5:$DR$5,F$3,'Monthly CF'!$C$11:$DR$11)</f>
        <v>0</v>
      </c>
      <c r="G8" s="157">
        <f>SUMIF('Monthly CF'!$C$5:$DR$5,G$3,'Monthly CF'!$C$11:$DR$11)</f>
        <v>0</v>
      </c>
      <c r="H8" s="157">
        <f>SUMIF('Monthly CF'!$C$5:$DR$5,H$3,'Monthly CF'!$C$11:$DR$11)</f>
        <v>0</v>
      </c>
      <c r="I8" s="157">
        <f>SUMIF('Monthly CF'!$C$5:$DR$5,I$3,'Monthly CF'!$C$11:$DR$11)</f>
        <v>0</v>
      </c>
      <c r="J8" s="157">
        <f>SUMIF('Monthly CF'!$C$5:$DR$5,J$3,'Monthly CF'!$C$11:$DR$11)</f>
        <v>0</v>
      </c>
      <c r="K8" s="157">
        <f>SUMIF('Monthly CF'!$C$5:$DR$5,K$3,'Monthly CF'!$C$11:$DR$11)</f>
        <v>0</v>
      </c>
      <c r="L8" s="157">
        <f>SUMIF('Monthly CF'!$C$5:$DR$5,L$3,'Monthly CF'!$C$11:$DR$11)</f>
        <v>0</v>
      </c>
    </row>
    <row r="9" ht="15.75" customHeight="1">
      <c r="A9" s="44"/>
      <c r="B9" s="46" t="s">
        <v>319</v>
      </c>
      <c r="C9" s="152">
        <f>SUMIF('Monthly CF'!$C$5:$DR$5,C$3,'Monthly CF'!$C$12:$DR$12)</f>
        <v>0</v>
      </c>
      <c r="D9" s="152">
        <f>SUMIF('Monthly CF'!$C$5:$DR$5,D$3,'Monthly CF'!$C$12:$DR$12)</f>
        <v>0</v>
      </c>
      <c r="E9" s="152">
        <f>SUMIF('Monthly CF'!$C$5:$DR$5,E$3,'Monthly CF'!$C$12:$DR$12)</f>
        <v>0</v>
      </c>
      <c r="F9" s="152">
        <f>SUMIF('Monthly CF'!$C$5:$DR$5,F$3,'Monthly CF'!$C$12:$DR$12)</f>
        <v>0</v>
      </c>
      <c r="G9" s="152">
        <f>SUMIF('Monthly CF'!$C$5:$DR$5,G$3,'Monthly CF'!$C$12:$DR$12)</f>
        <v>0</v>
      </c>
      <c r="H9" s="152">
        <f>SUMIF('Monthly CF'!$C$5:$DR$5,H$3,'Monthly CF'!$C$12:$DR$12)</f>
        <v>0</v>
      </c>
      <c r="I9" s="152">
        <f>SUMIF('Monthly CF'!$C$5:$DR$5,I$3,'Monthly CF'!$C$12:$DR$12)</f>
        <v>0</v>
      </c>
      <c r="J9" s="152">
        <f>SUMIF('Monthly CF'!$C$5:$DR$5,J$3,'Monthly CF'!$C$12:$DR$12)</f>
        <v>0</v>
      </c>
      <c r="K9" s="152">
        <f>SUMIF('Monthly CF'!$C$5:$DR$5,K$3,'Monthly CF'!$C$12:$DR$12)</f>
        <v>0</v>
      </c>
      <c r="L9" s="152">
        <f>SUMIF('Monthly CF'!$C$5:$DR$5,L$3,'Monthly CF'!$C$12:$DR$12)</f>
        <v>0</v>
      </c>
    </row>
    <row r="10" ht="15.75" customHeight="1">
      <c r="A10" s="44"/>
      <c r="B10" s="158" t="s">
        <v>320</v>
      </c>
      <c r="C10" s="159">
        <f>SUMIF('Monthly CF'!$C$5:$DR$5,C$3,'Monthly CF'!$C$13:$DR$13)</f>
        <v>0</v>
      </c>
      <c r="D10" s="159">
        <f>SUMIF('Monthly CF'!$C$5:$DR$5,D$3,'Monthly CF'!$C$13:$DR$13)</f>
        <v>0</v>
      </c>
      <c r="E10" s="159">
        <f>SUMIF('Monthly CF'!$C$5:$DR$5,E$3,'Monthly CF'!$C$13:$DR$13)</f>
        <v>0</v>
      </c>
      <c r="F10" s="159">
        <f>SUMIF('Monthly CF'!$C$5:$DR$5,F$3,'Monthly CF'!$C$13:$DR$13)</f>
        <v>0</v>
      </c>
      <c r="G10" s="159">
        <f>SUMIF('Monthly CF'!$C$5:$DR$5,G$3,'Monthly CF'!$C$13:$DR$13)</f>
        <v>0</v>
      </c>
      <c r="H10" s="159">
        <f>SUMIF('Monthly CF'!$C$5:$DR$5,H$3,'Monthly CF'!$C$13:$DR$13)</f>
        <v>0</v>
      </c>
      <c r="I10" s="159">
        <f>SUMIF('Monthly CF'!$C$5:$DR$5,I$3,'Monthly CF'!$C$13:$DR$13)</f>
        <v>0</v>
      </c>
      <c r="J10" s="159">
        <f>SUMIF('Monthly CF'!$C$5:$DR$5,J$3,'Monthly CF'!$C$13:$DR$13)</f>
        <v>0</v>
      </c>
      <c r="K10" s="159">
        <f>SUMIF('Monthly CF'!$C$5:$DR$5,K$3,'Monthly CF'!$C$13:$DR$13)</f>
        <v>0</v>
      </c>
      <c r="L10" s="159">
        <f>SUMIF('Monthly CF'!$C$5:$DR$5,L$3,'Monthly CF'!$C$13:$DR$13)</f>
        <v>0</v>
      </c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ht="15.75" customHeight="1">
      <c r="A12" s="44"/>
      <c r="B12" s="45" t="s">
        <v>321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44"/>
      <c r="B13" s="46" t="s">
        <v>322</v>
      </c>
      <c r="C13" s="152">
        <f>SUMIF('Monthly CF'!$C$5:$DR$5,C$3,'Monthly CF'!$C$16:$DR$16)</f>
        <v>0</v>
      </c>
      <c r="D13" s="152">
        <f>SUMIF('Monthly CF'!$C$5:$DR$5,D$3,'Monthly CF'!$C$16:$DR$16)</f>
        <v>0</v>
      </c>
      <c r="E13" s="152">
        <f>SUMIF('Monthly CF'!$C$5:$DR$5,E$3,'Monthly CF'!$C$16:$DR$16)</f>
        <v>0</v>
      </c>
      <c r="F13" s="152">
        <f>SUMIF('Monthly CF'!$C$5:$DR$5,F$3,'Monthly CF'!$C$16:$DR$16)</f>
        <v>0</v>
      </c>
      <c r="G13" s="152">
        <f>SUMIF('Monthly CF'!$C$5:$DR$5,G$3,'Monthly CF'!$C$16:$DR$16)</f>
        <v>0</v>
      </c>
      <c r="H13" s="152">
        <f>SUMIF('Monthly CF'!$C$5:$DR$5,H$3,'Monthly CF'!$C$16:$DR$16)</f>
        <v>0</v>
      </c>
      <c r="I13" s="152">
        <f>SUMIF('Monthly CF'!$C$5:$DR$5,I$3,'Monthly CF'!$C$16:$DR$16)</f>
        <v>0</v>
      </c>
      <c r="J13" s="152">
        <f>SUMIF('Monthly CF'!$C$5:$DR$5,J$3,'Monthly CF'!$C$16:$DR$16)</f>
        <v>0</v>
      </c>
      <c r="K13" s="152">
        <f>SUMIF('Monthly CF'!$C$5:$DR$5,K$3,'Monthly CF'!$C$16:$DR$16)</f>
        <v>0</v>
      </c>
      <c r="L13" s="152">
        <f>SUMIF('Monthly CF'!$C$5:$DR$5,L$3,'Monthly CF'!$C$16:$DR$16)</f>
        <v>0</v>
      </c>
    </row>
    <row r="14" ht="15.75" customHeight="1">
      <c r="A14" s="44"/>
      <c r="B14" s="46" t="s">
        <v>323</v>
      </c>
      <c r="C14" s="152">
        <f>SUMIF('Monthly CF'!$C$5:$DR$5,C$3,'Monthly CF'!$C$17:$DR$17)</f>
        <v>0</v>
      </c>
      <c r="D14" s="152">
        <f>SUMIF('Monthly CF'!$C$5:$DR$5,D$3,'Monthly CF'!$C$17:$DR$17)</f>
        <v>0</v>
      </c>
      <c r="E14" s="152">
        <f>SUMIF('Monthly CF'!$C$5:$DR$5,E$3,'Monthly CF'!$C$17:$DR$17)</f>
        <v>0</v>
      </c>
      <c r="F14" s="152">
        <f>SUMIF('Monthly CF'!$C$5:$DR$5,F$3,'Monthly CF'!$C$17:$DR$17)</f>
        <v>0</v>
      </c>
      <c r="G14" s="152">
        <f>SUMIF('Monthly CF'!$C$5:$DR$5,G$3,'Monthly CF'!$C$17:$DR$17)</f>
        <v>0</v>
      </c>
      <c r="H14" s="152">
        <f>SUMIF('Monthly CF'!$C$5:$DR$5,H$3,'Monthly CF'!$C$17:$DR$17)</f>
        <v>0</v>
      </c>
      <c r="I14" s="152">
        <f>SUMIF('Monthly CF'!$C$5:$DR$5,I$3,'Monthly CF'!$C$17:$DR$17)</f>
        <v>0</v>
      </c>
      <c r="J14" s="152">
        <f>SUMIF('Monthly CF'!$C$5:$DR$5,J$3,'Monthly CF'!$C$17:$DR$17)</f>
        <v>0</v>
      </c>
      <c r="K14" s="152">
        <f>SUMIF('Monthly CF'!$C$5:$DR$5,K$3,'Monthly CF'!$C$17:$DR$17)</f>
        <v>0</v>
      </c>
      <c r="L14" s="152">
        <f>SUMIF('Monthly CF'!$C$5:$DR$5,L$3,'Monthly CF'!$C$17:$DR$17)</f>
        <v>0</v>
      </c>
    </row>
    <row r="15" ht="15.75" customHeight="1">
      <c r="A15" s="44"/>
      <c r="B15" s="158" t="s">
        <v>324</v>
      </c>
      <c r="C15" s="160">
        <f>SUMIF('Monthly CF'!$C$5:$DR$5,C$3,'Monthly CF'!$C$18:$DR$18)</f>
        <v>0</v>
      </c>
      <c r="D15" s="160">
        <f>SUMIF('Monthly CF'!$C$5:$DR$5,D$3,'Monthly CF'!$C$18:$DR$18)</f>
        <v>0</v>
      </c>
      <c r="E15" s="160">
        <f>SUMIF('Monthly CF'!$C$5:$DR$5,E$3,'Monthly CF'!$C$18:$DR$18)</f>
        <v>0</v>
      </c>
      <c r="F15" s="160">
        <f>SUMIF('Monthly CF'!$C$5:$DR$5,F$3,'Monthly CF'!$C$18:$DR$18)</f>
        <v>0</v>
      </c>
      <c r="G15" s="160">
        <f>SUMIF('Monthly CF'!$C$5:$DR$5,G$3,'Monthly CF'!$C$18:$DR$18)</f>
        <v>0</v>
      </c>
      <c r="H15" s="160">
        <f>SUMIF('Monthly CF'!$C$5:$DR$5,H$3,'Monthly CF'!$C$18:$DR$18)</f>
        <v>0</v>
      </c>
      <c r="I15" s="160">
        <f>SUMIF('Monthly CF'!$C$5:$DR$5,I$3,'Monthly CF'!$C$18:$DR$18)</f>
        <v>0</v>
      </c>
      <c r="J15" s="160">
        <f>SUMIF('Monthly CF'!$C$5:$DR$5,J$3,'Monthly CF'!$C$18:$DR$18)</f>
        <v>0</v>
      </c>
      <c r="K15" s="160">
        <f>SUMIF('Monthly CF'!$C$5:$DR$5,K$3,'Monthly CF'!$C$18:$DR$18)</f>
        <v>0</v>
      </c>
      <c r="L15" s="160">
        <f>SUMIF('Monthly CF'!$C$5:$DR$5,L$3,'Monthly CF'!$C$18:$DR$18)</f>
        <v>0</v>
      </c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ht="15.75" customHeight="1">
      <c r="A17" s="44"/>
      <c r="B17" s="162" t="s">
        <v>325</v>
      </c>
      <c r="C17" s="163">
        <f>SUMIF('Monthly CF'!$C$5:$DR$5,C$3,'Monthly CF'!$C$20:$DR$20)</f>
        <v>0</v>
      </c>
      <c r="D17" s="163">
        <f>SUMIF('Monthly CF'!$C$5:$DR$5,D$3,'Monthly CF'!$C$20:$DR$20)</f>
        <v>0</v>
      </c>
      <c r="E17" s="163">
        <f>SUMIF('Monthly CF'!$C$5:$DR$5,E$3,'Monthly CF'!$C$20:$DR$20)</f>
        <v>0</v>
      </c>
      <c r="F17" s="163">
        <f>SUMIF('Monthly CF'!$C$5:$DR$5,F$3,'Monthly CF'!$C$20:$DR$20)</f>
        <v>0</v>
      </c>
      <c r="G17" s="163">
        <f>SUMIF('Monthly CF'!$C$5:$DR$5,G$3,'Monthly CF'!$C$20:$DR$20)</f>
        <v>0</v>
      </c>
      <c r="H17" s="163">
        <f>SUMIF('Monthly CF'!$C$5:$DR$5,H$3,'Monthly CF'!$C$20:$DR$20)</f>
        <v>0</v>
      </c>
      <c r="I17" s="163">
        <f>SUMIF('Monthly CF'!$C$5:$DR$5,I$3,'Monthly CF'!$C$20:$DR$20)</f>
        <v>0</v>
      </c>
      <c r="J17" s="163">
        <f>SUMIF('Monthly CF'!$C$5:$DR$5,J$3,'Monthly CF'!$C$20:$DR$20)</f>
        <v>0</v>
      </c>
      <c r="K17" s="163">
        <f>SUMIF('Monthly CF'!$C$5:$DR$5,K$3,'Monthly CF'!$C$20:$DR$20)</f>
        <v>0</v>
      </c>
      <c r="L17" s="163">
        <f>SUMIF('Monthly CF'!$C$5:$DR$5,L$3,'Monthly CF'!$C$20:$DR$20)</f>
        <v>0</v>
      </c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ht="15.75" customHeight="1">
      <c r="A19" s="44"/>
      <c r="B19" s="46" t="s">
        <v>369</v>
      </c>
      <c r="C19" s="152">
        <f>SUMIF('Monthly CF'!$C$5:$DR$5,C$3,'Monthly CF'!$C$23:$DR$23)</f>
        <v>0</v>
      </c>
      <c r="D19" s="152">
        <f>SUMIF('Monthly CF'!$C$5:$DR$5,D$3,'Monthly CF'!$C$23:$DR$23)</f>
        <v>0</v>
      </c>
      <c r="E19" s="152">
        <f>SUMIF('Monthly CF'!$C$5:$DR$5,E$3,'Monthly CF'!$C$23:$DR$23)</f>
        <v>0</v>
      </c>
      <c r="F19" s="152">
        <f>SUMIF('Monthly CF'!$C$5:$DR$5,F$3,'Monthly CF'!$C$23:$DR$23)</f>
        <v>0</v>
      </c>
      <c r="G19" s="152">
        <f>SUMIF('Monthly CF'!$C$5:$DR$5,G$3,'Monthly CF'!$C$23:$DR$23)</f>
        <v>0</v>
      </c>
      <c r="H19" s="152">
        <f>SUMIF('Monthly CF'!$C$5:$DR$5,H$3,'Monthly CF'!$C$23:$DR$23)</f>
        <v>0</v>
      </c>
      <c r="I19" s="152">
        <f>SUMIF('Monthly CF'!$C$5:$DR$5,I$3,'Monthly CF'!$C$23:$DR$23)</f>
        <v>0</v>
      </c>
      <c r="J19" s="152">
        <f>SUMIF('Monthly CF'!$C$5:$DR$5,J$3,'Monthly CF'!$C$23:$DR$23)</f>
        <v>0</v>
      </c>
      <c r="K19" s="152">
        <f>SUMIF('Monthly CF'!$C$5:$DR$5,K$3,'Monthly CF'!$C$23:$DR$23)</f>
        <v>0</v>
      </c>
      <c r="L19" s="152">
        <f>SUMIF('Monthly CF'!$C$5:$DR$5,L$3,'Monthly CF'!$C$23:$DR$23)</f>
        <v>0</v>
      </c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ht="15.75" customHeight="1">
      <c r="A21" s="44"/>
      <c r="B21" s="46" t="s">
        <v>370</v>
      </c>
      <c r="C21" s="151">
        <f>SUMIF('Monthly CF'!$C$5:$DR$5,C$3,'Monthly CF'!$C$32:$DR$32)</f>
        <v>-5000</v>
      </c>
      <c r="D21" s="151">
        <f>SUMIF('Monthly CF'!$C$5:$DR$5,D$3,'Monthly CF'!$C$32:$DR$32)</f>
        <v>0</v>
      </c>
      <c r="E21" s="151">
        <f>SUMIF('Monthly CF'!$C$5:$DR$5,E$3,'Monthly CF'!$C$32:$DR$32)</f>
        <v>0</v>
      </c>
      <c r="F21" s="151">
        <f>SUMIF('Monthly CF'!$C$5:$DR$5,F$3,'Monthly CF'!$C$32:$DR$32)</f>
        <v>0</v>
      </c>
      <c r="G21" s="151">
        <f>SUMIF('Monthly CF'!$C$5:$DR$5,G$3,'Monthly CF'!$C$32:$DR$32)</f>
        <v>0</v>
      </c>
      <c r="H21" s="151">
        <f>SUMIF('Monthly CF'!$C$5:$DR$5,H$3,'Monthly CF'!$C$32:$DR$32)</f>
        <v>0</v>
      </c>
      <c r="I21" s="151">
        <f>SUMIF('Monthly CF'!$C$5:$DR$5,I$3,'Monthly CF'!$C$32:$DR$32)</f>
        <v>0</v>
      </c>
      <c r="J21" s="151">
        <f>SUMIF('Monthly CF'!$C$5:$DR$5,J$3,'Monthly CF'!$C$32:$DR$32)</f>
        <v>0</v>
      </c>
      <c r="K21" s="151">
        <f>SUMIF('Monthly CF'!$C$5:$DR$5,K$3,'Monthly CF'!$C$32:$DR$32)</f>
        <v>0</v>
      </c>
      <c r="L21" s="151">
        <f>SUMIF('Monthly CF'!$C$5:$DR$5,L$3,'Monthly CF'!$C$32:$DR$32)</f>
        <v>0</v>
      </c>
    </row>
    <row r="22" ht="15.75" customHeight="1">
      <c r="A22" s="44"/>
      <c r="B22" s="110" t="s">
        <v>333</v>
      </c>
      <c r="C22" s="210"/>
      <c r="D22" s="210"/>
      <c r="E22" s="210"/>
      <c r="F22" s="210"/>
      <c r="G22" s="210"/>
      <c r="H22" s="210"/>
      <c r="I22" s="210"/>
      <c r="J22" s="210"/>
      <c r="K22" s="210"/>
      <c r="L22" s="210"/>
    </row>
    <row r="23" ht="15.75" customHeight="1">
      <c r="A23" s="44"/>
      <c r="B23" s="96" t="s">
        <v>334</v>
      </c>
      <c r="C23" s="108">
        <f>SUMIF('Monthly CF'!$C$5:$DR$5,C$3,'Monthly CF'!$C$35:$DR$35)</f>
        <v>0</v>
      </c>
      <c r="D23" s="108">
        <f>SUMIF('Monthly CF'!$C$5:$DR$5,D$3,'Monthly CF'!$C$35:$DR$35)</f>
        <v>0</v>
      </c>
      <c r="E23" s="108">
        <f>SUMIF('Monthly CF'!$C$5:$DR$5,E$3,'Monthly CF'!$C$35:$DR$35)</f>
        <v>0</v>
      </c>
      <c r="F23" s="108">
        <f>SUMIF('Monthly CF'!$C$5:$DR$5,F$3,'Monthly CF'!$C$35:$DR$35)</f>
        <v>0</v>
      </c>
      <c r="G23" s="108">
        <f>SUMIF('Monthly CF'!$C$5:$DR$5,G$3,'Monthly CF'!$C$35:$DR$35)</f>
        <v>0</v>
      </c>
      <c r="H23" s="108">
        <f>SUMIF('Monthly CF'!$C$5:$DR$5,H$3,'Monthly CF'!$C$35:$DR$35)</f>
        <v>0</v>
      </c>
      <c r="I23" s="108">
        <f>SUMIF('Monthly CF'!$C$5:$DR$5,I$3,'Monthly CF'!$C$35:$DR$35)</f>
        <v>0</v>
      </c>
      <c r="J23" s="108">
        <f>SUMIF('Monthly CF'!$C$5:$DR$5,J$3,'Monthly CF'!$C$35:$DR$35)</f>
        <v>0</v>
      </c>
      <c r="K23" s="108">
        <f>SUMIF('Monthly CF'!$C$5:$DR$5,K$3,'Monthly CF'!$C$35:$DR$35)</f>
        <v>0</v>
      </c>
      <c r="L23" s="108">
        <f>SUMIF('Monthly CF'!$C$5:$DR$5,L$3,'Monthly CF'!$C$35:$DR$35)</f>
        <v>0</v>
      </c>
    </row>
    <row r="24" ht="15.75" customHeight="1">
      <c r="A24" s="44"/>
      <c r="B24" s="96" t="s">
        <v>335</v>
      </c>
      <c r="C24" s="108">
        <f>SUMIF('Monthly CF'!$C$5:$DR$5,C$3,'Monthly CF'!$C$36:$DR$36)</f>
        <v>0</v>
      </c>
      <c r="D24" s="108">
        <f>SUMIF('Monthly CF'!$C$5:$DR$5,D$3,'Monthly CF'!$C$36:$DR$36)</f>
        <v>0</v>
      </c>
      <c r="E24" s="108">
        <f>SUMIF('Monthly CF'!$C$5:$DR$5,E$3,'Monthly CF'!$C$36:$DR$36)</f>
        <v>0</v>
      </c>
      <c r="F24" s="108">
        <f>SUMIF('Monthly CF'!$C$5:$DR$5,F$3,'Monthly CF'!$C$36:$DR$36)</f>
        <v>0</v>
      </c>
      <c r="G24" s="108">
        <f>SUMIF('Monthly CF'!$C$5:$DR$5,G$3,'Monthly CF'!$C$36:$DR$36)</f>
        <v>0</v>
      </c>
      <c r="H24" s="108">
        <f>SUMIF('Monthly CF'!$C$5:$DR$5,H$3,'Monthly CF'!$C$36:$DR$36)</f>
        <v>0</v>
      </c>
      <c r="I24" s="108">
        <f>SUMIF('Monthly CF'!$C$5:$DR$5,I$3,'Monthly CF'!$C$36:$DR$36)</f>
        <v>0</v>
      </c>
      <c r="J24" s="108">
        <f>SUMIF('Monthly CF'!$C$5:$DR$5,J$3,'Monthly CF'!$C$36:$DR$36)</f>
        <v>0</v>
      </c>
      <c r="K24" s="108">
        <f>SUMIF('Monthly CF'!$C$5:$DR$5,K$3,'Monthly CF'!$C$36:$DR$36)</f>
        <v>0</v>
      </c>
      <c r="L24" s="108">
        <f>SUMIF('Monthly CF'!$C$5:$DR$5,L$3,'Monthly CF'!$C$36:$DR$36)</f>
        <v>0</v>
      </c>
    </row>
    <row r="25" ht="15.75" customHeight="1">
      <c r="A25" s="44"/>
      <c r="B25" s="110" t="s">
        <v>336</v>
      </c>
      <c r="C25" s="112">
        <f>SUMIF('Monthly CF'!$C$5:$DR$5,C$3,'Monthly CF'!$C$37:$DR$37)</f>
        <v>0</v>
      </c>
      <c r="D25" s="112">
        <f>SUMIF('Monthly CF'!$C$5:$DR$5,D$3,'Monthly CF'!$C$37:$DR$37)</f>
        <v>0</v>
      </c>
      <c r="E25" s="112">
        <f>SUMIF('Monthly CF'!$C$5:$DR$5,E$3,'Monthly CF'!$C$37:$DR$37)</f>
        <v>0</v>
      </c>
      <c r="F25" s="112">
        <f>SUMIF('Monthly CF'!$C$5:$DR$5,F$3,'Monthly CF'!$C$37:$DR$37)</f>
        <v>0</v>
      </c>
      <c r="G25" s="112">
        <f>SUMIF('Monthly CF'!$C$5:$DR$5,G$3,'Monthly CF'!$C$37:$DR$37)</f>
        <v>0</v>
      </c>
      <c r="H25" s="112">
        <f>SUMIF('Monthly CF'!$C$5:$DR$5,H$3,'Monthly CF'!$C$37:$DR$37)</f>
        <v>0</v>
      </c>
      <c r="I25" s="112">
        <f>SUMIF('Monthly CF'!$C$5:$DR$5,I$3,'Monthly CF'!$C$37:$DR$37)</f>
        <v>0</v>
      </c>
      <c r="J25" s="112">
        <f>SUMIF('Monthly CF'!$C$5:$DR$5,J$3,'Monthly CF'!$C$37:$DR$37)</f>
        <v>0</v>
      </c>
      <c r="K25" s="112">
        <f>SUMIF('Monthly CF'!$C$5:$DR$5,K$3,'Monthly CF'!$C$37:$DR$37)</f>
        <v>0</v>
      </c>
      <c r="L25" s="112">
        <f>SUMIF('Monthly CF'!$C$5:$DR$5,L$3,'Monthly CF'!$C$37:$DR$37)</f>
        <v>0</v>
      </c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</row>
    <row r="28" ht="15.75" customHeight="1">
      <c r="A28" s="44"/>
      <c r="B28" s="171" t="s">
        <v>337</v>
      </c>
      <c r="C28" s="211">
        <f>SUMIF('Monthly CF'!$C$5:$DR$5,C$3,'Monthly CF'!$C$39:$DR$39)</f>
        <v>-5000</v>
      </c>
      <c r="D28" s="211">
        <f>SUMIF('Monthly CF'!$C$5:$DR$5,D$3,'Monthly CF'!$C$39:$DR$39)</f>
        <v>0</v>
      </c>
      <c r="E28" s="211">
        <f>SUMIF('Monthly CF'!$C$5:$DR$5,E$3,'Monthly CF'!$C$39:$DR$39)</f>
        <v>0</v>
      </c>
      <c r="F28" s="211">
        <f>SUMIF('Monthly CF'!$C$5:$DR$5,F$3,'Monthly CF'!$C$39:$DR$39)</f>
        <v>0</v>
      </c>
      <c r="G28" s="211">
        <f>SUMIF('Monthly CF'!$C$5:$DR$5,G$3,'Monthly CF'!$C$39:$DR$39)</f>
        <v>0</v>
      </c>
      <c r="H28" s="211">
        <f>SUMIF('Monthly CF'!$C$5:$DR$5,H$3,'Monthly CF'!$C$39:$DR$39)</f>
        <v>0</v>
      </c>
      <c r="I28" s="211">
        <f>SUMIF('Monthly CF'!$C$5:$DR$5,I$3,'Monthly CF'!$C$39:$DR$39)</f>
        <v>0</v>
      </c>
      <c r="J28" s="211">
        <f>SUMIF('Monthly CF'!$C$5:$DR$5,J$3,'Monthly CF'!$C$39:$DR$39)</f>
        <v>0</v>
      </c>
      <c r="K28" s="211">
        <f>SUMIF('Monthly CF'!$C$5:$DR$5,K$3,'Monthly CF'!$C$39:$DR$39)</f>
        <v>0</v>
      </c>
      <c r="L28" s="211">
        <f>SUMIF('Monthly CF'!$C$5:$DR$5,L$3,'Monthly CF'!$C$39:$DR$39)</f>
        <v>0</v>
      </c>
    </row>
    <row r="29" ht="15.75" customHeight="1">
      <c r="A29" s="44"/>
      <c r="B29" s="44"/>
      <c r="C29" s="194"/>
      <c r="D29" s="194"/>
      <c r="E29" s="194"/>
      <c r="F29" s="194"/>
      <c r="G29" s="194"/>
      <c r="H29" s="194"/>
      <c r="I29" s="194"/>
      <c r="J29" s="194"/>
      <c r="K29" s="194"/>
      <c r="L29" s="194"/>
    </row>
    <row r="30" ht="15.75" customHeight="1">
      <c r="A30" s="44"/>
      <c r="B30" s="124" t="s">
        <v>338</v>
      </c>
      <c r="C30" s="212"/>
      <c r="D30" s="212"/>
      <c r="E30" s="212"/>
      <c r="F30" s="212"/>
      <c r="G30" s="212"/>
      <c r="H30" s="212"/>
      <c r="I30" s="212"/>
      <c r="J30" s="212"/>
      <c r="K30" s="212"/>
      <c r="L30" s="195"/>
    </row>
    <row r="31" ht="15.75" customHeight="1">
      <c r="A31" s="44"/>
      <c r="B31" s="96" t="s">
        <v>339</v>
      </c>
      <c r="C31" s="196" t="str">
        <f t="array" ref="C31">INDEX('Monthly CF'!$C$42:$DR$42,MATCH((C$3-1)*12+1,'Monthly CF'!$C$3:$DR$3,0))</f>
        <v>0</v>
      </c>
      <c r="D31" s="196">
        <f t="array" ref="D31">INDEX('Monthly CF'!$C$42:$DR$42,MATCH((D$3-1)*12+1,'Monthly CF'!$C$3:$DR$3,0))</f>
        <v>0</v>
      </c>
      <c r="E31" s="196">
        <f t="array" ref="E31">INDEX('Monthly CF'!$C$42:$DR$42,MATCH((E$3-1)*12+1,'Monthly CF'!$C$3:$DR$3,0))</f>
        <v>0</v>
      </c>
      <c r="F31" s="196">
        <f t="array" ref="F31">INDEX('Monthly CF'!$C$42:$DR$42,MATCH((F$3-1)*12+1,'Monthly CF'!$C$3:$DR$3,0))</f>
        <v>0</v>
      </c>
      <c r="G31" s="196">
        <f t="array" ref="G31">INDEX('Monthly CF'!$C$42:$DR$42,MATCH((G$3-1)*12+1,'Monthly CF'!$C$3:$DR$3,0))</f>
        <v>0</v>
      </c>
      <c r="H31" s="196">
        <f t="array" ref="H31">INDEX('Monthly CF'!$C$42:$DR$42,MATCH((H$3-1)*12+1,'Monthly CF'!$C$3:$DR$3,0))</f>
        <v>0</v>
      </c>
      <c r="I31" s="196">
        <f t="array" ref="I31">INDEX('Monthly CF'!$C$42:$DR$42,MATCH((I$3-1)*12+1,'Monthly CF'!$C$3:$DR$3,0))</f>
        <v>0</v>
      </c>
      <c r="J31" s="196">
        <f t="array" ref="J31">INDEX('Monthly CF'!$C$42:$DR$42,MATCH((J$3-1)*12+1,'Monthly CF'!$C$3:$DR$3,0))</f>
        <v>0</v>
      </c>
      <c r="K31" s="196">
        <f t="array" ref="K31">INDEX('Monthly CF'!$C$42:$DR$42,MATCH((K$3-1)*12+1,'Monthly CF'!$C$3:$DR$3,0))</f>
        <v>0</v>
      </c>
      <c r="L31" s="196">
        <f t="array" ref="L31">INDEX('Monthly CF'!$C$42:$DR$42,MATCH((L$3-1)*12+1,'Monthly CF'!$C$3:$DR$3,0))</f>
        <v>0</v>
      </c>
    </row>
    <row r="32" ht="15.75" customHeight="1">
      <c r="A32" s="44"/>
      <c r="B32" s="96" t="s">
        <v>340</v>
      </c>
      <c r="C32" s="196">
        <f>SUMIF('Monthly CF'!$C$5:$DR$5,C$3,'Monthly CF'!$C$43:$DR$43)</f>
        <v>0</v>
      </c>
      <c r="D32" s="196">
        <f>SUMIF('Monthly CF'!$C$5:$DR$5,D$3,'Monthly CF'!$C$43:$DR$43)</f>
        <v>0</v>
      </c>
      <c r="E32" s="196">
        <f>SUMIF('Monthly CF'!$C$5:$DR$5,E$3,'Monthly CF'!$C$43:$DR$43)</f>
        <v>0</v>
      </c>
      <c r="F32" s="196">
        <f>SUMIF('Monthly CF'!$C$5:$DR$5,F$3,'Monthly CF'!$C$43:$DR$43)</f>
        <v>0</v>
      </c>
      <c r="G32" s="196">
        <f>SUMIF('Monthly CF'!$C$5:$DR$5,G$3,'Monthly CF'!$C$43:$DR$43)</f>
        <v>0</v>
      </c>
      <c r="H32" s="196">
        <f>SUMIF('Monthly CF'!$C$5:$DR$5,H$3,'Monthly CF'!$C$43:$DR$43)</f>
        <v>0</v>
      </c>
      <c r="I32" s="196">
        <f>SUMIF('Monthly CF'!$C$5:$DR$5,I$3,'Monthly CF'!$C$43:$DR$43)</f>
        <v>0</v>
      </c>
      <c r="J32" s="196">
        <f>SUMIF('Monthly CF'!$C$5:$DR$5,J$3,'Monthly CF'!$C$43:$DR$43)</f>
        <v>0</v>
      </c>
      <c r="K32" s="196">
        <f>SUMIF('Monthly CF'!$C$5:$DR$5,K$3,'Monthly CF'!$C$43:$DR$43)</f>
        <v>0</v>
      </c>
      <c r="L32" s="196">
        <f>SUMIF('Monthly CF'!$C$5:$DR$5,L$3,'Monthly CF'!$C$43:$DR$43)</f>
        <v>0</v>
      </c>
    </row>
    <row r="33" ht="15.75" customHeight="1">
      <c r="A33" s="44"/>
      <c r="B33" s="96" t="s">
        <v>341</v>
      </c>
      <c r="C33" s="196">
        <f>SUMIF('Monthly CF'!$C$5:$DR$5,C$3,'Monthly CF'!$C$44:$DR$44)</f>
        <v>0</v>
      </c>
      <c r="D33" s="196">
        <f>SUMIF('Monthly CF'!$C$5:$DR$5,D$3,'Monthly CF'!$C$44:$DR$44)</f>
        <v>0</v>
      </c>
      <c r="E33" s="196">
        <f>SUMIF('Monthly CF'!$C$5:$DR$5,E$3,'Monthly CF'!$C$44:$DR$44)</f>
        <v>0</v>
      </c>
      <c r="F33" s="196">
        <f>SUMIF('Monthly CF'!$C$5:$DR$5,F$3,'Monthly CF'!$C$44:$DR$44)</f>
        <v>0</v>
      </c>
      <c r="G33" s="196">
        <f>SUMIF('Monthly CF'!$C$5:$DR$5,G$3,'Monthly CF'!$C$44:$DR$44)</f>
        <v>0</v>
      </c>
      <c r="H33" s="196">
        <f>SUMIF('Monthly CF'!$C$5:$DR$5,H$3,'Monthly CF'!$C$44:$DR$44)</f>
        <v>0</v>
      </c>
      <c r="I33" s="196">
        <f>SUMIF('Monthly CF'!$C$5:$DR$5,I$3,'Monthly CF'!$C$44:$DR$44)</f>
        <v>0</v>
      </c>
      <c r="J33" s="196">
        <f>SUMIF('Monthly CF'!$C$5:$DR$5,J$3,'Monthly CF'!$C$44:$DR$44)</f>
        <v>0</v>
      </c>
      <c r="K33" s="196">
        <f>SUMIF('Monthly CF'!$C$5:$DR$5,K$3,'Monthly CF'!$C$44:$DR$44)</f>
        <v>0</v>
      </c>
      <c r="L33" s="196">
        <f>SUMIF('Monthly CF'!$C$5:$DR$5,L$3,'Monthly CF'!$C$44:$DR$44)</f>
        <v>0</v>
      </c>
    </row>
    <row r="34" ht="15.75" customHeight="1">
      <c r="A34" s="44"/>
      <c r="B34" s="96" t="s">
        <v>342</v>
      </c>
      <c r="C34" s="196">
        <f>SUMIF('Monthly CF'!$C$5:$DR$5,C$3,'Monthly CF'!$C$45:$DR$45)</f>
        <v>0</v>
      </c>
      <c r="D34" s="196">
        <f>SUMIF('Monthly CF'!$C$5:$DR$5,D$3,'Monthly CF'!$C$45:$DR$45)</f>
        <v>0</v>
      </c>
      <c r="E34" s="196">
        <f>SUMIF('Monthly CF'!$C$5:$DR$5,E$3,'Monthly CF'!$C$45:$DR$45)</f>
        <v>0</v>
      </c>
      <c r="F34" s="196">
        <f>SUMIF('Monthly CF'!$C$5:$DR$5,F$3,'Monthly CF'!$C$45:$DR$45)</f>
        <v>0</v>
      </c>
      <c r="G34" s="196">
        <f>SUMIF('Monthly CF'!$C$5:$DR$5,G$3,'Monthly CF'!$C$45:$DR$45)</f>
        <v>0</v>
      </c>
      <c r="H34" s="196">
        <f>SUMIF('Monthly CF'!$C$5:$DR$5,H$3,'Monthly CF'!$C$45:$DR$45)</f>
        <v>0</v>
      </c>
      <c r="I34" s="196">
        <f>SUMIF('Monthly CF'!$C$5:$DR$5,I$3,'Monthly CF'!$C$45:$DR$45)</f>
        <v>0</v>
      </c>
      <c r="J34" s="196">
        <f>SUMIF('Monthly CF'!$C$5:$DR$5,J$3,'Monthly CF'!$C$45:$DR$45)</f>
        <v>0</v>
      </c>
      <c r="K34" s="196">
        <f>SUMIF('Monthly CF'!$C$5:$DR$5,K$3,'Monthly CF'!$C$45:$DR$45)</f>
        <v>0</v>
      </c>
      <c r="L34" s="196">
        <f>SUMIF('Monthly CF'!$C$5:$DR$5,L$3,'Monthly CF'!$C$45:$DR$45)</f>
        <v>0</v>
      </c>
    </row>
    <row r="35" ht="15.75" customHeight="1">
      <c r="A35" s="44"/>
      <c r="B35" s="96" t="s">
        <v>343</v>
      </c>
      <c r="C35" s="196">
        <f>SUMIF('Monthly CF'!$C$5:$DR$5,C$3,'Monthly CF'!$C$46:$DR$46)</f>
        <v>0</v>
      </c>
      <c r="D35" s="196">
        <f>SUMIF('Monthly CF'!$C$5:$DR$5,D$3,'Monthly CF'!$C$46:$DR$46)</f>
        <v>0</v>
      </c>
      <c r="E35" s="196">
        <f>SUMIF('Monthly CF'!$C$5:$DR$5,E$3,'Monthly CF'!$C$46:$DR$46)</f>
        <v>0</v>
      </c>
      <c r="F35" s="196">
        <f>SUMIF('Monthly CF'!$C$5:$DR$5,F$3,'Monthly CF'!$C$46:$DR$46)</f>
        <v>0</v>
      </c>
      <c r="G35" s="196">
        <f>SUMIF('Monthly CF'!$C$5:$DR$5,G$3,'Monthly CF'!$C$46:$DR$46)</f>
        <v>0</v>
      </c>
      <c r="H35" s="196">
        <f>SUMIF('Monthly CF'!$C$5:$DR$5,H$3,'Monthly CF'!$C$46:$DR$46)</f>
        <v>0</v>
      </c>
      <c r="I35" s="196">
        <f>SUMIF('Monthly CF'!$C$5:$DR$5,I$3,'Monthly CF'!$C$46:$DR$46)</f>
        <v>0</v>
      </c>
      <c r="J35" s="196">
        <f>SUMIF('Monthly CF'!$C$5:$DR$5,J$3,'Monthly CF'!$C$46:$DR$46)</f>
        <v>0</v>
      </c>
      <c r="K35" s="196">
        <f>SUMIF('Monthly CF'!$C$5:$DR$5,K$3,'Monthly CF'!$C$46:$DR$46)</f>
        <v>0</v>
      </c>
      <c r="L35" s="196">
        <f>SUMIF('Monthly CF'!$C$5:$DR$5,L$3,'Monthly CF'!$C$46:$DR$46)</f>
        <v>0</v>
      </c>
    </row>
    <row r="36" ht="15.75" customHeight="1">
      <c r="A36" s="44"/>
      <c r="B36" s="121" t="s">
        <v>344</v>
      </c>
      <c r="C36" s="197">
        <f t="array" ref="C36">INDEX('Monthly CF'!$C$47:$DR$47,MATCH(C$3*12,'Monthly CF'!$C$3:$DR$3,0))</f>
        <v>0</v>
      </c>
      <c r="D36" s="197">
        <f t="array" ref="D36">INDEX('Monthly CF'!$C$47:$DR$47,MATCH(D$3*12,'Monthly CF'!$C$3:$DR$3,0))</f>
        <v>0</v>
      </c>
      <c r="E36" s="197">
        <f t="array" ref="E36">INDEX('Monthly CF'!$C$47:$DR$47,MATCH(E$3*12,'Monthly CF'!$C$3:$DR$3,0))</f>
        <v>0</v>
      </c>
      <c r="F36" s="197">
        <f t="array" ref="F36">INDEX('Monthly CF'!$C$47:$DR$47,MATCH(F$3*12,'Monthly CF'!$C$3:$DR$3,0))</f>
        <v>0</v>
      </c>
      <c r="G36" s="197">
        <f t="array" ref="G36">INDEX('Monthly CF'!$C$47:$DR$47,MATCH(G$3*12,'Monthly CF'!$C$3:$DR$3,0))</f>
        <v>0</v>
      </c>
      <c r="H36" s="197">
        <f t="array" ref="H36">INDEX('Monthly CF'!$C$47:$DR$47,MATCH(H$3*12,'Monthly CF'!$C$3:$DR$3,0))</f>
        <v>0</v>
      </c>
      <c r="I36" s="197">
        <f t="array" ref="I36">INDEX('Monthly CF'!$C$47:$DR$47,MATCH(I$3*12,'Monthly CF'!$C$3:$DR$3,0))</f>
        <v>0</v>
      </c>
      <c r="J36" s="197">
        <f t="array" ref="J36">INDEX('Monthly CF'!$C$47:$DR$47,MATCH(J$3*12,'Monthly CF'!$C$3:$DR$3,0))</f>
        <v>0</v>
      </c>
      <c r="K36" s="197">
        <f t="array" ref="K36">INDEX('Monthly CF'!$C$47:$DR$47,MATCH(K$3*12,'Monthly CF'!$C$3:$DR$3,0))</f>
        <v>0</v>
      </c>
      <c r="L36" s="197">
        <f t="array" ref="L36">INDEX('Monthly CF'!$C$47:$DR$47,MATCH(L$3*12,'Monthly CF'!$C$3:$DR$3,0))</f>
        <v>0</v>
      </c>
    </row>
    <row r="37" ht="15.75" customHeight="1">
      <c r="A37" s="44"/>
      <c r="B37" s="96" t="s">
        <v>345</v>
      </c>
      <c r="C37" s="198">
        <f>SUMIF('Monthly CF'!$C$5:$DR$5,C$3,'Monthly CF'!$C$48:$DR$48)</f>
        <v>0</v>
      </c>
      <c r="D37" s="198">
        <f>SUMIF('Monthly CF'!$C$5:$DR$5,D$3,'Monthly CF'!$C$48:$DR$48)</f>
        <v>0</v>
      </c>
      <c r="E37" s="198">
        <f>SUMIF('Monthly CF'!$C$5:$DR$5,E$3,'Monthly CF'!$C$48:$DR$48)</f>
        <v>0</v>
      </c>
      <c r="F37" s="198">
        <f>SUMIF('Monthly CF'!$C$5:$DR$5,F$3,'Monthly CF'!$C$48:$DR$48)</f>
        <v>0</v>
      </c>
      <c r="G37" s="198">
        <f>SUMIF('Monthly CF'!$C$5:$DR$5,G$3,'Monthly CF'!$C$48:$DR$48)</f>
        <v>0</v>
      </c>
      <c r="H37" s="198">
        <f>SUMIF('Monthly CF'!$C$5:$DR$5,H$3,'Monthly CF'!$C$48:$DR$48)</f>
        <v>0</v>
      </c>
      <c r="I37" s="198">
        <f>SUMIF('Monthly CF'!$C$5:$DR$5,I$3,'Monthly CF'!$C$48:$DR$48)</f>
        <v>0</v>
      </c>
      <c r="J37" s="198">
        <f>SUMIF('Monthly CF'!$C$5:$DR$5,J$3,'Monthly CF'!$C$48:$DR$48)</f>
        <v>0</v>
      </c>
      <c r="K37" s="198">
        <f>SUMIF('Monthly CF'!$C$5:$DR$5,K$3,'Monthly CF'!$C$48:$DR$48)</f>
        <v>0</v>
      </c>
      <c r="L37" s="198">
        <f>SUMIF('Monthly CF'!$C$5:$DR$5,L$3,'Monthly CF'!$C$48:$DR$48)</f>
        <v>0</v>
      </c>
    </row>
    <row r="38" ht="15.75" customHeight="1">
      <c r="A38" s="44"/>
      <c r="B38" s="44"/>
      <c r="C38" s="194"/>
      <c r="D38" s="194"/>
      <c r="E38" s="194"/>
      <c r="F38" s="194"/>
      <c r="G38" s="194"/>
      <c r="H38" s="194"/>
      <c r="I38" s="194"/>
      <c r="J38" s="194"/>
      <c r="K38" s="194"/>
      <c r="L38" s="194"/>
    </row>
    <row r="39" ht="15.75" customHeight="1">
      <c r="A39" s="44"/>
      <c r="B39" s="124" t="s">
        <v>346</v>
      </c>
      <c r="C39" s="212"/>
      <c r="D39" s="212"/>
      <c r="E39" s="212"/>
      <c r="F39" s="212"/>
      <c r="G39" s="212"/>
      <c r="H39" s="212"/>
      <c r="I39" s="212"/>
      <c r="J39" s="212"/>
      <c r="K39" s="212"/>
      <c r="L39" s="195"/>
    </row>
    <row r="40" ht="15.75" customHeight="1">
      <c r="A40" s="44"/>
      <c r="B40" s="96" t="s">
        <v>339</v>
      </c>
      <c r="C40" s="196" t="str">
        <f t="array" ref="C40">INDEX('Monthly CF'!$C$51:$DR$51,MATCH((C$3-1)*12+1,'Monthly CF'!$C$3:$DR$3,0))</f>
        <v>0</v>
      </c>
      <c r="D40" s="196">
        <f t="array" ref="D40">INDEX('Monthly CF'!$C$51:$DR$51,MATCH((D$3-1)*12+1,'Monthly CF'!$C$3:$DR$3,0))</f>
        <v>0</v>
      </c>
      <c r="E40" s="196">
        <f t="array" ref="E40">INDEX('Monthly CF'!$C$51:$DR$51,MATCH((E$3-1)*12+1,'Monthly CF'!$C$3:$DR$3,0))</f>
        <v>0</v>
      </c>
      <c r="F40" s="196">
        <f t="array" ref="F40">INDEX('Monthly CF'!$C$51:$DR$51,MATCH((F$3-1)*12+1,'Monthly CF'!$C$3:$DR$3,0))</f>
        <v>0</v>
      </c>
      <c r="G40" s="196">
        <f t="array" ref="G40">INDEX('Monthly CF'!$C$51:$DR$51,MATCH((G$3-1)*12+1,'Monthly CF'!$C$3:$DR$3,0))</f>
        <v>0</v>
      </c>
      <c r="H40" s="196">
        <f t="array" ref="H40">INDEX('Monthly CF'!$C$51:$DR$51,MATCH((H$3-1)*12+1,'Monthly CF'!$C$3:$DR$3,0))</f>
        <v>0</v>
      </c>
      <c r="I40" s="196">
        <f t="array" ref="I40">INDEX('Monthly CF'!$C$51:$DR$51,MATCH((I$3-1)*12+1,'Monthly CF'!$C$3:$DR$3,0))</f>
        <v>0</v>
      </c>
      <c r="J40" s="196">
        <f t="array" ref="J40">INDEX('Monthly CF'!$C$51:$DR$51,MATCH((J$3-1)*12+1,'Monthly CF'!$C$3:$DR$3,0))</f>
        <v>0</v>
      </c>
      <c r="K40" s="196">
        <f t="array" ref="K40">INDEX('Monthly CF'!$C$51:$DR$51,MATCH((K$3-1)*12+1,'Monthly CF'!$C$3:$DR$3,0))</f>
        <v>0</v>
      </c>
      <c r="L40" s="196">
        <f t="array" ref="L40">INDEX('Monthly CF'!$C$51:$DR$51,MATCH((L$3-1)*12+1,'Monthly CF'!$C$3:$DR$3,0))</f>
        <v>0</v>
      </c>
    </row>
    <row r="41" ht="15.75" customHeight="1">
      <c r="A41" s="44"/>
      <c r="B41" s="96" t="s">
        <v>340</v>
      </c>
      <c r="C41" s="196">
        <f>SUMIF('Monthly CF'!$C$5:$DR$5,C$3,'Monthly CF'!$C$52:$DR$52)</f>
        <v>0</v>
      </c>
      <c r="D41" s="196">
        <f>SUMIF('Monthly CF'!$C$5:$DR$5,D$3,'Monthly CF'!$C$52:$DR$52)</f>
        <v>0</v>
      </c>
      <c r="E41" s="196">
        <f>SUMIF('Monthly CF'!$C$5:$DR$5,E$3,'Monthly CF'!$C$52:$DR$52)</f>
        <v>0</v>
      </c>
      <c r="F41" s="196">
        <f>SUMIF('Monthly CF'!$C$5:$DR$5,F$3,'Monthly CF'!$C$52:$DR$52)</f>
        <v>0</v>
      </c>
      <c r="G41" s="196">
        <f>SUMIF('Monthly CF'!$C$5:$DR$5,G$3,'Monthly CF'!$C$52:$DR$52)</f>
        <v>0</v>
      </c>
      <c r="H41" s="196">
        <f>SUMIF('Monthly CF'!$C$5:$DR$5,H$3,'Monthly CF'!$C$52:$DR$52)</f>
        <v>0</v>
      </c>
      <c r="I41" s="196">
        <f>SUMIF('Monthly CF'!$C$5:$DR$5,I$3,'Monthly CF'!$C$52:$DR$52)</f>
        <v>0</v>
      </c>
      <c r="J41" s="196">
        <f>SUMIF('Monthly CF'!$C$5:$DR$5,J$3,'Monthly CF'!$C$52:$DR$52)</f>
        <v>0</v>
      </c>
      <c r="K41" s="196">
        <f>SUMIF('Monthly CF'!$C$5:$DR$5,K$3,'Monthly CF'!$C$52:$DR$52)</f>
        <v>0</v>
      </c>
      <c r="L41" s="196">
        <f>SUMIF('Monthly CF'!$C$5:$DR$5,L$3,'Monthly CF'!$C$52:$DR$52)</f>
        <v>0</v>
      </c>
    </row>
    <row r="42" ht="15.75" customHeight="1">
      <c r="A42" s="44"/>
      <c r="B42" s="96" t="s">
        <v>341</v>
      </c>
      <c r="C42" s="196">
        <f>SUMIF('Monthly CF'!$C$5:$DR$5,C$3,'Monthly CF'!$C$53:$DR$53)</f>
        <v>0</v>
      </c>
      <c r="D42" s="196">
        <f>SUMIF('Monthly CF'!$C$5:$DR$5,D$3,'Monthly CF'!$C$53:$DR$53)</f>
        <v>0</v>
      </c>
      <c r="E42" s="196">
        <f>SUMIF('Monthly CF'!$C$5:$DR$5,E$3,'Monthly CF'!$C$53:$DR$53)</f>
        <v>0</v>
      </c>
      <c r="F42" s="196">
        <f>SUMIF('Monthly CF'!$C$5:$DR$5,F$3,'Monthly CF'!$C$53:$DR$53)</f>
        <v>0</v>
      </c>
      <c r="G42" s="196">
        <f>SUMIF('Monthly CF'!$C$5:$DR$5,G$3,'Monthly CF'!$C$53:$DR$53)</f>
        <v>0</v>
      </c>
      <c r="H42" s="196">
        <f>SUMIF('Monthly CF'!$C$5:$DR$5,H$3,'Monthly CF'!$C$53:$DR$53)</f>
        <v>0</v>
      </c>
      <c r="I42" s="196">
        <f>SUMIF('Monthly CF'!$C$5:$DR$5,I$3,'Monthly CF'!$C$53:$DR$53)</f>
        <v>0</v>
      </c>
      <c r="J42" s="196">
        <f>SUMIF('Monthly CF'!$C$5:$DR$5,J$3,'Monthly CF'!$C$53:$DR$53)</f>
        <v>0</v>
      </c>
      <c r="K42" s="196">
        <f>SUMIF('Monthly CF'!$C$5:$DR$5,K$3,'Monthly CF'!$C$53:$DR$53)</f>
        <v>0</v>
      </c>
      <c r="L42" s="196">
        <f>SUMIF('Monthly CF'!$C$5:$DR$5,L$3,'Monthly CF'!$C$53:$DR$53)</f>
        <v>0</v>
      </c>
    </row>
    <row r="43" ht="15.75" customHeight="1">
      <c r="A43" s="44"/>
      <c r="B43" s="96" t="s">
        <v>342</v>
      </c>
      <c r="C43" s="196">
        <f>SUMIF('Monthly CF'!$C$5:$DR$5,C$3,'Monthly CF'!$C$54:$DR$54)</f>
        <v>0</v>
      </c>
      <c r="D43" s="196">
        <f>SUMIF('Monthly CF'!$C$5:$DR$5,D$3,'Monthly CF'!$C$54:$DR$54)</f>
        <v>0</v>
      </c>
      <c r="E43" s="196">
        <f>SUMIF('Monthly CF'!$C$5:$DR$5,E$3,'Monthly CF'!$C$54:$DR$54)</f>
        <v>0</v>
      </c>
      <c r="F43" s="196">
        <f>SUMIF('Monthly CF'!$C$5:$DR$5,F$3,'Monthly CF'!$C$54:$DR$54)</f>
        <v>0</v>
      </c>
      <c r="G43" s="196">
        <f>SUMIF('Monthly CF'!$C$5:$DR$5,G$3,'Monthly CF'!$C$54:$DR$54)</f>
        <v>0</v>
      </c>
      <c r="H43" s="196">
        <f>SUMIF('Monthly CF'!$C$5:$DR$5,H$3,'Monthly CF'!$C$54:$DR$54)</f>
        <v>0</v>
      </c>
      <c r="I43" s="196">
        <f>SUMIF('Monthly CF'!$C$5:$DR$5,I$3,'Monthly CF'!$C$54:$DR$54)</f>
        <v>0</v>
      </c>
      <c r="J43" s="196">
        <f>SUMIF('Monthly CF'!$C$5:$DR$5,J$3,'Monthly CF'!$C$54:$DR$54)</f>
        <v>0</v>
      </c>
      <c r="K43" s="196">
        <f>SUMIF('Monthly CF'!$C$5:$DR$5,K$3,'Monthly CF'!$C$54:$DR$54)</f>
        <v>0</v>
      </c>
      <c r="L43" s="196">
        <f>SUMIF('Monthly CF'!$C$5:$DR$5,L$3,'Monthly CF'!$C$54:$DR$54)</f>
        <v>0</v>
      </c>
    </row>
    <row r="44" ht="15.75" customHeight="1">
      <c r="A44" s="44"/>
      <c r="B44" s="96" t="s">
        <v>347</v>
      </c>
      <c r="C44" s="196">
        <f>SUMIF('Monthly CF'!$C$5:$DR$5,C$3,'Monthly CF'!$C$55:$DR$55)</f>
        <v>0</v>
      </c>
      <c r="D44" s="196">
        <f>SUMIF('Monthly CF'!$C$5:$DR$5,D$3,'Monthly CF'!$C$55:$DR$55)</f>
        <v>0</v>
      </c>
      <c r="E44" s="196">
        <f>SUMIF('Monthly CF'!$C$5:$DR$5,E$3,'Monthly CF'!$C$55:$DR$55)</f>
        <v>0</v>
      </c>
      <c r="F44" s="196">
        <f>SUMIF('Monthly CF'!$C$5:$DR$5,F$3,'Monthly CF'!$C$55:$DR$55)</f>
        <v>0</v>
      </c>
      <c r="G44" s="196">
        <f>SUMIF('Monthly CF'!$C$5:$DR$5,G$3,'Monthly CF'!$C$55:$DR$55)</f>
        <v>0</v>
      </c>
      <c r="H44" s="196">
        <f>SUMIF('Monthly CF'!$C$5:$DR$5,H$3,'Monthly CF'!$C$55:$DR$55)</f>
        <v>0</v>
      </c>
      <c r="I44" s="196">
        <f>SUMIF('Monthly CF'!$C$5:$DR$5,I$3,'Monthly CF'!$C$55:$DR$55)</f>
        <v>0</v>
      </c>
      <c r="J44" s="196">
        <f>SUMIF('Monthly CF'!$C$5:$DR$5,J$3,'Monthly CF'!$C$55:$DR$55)</f>
        <v>0</v>
      </c>
      <c r="K44" s="196">
        <f>SUMIF('Monthly CF'!$C$5:$DR$5,K$3,'Monthly CF'!$C$55:$DR$55)</f>
        <v>0</v>
      </c>
      <c r="L44" s="196">
        <f>SUMIF('Monthly CF'!$C$5:$DR$5,L$3,'Monthly CF'!$C$55:$DR$55)</f>
        <v>0</v>
      </c>
    </row>
    <row r="45" ht="15.75" customHeight="1">
      <c r="A45" s="44"/>
      <c r="B45" s="121" t="s">
        <v>344</v>
      </c>
      <c r="C45" s="197">
        <f t="array" ref="C45">INDEX('Monthly CF'!$C$56:$DR$56,MATCH(C$3*12,'Monthly CF'!$C$3:$DR$3,0))</f>
        <v>0</v>
      </c>
      <c r="D45" s="197">
        <f t="array" ref="D45">INDEX('Monthly CF'!$C$56:$DR$56,MATCH(D$3*12,'Monthly CF'!$C$3:$DR$3,0))</f>
        <v>0</v>
      </c>
      <c r="E45" s="197">
        <f t="array" ref="E45">INDEX('Monthly CF'!$C$56:$DR$56,MATCH(E$3*12,'Monthly CF'!$C$3:$DR$3,0))</f>
        <v>0</v>
      </c>
      <c r="F45" s="197">
        <f t="array" ref="F45">INDEX('Monthly CF'!$C$56:$DR$56,MATCH(F$3*12,'Monthly CF'!$C$3:$DR$3,0))</f>
        <v>0</v>
      </c>
      <c r="G45" s="197">
        <f t="array" ref="G45">INDEX('Monthly CF'!$C$56:$DR$56,MATCH(G$3*12,'Monthly CF'!$C$3:$DR$3,0))</f>
        <v>0</v>
      </c>
      <c r="H45" s="197">
        <f t="array" ref="H45">INDEX('Monthly CF'!$C$56:$DR$56,MATCH(H$3*12,'Monthly CF'!$C$3:$DR$3,0))</f>
        <v>0</v>
      </c>
      <c r="I45" s="197">
        <f t="array" ref="I45">INDEX('Monthly CF'!$C$56:$DR$56,MATCH(I$3*12,'Monthly CF'!$C$3:$DR$3,0))</f>
        <v>0</v>
      </c>
      <c r="J45" s="197">
        <f t="array" ref="J45">INDEX('Monthly CF'!$C$56:$DR$56,MATCH(J$3*12,'Monthly CF'!$C$3:$DR$3,0))</f>
        <v>0</v>
      </c>
      <c r="K45" s="197">
        <f t="array" ref="K45">INDEX('Monthly CF'!$C$56:$DR$56,MATCH(K$3*12,'Monthly CF'!$C$3:$DR$3,0))</f>
        <v>0</v>
      </c>
      <c r="L45" s="197">
        <f t="array" ref="L45">INDEX('Monthly CF'!$C$56:$DR$56,MATCH(L$3*12,'Monthly CF'!$C$3:$DR$3,0))</f>
        <v>0</v>
      </c>
    </row>
    <row r="46" ht="15.75" customHeight="1">
      <c r="A46" s="44"/>
      <c r="B46" s="96" t="s">
        <v>348</v>
      </c>
      <c r="C46" s="198">
        <f>SUMIF('Monthly CF'!$C$5:$DR$5,C$3,'Monthly CF'!$C$57:$DR$57)</f>
        <v>0</v>
      </c>
      <c r="D46" s="198">
        <f>SUMIF('Monthly CF'!$C$5:$DR$5,D$3,'Monthly CF'!$C$57:$DR$57)</f>
        <v>0</v>
      </c>
      <c r="E46" s="198">
        <f>SUMIF('Monthly CF'!$C$5:$DR$5,E$3,'Monthly CF'!$C$57:$DR$57)</f>
        <v>0</v>
      </c>
      <c r="F46" s="198">
        <f>SUMIF('Monthly CF'!$C$5:$DR$5,F$3,'Monthly CF'!$C$57:$DR$57)</f>
        <v>0</v>
      </c>
      <c r="G46" s="198">
        <f>SUMIF('Monthly CF'!$C$5:$DR$5,G$3,'Monthly CF'!$C$57:$DR$57)</f>
        <v>0</v>
      </c>
      <c r="H46" s="198">
        <f>SUMIF('Monthly CF'!$C$5:$DR$5,H$3,'Monthly CF'!$C$57:$DR$57)</f>
        <v>0</v>
      </c>
      <c r="I46" s="198">
        <f>SUMIF('Monthly CF'!$C$5:$DR$5,I$3,'Monthly CF'!$C$57:$DR$57)</f>
        <v>0</v>
      </c>
      <c r="J46" s="198">
        <f>SUMIF('Monthly CF'!$C$5:$DR$5,J$3,'Monthly CF'!$C$57:$DR$57)</f>
        <v>0</v>
      </c>
      <c r="K46" s="198">
        <f>SUMIF('Monthly CF'!$C$5:$DR$5,K$3,'Monthly CF'!$C$57:$DR$57)</f>
        <v>0</v>
      </c>
      <c r="L46" s="198">
        <f>SUMIF('Monthly CF'!$C$5:$DR$5,L$3,'Monthly CF'!$C$57:$DR$57)</f>
        <v>0</v>
      </c>
    </row>
    <row r="47" ht="15.75" customHeight="1">
      <c r="A47" s="44"/>
      <c r="B47" s="44"/>
      <c r="C47" s="194"/>
      <c r="D47" s="194"/>
      <c r="E47" s="194"/>
      <c r="F47" s="194"/>
      <c r="G47" s="194"/>
      <c r="H47" s="194"/>
      <c r="I47" s="194"/>
      <c r="J47" s="194"/>
      <c r="K47" s="194"/>
      <c r="L47" s="194"/>
    </row>
    <row r="48" ht="15.75" customHeight="1">
      <c r="A48" s="44"/>
      <c r="B48" s="124" t="s">
        <v>349</v>
      </c>
      <c r="C48" s="212"/>
      <c r="D48" s="212"/>
      <c r="E48" s="212"/>
      <c r="F48" s="212"/>
      <c r="G48" s="212"/>
      <c r="H48" s="212"/>
      <c r="I48" s="212"/>
      <c r="J48" s="212"/>
      <c r="K48" s="212"/>
      <c r="L48" s="195"/>
    </row>
    <row r="49" ht="15.75" customHeight="1">
      <c r="A49" s="44"/>
      <c r="B49" s="96" t="s">
        <v>339</v>
      </c>
      <c r="C49" s="196" t="str">
        <f t="array" ref="C49">INDEX('Monthly CF'!$C$60:$DR$60,MATCH((C$3-1)*12+1,'Monthly CF'!$C$3:$DR$3,0))</f>
        <v>0</v>
      </c>
      <c r="D49" s="196">
        <f t="array" ref="D49">INDEX('Monthly CF'!$C$60:$DR$60,MATCH((D$3-1)*12+1,'Monthly CF'!$C$3:$DR$3,0))</f>
        <v>0</v>
      </c>
      <c r="E49" s="196">
        <f t="array" ref="E49">INDEX('Monthly CF'!$C$60:$DR$60,MATCH((E$3-1)*12+1,'Monthly CF'!$C$3:$DR$3,0))</f>
        <v>0</v>
      </c>
      <c r="F49" s="196">
        <f t="array" ref="F49">INDEX('Monthly CF'!$C$60:$DR$60,MATCH((F$3-1)*12+1,'Monthly CF'!$C$3:$DR$3,0))</f>
        <v>0</v>
      </c>
      <c r="G49" s="196">
        <f t="array" ref="G49">INDEX('Monthly CF'!$C$60:$DR$60,MATCH((G$3-1)*12+1,'Monthly CF'!$C$3:$DR$3,0))</f>
        <v>0</v>
      </c>
      <c r="H49" s="196">
        <f t="array" ref="H49">INDEX('Monthly CF'!$C$60:$DR$60,MATCH((H$3-1)*12+1,'Monthly CF'!$C$3:$DR$3,0))</f>
        <v>0</v>
      </c>
      <c r="I49" s="196">
        <f t="array" ref="I49">INDEX('Monthly CF'!$C$60:$DR$60,MATCH((I$3-1)*12+1,'Monthly CF'!$C$3:$DR$3,0))</f>
        <v>0</v>
      </c>
      <c r="J49" s="196">
        <f t="array" ref="J49">INDEX('Monthly CF'!$C$60:$DR$60,MATCH((J$3-1)*12+1,'Monthly CF'!$C$3:$DR$3,0))</f>
        <v>0</v>
      </c>
      <c r="K49" s="196">
        <f t="array" ref="K49">INDEX('Monthly CF'!$C$60:$DR$60,MATCH((K$3-1)*12+1,'Monthly CF'!$C$3:$DR$3,0))</f>
        <v>0</v>
      </c>
      <c r="L49" s="196">
        <f t="array" ref="L49">INDEX('Monthly CF'!$C$60:$DR$60,MATCH((L$3-1)*12+1,'Monthly CF'!$C$3:$DR$3,0))</f>
        <v>0</v>
      </c>
    </row>
    <row r="50" ht="15.75" customHeight="1">
      <c r="A50" s="44"/>
      <c r="B50" s="96" t="s">
        <v>340</v>
      </c>
      <c r="C50" s="196">
        <f>SUMIF('Monthly CF'!$C$5:$DR$5,C$3,'Monthly CF'!$C$61:$DR$61)</f>
        <v>0</v>
      </c>
      <c r="D50" s="196">
        <f>SUMIF('Monthly CF'!$C$5:$DR$5,D$3,'Monthly CF'!$C$61:$DR$61)</f>
        <v>0</v>
      </c>
      <c r="E50" s="196">
        <f>SUMIF('Monthly CF'!$C$5:$DR$5,E$3,'Monthly CF'!$C$61:$DR$61)</f>
        <v>0</v>
      </c>
      <c r="F50" s="196">
        <f>SUMIF('Monthly CF'!$C$5:$DR$5,F$3,'Monthly CF'!$C$61:$DR$61)</f>
        <v>0</v>
      </c>
      <c r="G50" s="196">
        <f>SUMIF('Monthly CF'!$C$5:$DR$5,G$3,'Monthly CF'!$C$61:$DR$61)</f>
        <v>0</v>
      </c>
      <c r="H50" s="196">
        <f>SUMIF('Monthly CF'!$C$5:$DR$5,H$3,'Monthly CF'!$C$61:$DR$61)</f>
        <v>0</v>
      </c>
      <c r="I50" s="196">
        <f>SUMIF('Monthly CF'!$C$5:$DR$5,I$3,'Monthly CF'!$C$61:$DR$61)</f>
        <v>0</v>
      </c>
      <c r="J50" s="196">
        <f>SUMIF('Monthly CF'!$C$5:$DR$5,J$3,'Monthly CF'!$C$61:$DR$61)</f>
        <v>0</v>
      </c>
      <c r="K50" s="196">
        <f>SUMIF('Monthly CF'!$C$5:$DR$5,K$3,'Monthly CF'!$C$61:$DR$61)</f>
        <v>0</v>
      </c>
      <c r="L50" s="196">
        <f>SUMIF('Monthly CF'!$C$5:$DR$5,L$3,'Monthly CF'!$C$61:$DR$61)</f>
        <v>0</v>
      </c>
    </row>
    <row r="51" ht="15.75" customHeight="1">
      <c r="A51" s="44"/>
      <c r="B51" s="96" t="s">
        <v>341</v>
      </c>
      <c r="C51" s="196">
        <f>SUMIF('Monthly CF'!$C$5:$DR$5,C$3,'Monthly CF'!$C$62:$DR$62)</f>
        <v>0</v>
      </c>
      <c r="D51" s="196">
        <f>SUMIF('Monthly CF'!$C$5:$DR$5,D$3,'Monthly CF'!$C$62:$DR$62)</f>
        <v>0</v>
      </c>
      <c r="E51" s="196">
        <f>SUMIF('Monthly CF'!$C$5:$DR$5,E$3,'Monthly CF'!$C$62:$DR$62)</f>
        <v>0</v>
      </c>
      <c r="F51" s="196">
        <f>SUMIF('Monthly CF'!$C$5:$DR$5,F$3,'Monthly CF'!$C$62:$DR$62)</f>
        <v>0</v>
      </c>
      <c r="G51" s="196">
        <f>SUMIF('Monthly CF'!$C$5:$DR$5,G$3,'Monthly CF'!$C$62:$DR$62)</f>
        <v>0</v>
      </c>
      <c r="H51" s="196">
        <f>SUMIF('Monthly CF'!$C$5:$DR$5,H$3,'Monthly CF'!$C$62:$DR$62)</f>
        <v>0</v>
      </c>
      <c r="I51" s="196">
        <f>SUMIF('Monthly CF'!$C$5:$DR$5,I$3,'Monthly CF'!$C$62:$DR$62)</f>
        <v>0</v>
      </c>
      <c r="J51" s="196">
        <f>SUMIF('Monthly CF'!$C$5:$DR$5,J$3,'Monthly CF'!$C$62:$DR$62)</f>
        <v>0</v>
      </c>
      <c r="K51" s="196">
        <f>SUMIF('Monthly CF'!$C$5:$DR$5,K$3,'Monthly CF'!$C$62:$DR$62)</f>
        <v>0</v>
      </c>
      <c r="L51" s="196">
        <f>SUMIF('Monthly CF'!$C$5:$DR$5,L$3,'Monthly CF'!$C$62:$DR$62)</f>
        <v>0</v>
      </c>
    </row>
    <row r="52" ht="15.75" customHeight="1">
      <c r="A52" s="44"/>
      <c r="B52" s="96" t="s">
        <v>342</v>
      </c>
      <c r="C52" s="196">
        <f>SUMIF('Monthly CF'!$C$5:$DR$5,C$3,'Monthly CF'!$C$63:$DR$63)</f>
        <v>0</v>
      </c>
      <c r="D52" s="196">
        <f>SUMIF('Monthly CF'!$C$5:$DR$5,D$3,'Monthly CF'!$C$63:$DR$63)</f>
        <v>0</v>
      </c>
      <c r="E52" s="196">
        <f>SUMIF('Monthly CF'!$C$5:$DR$5,E$3,'Monthly CF'!$C$63:$DR$63)</f>
        <v>0</v>
      </c>
      <c r="F52" s="196">
        <f>SUMIF('Monthly CF'!$C$5:$DR$5,F$3,'Monthly CF'!$C$63:$DR$63)</f>
        <v>0</v>
      </c>
      <c r="G52" s="196">
        <f>SUMIF('Monthly CF'!$C$5:$DR$5,G$3,'Monthly CF'!$C$63:$DR$63)</f>
        <v>0</v>
      </c>
      <c r="H52" s="196">
        <f>SUMIF('Monthly CF'!$C$5:$DR$5,H$3,'Monthly CF'!$C$63:$DR$63)</f>
        <v>0</v>
      </c>
      <c r="I52" s="196">
        <f>SUMIF('Monthly CF'!$C$5:$DR$5,I$3,'Monthly CF'!$C$63:$DR$63)</f>
        <v>0</v>
      </c>
      <c r="J52" s="196">
        <f>SUMIF('Monthly CF'!$C$5:$DR$5,J$3,'Monthly CF'!$C$63:$DR$63)</f>
        <v>0</v>
      </c>
      <c r="K52" s="196">
        <f>SUMIF('Monthly CF'!$C$5:$DR$5,K$3,'Monthly CF'!$C$63:$DR$63)</f>
        <v>0</v>
      </c>
      <c r="L52" s="196">
        <f>SUMIF('Monthly CF'!$C$5:$DR$5,L$3,'Monthly CF'!$C$63:$DR$63)</f>
        <v>0</v>
      </c>
    </row>
    <row r="53" ht="15.75" customHeight="1">
      <c r="A53" s="44"/>
      <c r="B53" s="51" t="s">
        <v>343</v>
      </c>
      <c r="C53" s="213">
        <f>SUMIF('Monthly CF'!$C$5:$DR$5,C$3,'Monthly CF'!$C$64:$DR$64)</f>
        <v>0</v>
      </c>
      <c r="D53" s="213">
        <f>SUMIF('Monthly CF'!$C$5:$DR$5,D$3,'Monthly CF'!$C$64:$DR$64)</f>
        <v>0</v>
      </c>
      <c r="E53" s="213">
        <f>SUMIF('Monthly CF'!$C$5:$DR$5,E$3,'Monthly CF'!$C$64:$DR$64)</f>
        <v>0</v>
      </c>
      <c r="F53" s="213">
        <f>SUMIF('Monthly CF'!$C$5:$DR$5,F$3,'Monthly CF'!$C$64:$DR$64)</f>
        <v>0</v>
      </c>
      <c r="G53" s="213">
        <f>SUMIF('Monthly CF'!$C$5:$DR$5,G$3,'Monthly CF'!$C$64:$DR$64)</f>
        <v>0</v>
      </c>
      <c r="H53" s="213">
        <f>SUMIF('Monthly CF'!$C$5:$DR$5,H$3,'Monthly CF'!$C$64:$DR$64)</f>
        <v>0</v>
      </c>
      <c r="I53" s="213">
        <f>SUMIF('Monthly CF'!$C$5:$DR$5,I$3,'Monthly CF'!$C$64:$DR$64)</f>
        <v>0</v>
      </c>
      <c r="J53" s="213">
        <f>SUMIF('Monthly CF'!$C$5:$DR$5,J$3,'Monthly CF'!$C$64:$DR$64)</f>
        <v>0</v>
      </c>
      <c r="K53" s="213">
        <f>SUMIF('Monthly CF'!$C$5:$DR$5,K$3,'Monthly CF'!$C$64:$DR$64)</f>
        <v>0</v>
      </c>
      <c r="L53" s="213">
        <f>SUMIF('Monthly CF'!$C$5:$DR$5,L$3,'Monthly CF'!$C$64:$DR$64)</f>
        <v>0</v>
      </c>
    </row>
    <row r="54" ht="15.75" customHeight="1">
      <c r="A54" s="44"/>
      <c r="B54" s="101" t="s">
        <v>344</v>
      </c>
      <c r="C54" s="214">
        <f t="array" ref="C54">INDEX('Monthly CF'!$C$65:$DR$65,MATCH(C$3*12,'Monthly CF'!$C$3:$DR$3,0))</f>
        <v>0</v>
      </c>
      <c r="D54" s="214">
        <f t="array" ref="D54">INDEX('Monthly CF'!$C$65:$DR$65,MATCH(D$3*12,'Monthly CF'!$C$3:$DR$3,0))</f>
        <v>0</v>
      </c>
      <c r="E54" s="214">
        <f t="array" ref="E54">INDEX('Monthly CF'!$C$65:$DR$65,MATCH(E$3*12,'Monthly CF'!$C$3:$DR$3,0))</f>
        <v>0</v>
      </c>
      <c r="F54" s="214">
        <f t="array" ref="F54">INDEX('Monthly CF'!$C$65:$DR$65,MATCH(F$3*12,'Monthly CF'!$C$3:$DR$3,0))</f>
        <v>0</v>
      </c>
      <c r="G54" s="214">
        <f t="array" ref="G54">INDEX('Monthly CF'!$C$65:$DR$65,MATCH(G$3*12,'Monthly CF'!$C$3:$DR$3,0))</f>
        <v>0</v>
      </c>
      <c r="H54" s="214">
        <f t="array" ref="H54">INDEX('Monthly CF'!$C$65:$DR$65,MATCH(H$3*12,'Monthly CF'!$C$3:$DR$3,0))</f>
        <v>0</v>
      </c>
      <c r="I54" s="214">
        <f t="array" ref="I54">INDEX('Monthly CF'!$C$65:$DR$65,MATCH(I$3*12,'Monthly CF'!$C$3:$DR$3,0))</f>
        <v>0</v>
      </c>
      <c r="J54" s="214">
        <f t="array" ref="J54">INDEX('Monthly CF'!$C$65:$DR$65,MATCH(J$3*12,'Monthly CF'!$C$3:$DR$3,0))</f>
        <v>0</v>
      </c>
      <c r="K54" s="214">
        <f t="array" ref="K54">INDEX('Monthly CF'!$C$65:$DR$65,MATCH(K$3*12,'Monthly CF'!$C$3:$DR$3,0))</f>
        <v>0</v>
      </c>
      <c r="L54" s="214">
        <f t="array" ref="L54">INDEX('Monthly CF'!$C$65:$DR$65,MATCH(L$3*12,'Monthly CF'!$C$3:$DR$3,0))</f>
        <v>0</v>
      </c>
    </row>
    <row r="55" ht="15.75" customHeight="1">
      <c r="A55" s="44"/>
      <c r="B55" s="51" t="s">
        <v>350</v>
      </c>
      <c r="C55" s="215">
        <f>SUMIF('Monthly CF'!$C$5:$DR$5,C$3,'Monthly CF'!$C$66:$DR$66)</f>
        <v>0</v>
      </c>
      <c r="D55" s="215">
        <f>SUMIF('Monthly CF'!$C$5:$DR$5,D$3,'Monthly CF'!$C$66:$DR$66)</f>
        <v>0</v>
      </c>
      <c r="E55" s="215">
        <f>SUMIF('Monthly CF'!$C$5:$DR$5,E$3,'Monthly CF'!$C$66:$DR$66)</f>
        <v>0</v>
      </c>
      <c r="F55" s="215">
        <f>SUMIF('Monthly CF'!$C$5:$DR$5,F$3,'Monthly CF'!$C$66:$DR$66)</f>
        <v>0</v>
      </c>
      <c r="G55" s="215">
        <f>SUMIF('Monthly CF'!$C$5:$DR$5,G$3,'Monthly CF'!$C$66:$DR$66)</f>
        <v>0</v>
      </c>
      <c r="H55" s="215">
        <f>SUMIF('Monthly CF'!$C$5:$DR$5,H$3,'Monthly CF'!$C$66:$DR$66)</f>
        <v>0</v>
      </c>
      <c r="I55" s="215">
        <f>SUMIF('Monthly CF'!$C$5:$DR$5,I$3,'Monthly CF'!$C$66:$DR$66)</f>
        <v>0</v>
      </c>
      <c r="J55" s="215">
        <f>SUMIF('Monthly CF'!$C$5:$DR$5,J$3,'Monthly CF'!$C$66:$DR$66)</f>
        <v>0</v>
      </c>
      <c r="K55" s="215">
        <f>SUMIF('Monthly CF'!$C$5:$DR$5,K$3,'Monthly CF'!$C$66:$DR$66)</f>
        <v>0</v>
      </c>
      <c r="L55" s="215">
        <f>SUMIF('Monthly CF'!$C$5:$DR$5,L$3,'Monthly CF'!$C$66:$DR$66)</f>
        <v>0</v>
      </c>
    </row>
    <row r="56" ht="19.5" customHeight="1">
      <c r="A56" s="44"/>
      <c r="B56" s="46"/>
      <c r="C56" s="216"/>
      <c r="D56" s="216"/>
      <c r="E56" s="216"/>
      <c r="F56" s="216"/>
      <c r="G56" s="216"/>
      <c r="H56" s="216"/>
      <c r="I56" s="216"/>
      <c r="J56" s="216"/>
      <c r="K56" s="216"/>
      <c r="L56" s="216"/>
    </row>
    <row r="57" ht="19.5" customHeight="1">
      <c r="A57" s="44"/>
      <c r="B57" s="51" t="s">
        <v>156</v>
      </c>
      <c r="C57" s="213">
        <f>SUMIF('Monthly CF'!$C$5:$DR$5,C$3,'Monthly CF'!$C$68:$DR$68)</f>
        <v>-345000</v>
      </c>
      <c r="D57" s="213">
        <f>SUMIF('Monthly CF'!$C$5:$DR$5,D$3,'Monthly CF'!$C$68:$DR$68)</f>
        <v>0</v>
      </c>
      <c r="E57" s="213">
        <f>SUMIF('Monthly CF'!$C$5:$DR$5,E$3,'Monthly CF'!$C$68:$DR$68)</f>
        <v>0</v>
      </c>
      <c r="F57" s="213">
        <f>SUMIF('Monthly CF'!$C$5:$DR$5,F$3,'Monthly CF'!$C$68:$DR$68)</f>
        <v>0</v>
      </c>
      <c r="G57" s="213">
        <f>SUMIF('Monthly CF'!$C$5:$DR$5,G$3,'Monthly CF'!$C$68:$DR$68)</f>
        <v>0</v>
      </c>
      <c r="H57" s="213">
        <f>SUMIF('Monthly CF'!$C$5:$DR$5,H$3,'Monthly CF'!$C$68:$DR$68)</f>
        <v>0</v>
      </c>
      <c r="I57" s="213">
        <f>SUMIF('Monthly CF'!$C$5:$DR$5,I$3,'Monthly CF'!$C$68:$DR$68)</f>
        <v>0</v>
      </c>
      <c r="J57" s="213">
        <f>SUMIF('Monthly CF'!$C$5:$DR$5,J$3,'Monthly CF'!$C$68:$DR$68)</f>
        <v>0</v>
      </c>
      <c r="K57" s="213">
        <f>SUMIF('Monthly CF'!$C$5:$DR$5,K$3,'Monthly CF'!$C$68:$DR$68)</f>
        <v>0</v>
      </c>
      <c r="L57" s="213">
        <f>SUMIF('Monthly CF'!$C$5:$DR$5,L$3,'Monthly CF'!$C$68:$DR$68)</f>
        <v>0</v>
      </c>
    </row>
    <row r="58" ht="15.75" customHeight="1">
      <c r="A58" s="44"/>
      <c r="B58" s="51" t="s">
        <v>352</v>
      </c>
      <c r="C58" s="213">
        <f>SUMIF('Monthly CF'!$C$5:$DR$5,C$3,'Monthly CF'!$C$69:$DR$69)</f>
        <v>0</v>
      </c>
      <c r="D58" s="213">
        <f>SUMIF('Monthly CF'!$C$5:$DR$5,D$3,'Monthly CF'!$C$69:$DR$69)</f>
        <v>0</v>
      </c>
      <c r="E58" s="213">
        <f>SUMIF('Monthly CF'!$C$5:$DR$5,E$3,'Monthly CF'!$C$69:$DR$69)</f>
        <v>0</v>
      </c>
      <c r="F58" s="213">
        <f>SUMIF('Monthly CF'!$C$5:$DR$5,F$3,'Monthly CF'!$C$69:$DR$69)</f>
        <v>0</v>
      </c>
      <c r="G58" s="213">
        <f>SUMIF('Monthly CF'!$C$5:$DR$5,G$3,'Monthly CF'!$C$69:$DR$69)</f>
        <v>0</v>
      </c>
      <c r="H58" s="213">
        <f>SUMIF('Monthly CF'!$C$5:$DR$5,H$3,'Monthly CF'!$C$69:$DR$69)</f>
        <v>0</v>
      </c>
      <c r="I58" s="213">
        <f>SUMIF('Monthly CF'!$C$5:$DR$5,I$3,'Monthly CF'!$C$69:$DR$69)</f>
        <v>0</v>
      </c>
      <c r="J58" s="213">
        <f>SUMIF('Monthly CF'!$C$5:$DR$5,J$3,'Monthly CF'!$C$69:$DR$69)</f>
        <v>0</v>
      </c>
      <c r="K58" s="213">
        <f>SUMIF('Monthly CF'!$C$5:$DR$5,K$3,'Monthly CF'!$C$69:$DR$69)</f>
        <v>0</v>
      </c>
      <c r="L58" s="213">
        <f>SUMIF('Monthly CF'!$C$5:$DR$5,L$3,'Monthly CF'!$C$69:$DR$69)</f>
        <v>0</v>
      </c>
    </row>
    <row r="59" ht="15.75" customHeight="1">
      <c r="A59" s="44"/>
      <c r="B59" s="51" t="s">
        <v>353</v>
      </c>
      <c r="C59" s="213">
        <f>SUMIF('Monthly CF'!$C$5:$DR$5,C$3,'Monthly CF'!$C$70:$DR$70)</f>
        <v>0</v>
      </c>
      <c r="D59" s="213">
        <f>SUMIF('Monthly CF'!$C$5:$DR$5,D$3,'Monthly CF'!$C$70:$DR$70)</f>
        <v>0</v>
      </c>
      <c r="E59" s="213">
        <f>SUMIF('Monthly CF'!$C$5:$DR$5,E$3,'Monthly CF'!$C$70:$DR$70)</f>
        <v>0</v>
      </c>
      <c r="F59" s="213">
        <f>SUMIF('Monthly CF'!$C$5:$DR$5,F$3,'Monthly CF'!$C$70:$DR$70)</f>
        <v>0</v>
      </c>
      <c r="G59" s="213">
        <f>SUMIF('Monthly CF'!$C$5:$DR$5,G$3,'Monthly CF'!$C$70:$DR$70)</f>
        <v>0</v>
      </c>
      <c r="H59" s="213">
        <f>SUMIF('Monthly CF'!$C$5:$DR$5,H$3,'Monthly CF'!$C$70:$DR$70)</f>
        <v>0</v>
      </c>
      <c r="I59" s="213">
        <f>SUMIF('Monthly CF'!$C$5:$DR$5,I$3,'Monthly CF'!$C$70:$DR$70)</f>
        <v>0</v>
      </c>
      <c r="J59" s="213">
        <f>SUMIF('Monthly CF'!$C$5:$DR$5,J$3,'Monthly CF'!$C$70:$DR$70)</f>
        <v>0</v>
      </c>
      <c r="K59" s="213">
        <f>SUMIF('Monthly CF'!$C$5:$DR$5,K$3,'Monthly CF'!$C$70:$DR$70)</f>
        <v>0</v>
      </c>
      <c r="L59" s="213">
        <f>SUMIF('Monthly CF'!$C$5:$DR$5,L$3,'Monthly CF'!$C$70:$DR$70)</f>
        <v>0</v>
      </c>
    </row>
    <row r="60" ht="15.75" customHeight="1">
      <c r="A60" s="44"/>
      <c r="B60" s="158" t="s">
        <v>354</v>
      </c>
      <c r="C60" s="217">
        <f>SUMIF('Monthly CF'!$C$5:$DR$5,C$3,'Monthly CF'!$C$72:$DR$72)</f>
        <v>0</v>
      </c>
      <c r="D60" s="217">
        <f>SUMIF('Monthly CF'!$C$5:$DR$5,D$3,'Monthly CF'!$C$72:$DR$72)</f>
        <v>0</v>
      </c>
      <c r="E60" s="217">
        <f>SUMIF('Monthly CF'!$C$5:$DR$5,E$3,'Monthly CF'!$C$72:$DR$72)</f>
        <v>0</v>
      </c>
      <c r="F60" s="217">
        <f>SUMIF('Monthly CF'!$C$5:$DR$5,F$3,'Monthly CF'!$C$72:$DR$72)</f>
        <v>0</v>
      </c>
      <c r="G60" s="217">
        <f>SUMIF('Monthly CF'!$C$5:$DR$5,G$3,'Monthly CF'!$C$72:$DR$72)</f>
        <v>0</v>
      </c>
      <c r="H60" s="217">
        <f>SUMIF('Monthly CF'!$C$5:$DR$5,H$3,'Monthly CF'!$C$72:$DR$72)</f>
        <v>0</v>
      </c>
      <c r="I60" s="217">
        <f>SUMIF('Monthly CF'!$C$5:$DR$5,I$3,'Monthly CF'!$C$72:$DR$72)</f>
        <v>0</v>
      </c>
      <c r="J60" s="217">
        <f>SUMIF('Monthly CF'!$C$5:$DR$5,J$3,'Monthly CF'!$C$72:$DR$72)</f>
        <v>0</v>
      </c>
      <c r="K60" s="217">
        <f>SUMIF('Monthly CF'!$C$5:$DR$5,K$3,'Monthly CF'!$C$72:$DR$72)</f>
        <v>0</v>
      </c>
      <c r="L60" s="217">
        <f>SUMIF('Monthly CF'!$C$5:$DR$5,L$3,'Monthly CF'!$C$72:$DR$72)</f>
        <v>0</v>
      </c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</row>
    <row r="62" ht="15.75" customHeight="1">
      <c r="A62" s="44"/>
      <c r="B62" s="162" t="s">
        <v>355</v>
      </c>
      <c r="C62" s="163">
        <f>SUMIF('Monthly CF'!$C$5:$DR$5,C$3,'Monthly CF'!$C$74:$DR$74)</f>
        <v>-350000</v>
      </c>
      <c r="D62" s="163">
        <f>SUMIF('Monthly CF'!$C$5:$DR$5,D$3,'Monthly CF'!$C$74:$DR$74)</f>
        <v>0</v>
      </c>
      <c r="E62" s="163">
        <f>SUMIF('Monthly CF'!$C$5:$DR$5,E$3,'Monthly CF'!$C$74:$DR$74)</f>
        <v>0</v>
      </c>
      <c r="F62" s="163">
        <f>SUMIF('Monthly CF'!$C$5:$DR$5,F$3,'Monthly CF'!$C$74:$DR$74)</f>
        <v>0</v>
      </c>
      <c r="G62" s="163">
        <f>SUMIF('Monthly CF'!$C$5:$DR$5,G$3,'Monthly CF'!$C$74:$DR$74)</f>
        <v>0</v>
      </c>
      <c r="H62" s="163">
        <f>SUMIF('Monthly CF'!$C$5:$DR$5,H$3,'Monthly CF'!$C$74:$DR$74)</f>
        <v>0</v>
      </c>
      <c r="I62" s="163">
        <f>SUMIF('Monthly CF'!$C$5:$DR$5,I$3,'Monthly CF'!$C$74:$DR$74)</f>
        <v>0</v>
      </c>
      <c r="J62" s="163">
        <f>SUMIF('Monthly CF'!$C$5:$DR$5,J$3,'Monthly CF'!$C$74:$DR$74)</f>
        <v>0</v>
      </c>
      <c r="K62" s="163">
        <f>SUMIF('Monthly CF'!$C$5:$DR$5,K$3,'Monthly CF'!$C$74:$DR$74)</f>
        <v>0</v>
      </c>
      <c r="L62" s="163">
        <f>SUMIF('Monthly CF'!$C$5:$DR$5,L$3,'Monthly CF'!$C$74:$DR$74)</f>
        <v>0</v>
      </c>
    </row>
    <row r="63" ht="15.75" customHeight="1">
      <c r="A63" s="44"/>
      <c r="B63" s="218" t="s">
        <v>356</v>
      </c>
      <c r="C63" s="219">
        <f>C62</f>
        <v>-350000</v>
      </c>
      <c r="D63" s="219">
        <f t="shared" ref="D63:L63" si="1">C63+D62</f>
        <v>-350000</v>
      </c>
      <c r="E63" s="219">
        <f t="shared" si="1"/>
        <v>-350000</v>
      </c>
      <c r="F63" s="219">
        <f t="shared" si="1"/>
        <v>-350000</v>
      </c>
      <c r="G63" s="219">
        <f t="shared" si="1"/>
        <v>-350000</v>
      </c>
      <c r="H63" s="219">
        <f t="shared" si="1"/>
        <v>-350000</v>
      </c>
      <c r="I63" s="219">
        <f t="shared" si="1"/>
        <v>-350000</v>
      </c>
      <c r="J63" s="219">
        <f t="shared" si="1"/>
        <v>-350000</v>
      </c>
      <c r="K63" s="219">
        <f t="shared" si="1"/>
        <v>-350000</v>
      </c>
      <c r="L63" s="219">
        <f t="shared" si="1"/>
        <v>-350000</v>
      </c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  <row r="65" ht="15.75" customHeight="1">
      <c r="A65" s="44"/>
      <c r="B65" s="46" t="s">
        <v>374</v>
      </c>
      <c r="C65" s="152">
        <f>SUMIF('Monthly CF'!$C$5:$DR$5,C$3,'Monthly CF'!$C$78:$DR$78)</f>
        <v>0</v>
      </c>
      <c r="D65" s="152">
        <f>SUMIF('Monthly CF'!$C$5:$DR$5,D$3,'Monthly CF'!$C$78:$DR$78)</f>
        <v>0</v>
      </c>
      <c r="E65" s="152">
        <f>SUMIF('Monthly CF'!$C$5:$DR$5,E$3,'Monthly CF'!$C$78:$DR$78)</f>
        <v>0</v>
      </c>
      <c r="F65" s="152">
        <f>SUMIF('Monthly CF'!$C$5:$DR$5,F$3,'Monthly CF'!$C$78:$DR$78)</f>
        <v>0</v>
      </c>
      <c r="G65" s="152">
        <f>SUMIF('Monthly CF'!$C$5:$DR$5,G$3,'Monthly CF'!$C$78:$DR$78)</f>
        <v>0</v>
      </c>
      <c r="H65" s="152">
        <f>SUMIF('Monthly CF'!$C$5:$DR$5,H$3,'Monthly CF'!$C$78:$DR$78)</f>
        <v>0</v>
      </c>
      <c r="I65" s="152">
        <f>SUMIF('Monthly CF'!$C$5:$DR$5,I$3,'Monthly CF'!$C$78:$DR$78)</f>
        <v>0</v>
      </c>
      <c r="J65" s="152">
        <f>SUMIF('Monthly CF'!$C$5:$DR$5,J$3,'Monthly CF'!$C$78:$DR$78)</f>
        <v>0</v>
      </c>
      <c r="K65" s="152">
        <f>SUMIF('Monthly CF'!$C$5:$DR$5,K$3,'Monthly CF'!$C$78:$DR$78)</f>
        <v>0</v>
      </c>
      <c r="L65" s="152">
        <f>SUMIF('Monthly CF'!$C$5:$DR$5,L$3,'Monthly CF'!$C$78:$DR$78)</f>
        <v>0</v>
      </c>
    </row>
    <row r="66" ht="15.75" customHeight="1">
      <c r="A66" s="44"/>
      <c r="B66" s="101" t="s">
        <v>359</v>
      </c>
      <c r="C66" s="173">
        <f>SUMIF('Monthly CF'!$C$5:$DR$5,C$3,'Monthly CF'!$C$79:$DR$79)</f>
        <v>0</v>
      </c>
      <c r="D66" s="173">
        <f>SUMIF('Monthly CF'!$C$5:$DR$5,D$3,'Monthly CF'!$C$79:$DR$79)</f>
        <v>0</v>
      </c>
      <c r="E66" s="173">
        <f>SUMIF('Monthly CF'!$C$5:$DR$5,E$3,'Monthly CF'!$C$79:$DR$79)</f>
        <v>0</v>
      </c>
      <c r="F66" s="173">
        <f>SUMIF('Monthly CF'!$C$5:$DR$5,F$3,'Monthly CF'!$C$79:$DR$79)</f>
        <v>0</v>
      </c>
      <c r="G66" s="173">
        <f>SUMIF('Monthly CF'!$C$5:$DR$5,G$3,'Monthly CF'!$C$79:$DR$79)</f>
        <v>0</v>
      </c>
      <c r="H66" s="173">
        <f>SUMIF('Monthly CF'!$C$5:$DR$5,H$3,'Monthly CF'!$C$79:$DR$79)</f>
        <v>0</v>
      </c>
      <c r="I66" s="173">
        <f>SUMIF('Monthly CF'!$C$5:$DR$5,I$3,'Monthly CF'!$C$79:$DR$79)</f>
        <v>0</v>
      </c>
      <c r="J66" s="173">
        <f>SUMIF('Monthly CF'!$C$5:$DR$5,J$3,'Monthly CF'!$C$79:$DR$79)</f>
        <v>0</v>
      </c>
      <c r="K66" s="173">
        <f>SUMIF('Monthly CF'!$C$5:$DR$5,K$3,'Monthly CF'!$C$79:$DR$79)</f>
        <v>0</v>
      </c>
      <c r="L66" s="173">
        <f>SUMIF('Monthly CF'!$C$5:$DR$5,L$3,'Monthly CF'!$C$79:$DR$79)</f>
        <v>0</v>
      </c>
    </row>
    <row r="67" ht="15.75" customHeight="1">
      <c r="A67" s="44"/>
      <c r="B67" s="46" t="str">
        <f>"  Capital Partner ("&amp;TEXT(Inputs!C90,"0.0%")&amp;")"</f>
        <v>  Capital Partner (-24.6%)</v>
      </c>
      <c r="C67" s="152">
        <f>SUMIF('Monthly CF'!$C$5:$DR$5,C$3,'Monthly CF'!$C$80:$DR$80)</f>
        <v>0</v>
      </c>
      <c r="D67" s="152">
        <f>SUMIF('Monthly CF'!$C$5:$DR$5,D$3,'Monthly CF'!$C$80:$DR$80)</f>
        <v>0</v>
      </c>
      <c r="E67" s="152">
        <f>SUMIF('Monthly CF'!$C$5:$DR$5,E$3,'Monthly CF'!$C$80:$DR$80)</f>
        <v>0</v>
      </c>
      <c r="F67" s="152">
        <f>SUMIF('Monthly CF'!$C$5:$DR$5,F$3,'Monthly CF'!$C$80:$DR$80)</f>
        <v>0</v>
      </c>
      <c r="G67" s="152">
        <f>SUMIF('Monthly CF'!$C$5:$DR$5,G$3,'Monthly CF'!$C$80:$DR$80)</f>
        <v>0</v>
      </c>
      <c r="H67" s="152">
        <f>SUMIF('Monthly CF'!$C$5:$DR$5,H$3,'Monthly CF'!$C$80:$DR$80)</f>
        <v>0</v>
      </c>
      <c r="I67" s="152">
        <f>SUMIF('Monthly CF'!$C$5:$DR$5,I$3,'Monthly CF'!$C$80:$DR$80)</f>
        <v>0</v>
      </c>
      <c r="J67" s="152">
        <f>SUMIF('Monthly CF'!$C$5:$DR$5,J$3,'Monthly CF'!$C$80:$DR$80)</f>
        <v>0</v>
      </c>
      <c r="K67" s="152">
        <f>SUMIF('Monthly CF'!$C$5:$DR$5,K$3,'Monthly CF'!$C$80:$DR$80)</f>
        <v>0</v>
      </c>
      <c r="L67" s="152">
        <f>SUMIF('Monthly CF'!$C$5:$DR$5,L$3,'Monthly CF'!$C$80:$DR$80)</f>
        <v>0</v>
      </c>
    </row>
    <row r="68" ht="15.75" customHeight="1">
      <c r="A68" s="44"/>
      <c r="B68" s="220" t="s">
        <v>360</v>
      </c>
      <c r="C68" s="221">
        <f>SUMIF('Monthly CF'!$C$5:$DR$5,C$3,'Monthly CF'!$C$81:$DR$81)</f>
        <v>0</v>
      </c>
      <c r="D68" s="221">
        <f>SUMIF('Monthly CF'!$C$5:$DR$5,D$3,'Monthly CF'!$C$81:$DR$81)</f>
        <v>0</v>
      </c>
      <c r="E68" s="221">
        <f>SUMIF('Monthly CF'!$C$5:$DR$5,E$3,'Monthly CF'!$C$81:$DR$81)</f>
        <v>0</v>
      </c>
      <c r="F68" s="221">
        <f>SUMIF('Monthly CF'!$C$5:$DR$5,F$3,'Monthly CF'!$C$81:$DR$81)</f>
        <v>0</v>
      </c>
      <c r="G68" s="221">
        <f>SUMIF('Monthly CF'!$C$5:$DR$5,G$3,'Monthly CF'!$C$81:$DR$81)</f>
        <v>0</v>
      </c>
      <c r="H68" s="221">
        <f>SUMIF('Monthly CF'!$C$5:$DR$5,H$3,'Monthly CF'!$C$81:$DR$81)</f>
        <v>0</v>
      </c>
      <c r="I68" s="221">
        <f>SUMIF('Monthly CF'!$C$5:$DR$5,I$3,'Monthly CF'!$C$81:$DR$81)</f>
        <v>0</v>
      </c>
      <c r="J68" s="221">
        <f>SUMIF('Monthly CF'!$C$5:$DR$5,J$3,'Monthly CF'!$C$81:$DR$81)</f>
        <v>0</v>
      </c>
      <c r="K68" s="221">
        <f>SUMIF('Monthly CF'!$C$5:$DR$5,K$3,'Monthly CF'!$C$81:$DR$81)</f>
        <v>0</v>
      </c>
      <c r="L68" s="221">
        <f>SUMIF('Monthly CF'!$C$5:$DR$5,L$3,'Monthly CF'!$C$81:$DR$81)</f>
        <v>0</v>
      </c>
    </row>
    <row r="69" ht="15.75" customHeight="1">
      <c r="A69" s="44"/>
      <c r="B69" s="46" t="str">
        <f>"  Manager ("&amp;TEXT(Inputs!C91,"0.0%")&amp;")"</f>
        <v>  Manager (124.6%)</v>
      </c>
      <c r="C69" s="152">
        <f>SUMIF('Monthly CF'!$C$5:$DR$5,C$3,'Monthly CF'!$C$82:$DR$82)</f>
        <v>0</v>
      </c>
      <c r="D69" s="152">
        <f>SUMIF('Monthly CF'!$C$5:$DR$5,D$3,'Monthly CF'!$C$82:$DR$82)</f>
        <v>0</v>
      </c>
      <c r="E69" s="152">
        <f>SUMIF('Monthly CF'!$C$5:$DR$5,E$3,'Monthly CF'!$C$82:$DR$82)</f>
        <v>0</v>
      </c>
      <c r="F69" s="152">
        <f>SUMIF('Monthly CF'!$C$5:$DR$5,F$3,'Monthly CF'!$C$82:$DR$82)</f>
        <v>0</v>
      </c>
      <c r="G69" s="152">
        <f>SUMIF('Monthly CF'!$C$5:$DR$5,G$3,'Monthly CF'!$C$82:$DR$82)</f>
        <v>0</v>
      </c>
      <c r="H69" s="152">
        <f>SUMIF('Monthly CF'!$C$5:$DR$5,H$3,'Monthly CF'!$C$82:$DR$82)</f>
        <v>0</v>
      </c>
      <c r="I69" s="152">
        <f>SUMIF('Monthly CF'!$C$5:$DR$5,I$3,'Monthly CF'!$C$82:$DR$82)</f>
        <v>0</v>
      </c>
      <c r="J69" s="152">
        <f>SUMIF('Monthly CF'!$C$5:$DR$5,J$3,'Monthly CF'!$C$82:$DR$82)</f>
        <v>0</v>
      </c>
      <c r="K69" s="152">
        <f>SUMIF('Monthly CF'!$C$5:$DR$5,K$3,'Monthly CF'!$C$82:$DR$82)</f>
        <v>0</v>
      </c>
      <c r="L69" s="152">
        <f>SUMIF('Monthly CF'!$C$5:$DR$5,L$3,'Monthly CF'!$C$82:$DR$82)</f>
        <v>0</v>
      </c>
    </row>
    <row r="70" ht="15.75" customHeight="1">
      <c r="A70" s="44"/>
      <c r="B70" s="158" t="s">
        <v>361</v>
      </c>
      <c r="C70" s="160">
        <f>SUMIF('Monthly CF'!$C$5:$DR$5,C$3,'Monthly CF'!$C$83:$DR$83)</f>
        <v>0</v>
      </c>
      <c r="D70" s="160">
        <f>SUMIF('Monthly CF'!$C$5:$DR$5,D$3,'Monthly CF'!$C$83:$DR$83)</f>
        <v>0</v>
      </c>
      <c r="E70" s="160">
        <f>SUMIF('Monthly CF'!$C$5:$DR$5,E$3,'Monthly CF'!$C$83:$DR$83)</f>
        <v>0</v>
      </c>
      <c r="F70" s="160">
        <f>SUMIF('Monthly CF'!$C$5:$DR$5,F$3,'Monthly CF'!$C$83:$DR$83)</f>
        <v>0</v>
      </c>
      <c r="G70" s="160">
        <f>SUMIF('Monthly CF'!$C$5:$DR$5,G$3,'Monthly CF'!$C$83:$DR$83)</f>
        <v>0</v>
      </c>
      <c r="H70" s="160">
        <f>SUMIF('Monthly CF'!$C$5:$DR$5,H$3,'Monthly CF'!$C$83:$DR$83)</f>
        <v>0</v>
      </c>
      <c r="I70" s="160">
        <f>SUMIF('Monthly CF'!$C$5:$DR$5,I$3,'Monthly CF'!$C$83:$DR$83)</f>
        <v>0</v>
      </c>
      <c r="J70" s="160">
        <f>SUMIF('Monthly CF'!$C$5:$DR$5,J$3,'Monthly CF'!$C$83:$DR$83)</f>
        <v>0</v>
      </c>
      <c r="K70" s="160">
        <f>SUMIF('Monthly CF'!$C$5:$DR$5,K$3,'Monthly CF'!$C$83:$DR$83)</f>
        <v>0</v>
      </c>
      <c r="L70" s="160">
        <f>SUMIF('Monthly CF'!$C$5:$DR$5,L$3,'Monthly CF'!$C$83:$DR$83)</f>
        <v>0</v>
      </c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ht="15.75" customHeight="1">
      <c r="A72" s="44"/>
      <c r="B72" s="46" t="s">
        <v>371</v>
      </c>
      <c r="C72" s="222" t="str">
        <f t="shared" ref="C72:L72" si="2">IF(ABS(C60)=0,"-",C17/ABS(C60))</f>
        <v>-</v>
      </c>
      <c r="D72" s="222" t="str">
        <f t="shared" si="2"/>
        <v>-</v>
      </c>
      <c r="E72" s="222" t="str">
        <f t="shared" si="2"/>
        <v>-</v>
      </c>
      <c r="F72" s="222" t="str">
        <f t="shared" si="2"/>
        <v>-</v>
      </c>
      <c r="G72" s="222" t="str">
        <f t="shared" si="2"/>
        <v>-</v>
      </c>
      <c r="H72" s="222" t="str">
        <f t="shared" si="2"/>
        <v>-</v>
      </c>
      <c r="I72" s="222" t="str">
        <f t="shared" si="2"/>
        <v>-</v>
      </c>
      <c r="J72" s="222" t="str">
        <f t="shared" si="2"/>
        <v>-</v>
      </c>
      <c r="K72" s="222" t="str">
        <f t="shared" si="2"/>
        <v>-</v>
      </c>
      <c r="L72" s="222" t="str">
        <f t="shared" si="2"/>
        <v>-</v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4">
    <mergeCell ref="A1:L1"/>
    <mergeCell ref="A2:L2"/>
    <mergeCell ref="B4:L4"/>
    <mergeCell ref="B12:L1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.57"/>
    <col customWidth="1" min="2" max="2" width="42.86"/>
    <col customWidth="1" min="3" max="3" width="17.14"/>
    <col customWidth="1" min="4" max="13" width="16.14"/>
    <col customWidth="1" min="14" max="14" width="17.14"/>
  </cols>
  <sheetData>
    <row r="1">
      <c r="A1" s="223" t="s">
        <v>375</v>
      </c>
    </row>
    <row r="2">
      <c r="A2" s="224" t="s">
        <v>376</v>
      </c>
    </row>
    <row r="3">
      <c r="A3" s="44"/>
      <c r="B3" s="225"/>
      <c r="C3" s="225" t="s">
        <v>377</v>
      </c>
      <c r="D3" s="225" t="s">
        <v>42</v>
      </c>
      <c r="E3" s="225" t="s">
        <v>43</v>
      </c>
      <c r="F3" s="225" t="s">
        <v>44</v>
      </c>
      <c r="G3" s="225" t="s">
        <v>45</v>
      </c>
      <c r="H3" s="225" t="s">
        <v>46</v>
      </c>
      <c r="I3" s="225" t="s">
        <v>47</v>
      </c>
      <c r="J3" s="225" t="s">
        <v>48</v>
      </c>
      <c r="K3" s="225" t="s">
        <v>49</v>
      </c>
      <c r="L3" s="225" t="s">
        <v>50</v>
      </c>
      <c r="M3" s="225" t="s">
        <v>51</v>
      </c>
      <c r="N3" s="225" t="s">
        <v>378</v>
      </c>
    </row>
    <row r="4">
      <c r="A4" s="44"/>
      <c r="B4" s="4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</row>
    <row r="5">
      <c r="A5" s="44"/>
      <c r="B5" s="182" t="s">
        <v>379</v>
      </c>
      <c r="C5" s="226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</row>
    <row r="6">
      <c r="A6" s="44"/>
      <c r="B6" s="229" t="s">
        <v>380</v>
      </c>
      <c r="C6" s="230">
        <f>-Inputs!C87</f>
        <v>345000</v>
      </c>
      <c r="D6" s="231">
        <v>0.0</v>
      </c>
      <c r="E6" s="231">
        <v>0.0</v>
      </c>
      <c r="F6" s="231">
        <v>0.0</v>
      </c>
      <c r="G6" s="231">
        <v>0.0</v>
      </c>
      <c r="H6" s="231">
        <v>0.0</v>
      </c>
      <c r="I6" s="231">
        <v>0.0</v>
      </c>
      <c r="J6" s="231">
        <v>0.0</v>
      </c>
      <c r="K6" s="231">
        <v>0.0</v>
      </c>
      <c r="L6" s="231">
        <v>0.0</v>
      </c>
      <c r="M6" s="231">
        <v>0.0</v>
      </c>
      <c r="N6" s="231">
        <f t="shared" ref="N6:N9" si="1">SUM(C6:M6)</f>
        <v>345000</v>
      </c>
    </row>
    <row r="7">
      <c r="A7" s="44"/>
      <c r="B7" s="229" t="s">
        <v>381</v>
      </c>
      <c r="C7" s="232">
        <v>0.0</v>
      </c>
      <c r="D7" s="233">
        <f>'Annual CF'!C62</f>
        <v>-350000</v>
      </c>
      <c r="E7" s="233">
        <f>'Annual CF'!D62</f>
        <v>0</v>
      </c>
      <c r="F7" s="233">
        <f>'Annual CF'!E62</f>
        <v>0</v>
      </c>
      <c r="G7" s="233">
        <f>'Annual CF'!F62</f>
        <v>0</v>
      </c>
      <c r="H7" s="233">
        <f>'Annual CF'!G62</f>
        <v>0</v>
      </c>
      <c r="I7" s="233">
        <f>'Annual CF'!H62</f>
        <v>0</v>
      </c>
      <c r="J7" s="233">
        <f>'Annual CF'!I62</f>
        <v>0</v>
      </c>
      <c r="K7" s="233">
        <f>'Annual CF'!J62</f>
        <v>0</v>
      </c>
      <c r="L7" s="233">
        <f>'Annual CF'!K62</f>
        <v>0</v>
      </c>
      <c r="M7" s="233">
        <f>'Annual CF'!L62</f>
        <v>0</v>
      </c>
      <c r="N7" s="233">
        <f t="shared" si="1"/>
        <v>-350000</v>
      </c>
    </row>
    <row r="8">
      <c r="A8" s="44"/>
      <c r="B8" s="229" t="s">
        <v>382</v>
      </c>
      <c r="C8" s="232">
        <v>0.0</v>
      </c>
      <c r="D8" s="233">
        <v>0.0</v>
      </c>
      <c r="E8" s="233">
        <v>0.0</v>
      </c>
      <c r="F8" s="233">
        <v>0.0</v>
      </c>
      <c r="G8" s="233">
        <v>0.0</v>
      </c>
      <c r="H8" s="233">
        <v>0.0</v>
      </c>
      <c r="I8" s="233">
        <v>0.0</v>
      </c>
      <c r="J8" s="233">
        <v>0.0</v>
      </c>
      <c r="K8" s="233">
        <v>0.0</v>
      </c>
      <c r="L8" s="233">
        <v>0.0</v>
      </c>
      <c r="M8" s="233">
        <v>0.0</v>
      </c>
      <c r="N8" s="233">
        <f t="shared" si="1"/>
        <v>0</v>
      </c>
    </row>
    <row r="9">
      <c r="A9" s="44"/>
      <c r="B9" s="234" t="s">
        <v>383</v>
      </c>
      <c r="C9" s="235">
        <f t="shared" ref="C9:M9" si="2">C6+C7+C8</f>
        <v>345000</v>
      </c>
      <c r="D9" s="236">
        <f t="shared" si="2"/>
        <v>-350000</v>
      </c>
      <c r="E9" s="236">
        <f t="shared" si="2"/>
        <v>0</v>
      </c>
      <c r="F9" s="236">
        <f t="shared" si="2"/>
        <v>0</v>
      </c>
      <c r="G9" s="236">
        <f t="shared" si="2"/>
        <v>0</v>
      </c>
      <c r="H9" s="236">
        <f t="shared" si="2"/>
        <v>0</v>
      </c>
      <c r="I9" s="236">
        <f t="shared" si="2"/>
        <v>0</v>
      </c>
      <c r="J9" s="236">
        <f t="shared" si="2"/>
        <v>0</v>
      </c>
      <c r="K9" s="236">
        <f t="shared" si="2"/>
        <v>0</v>
      </c>
      <c r="L9" s="236">
        <f t="shared" si="2"/>
        <v>0</v>
      </c>
      <c r="M9" s="236">
        <f t="shared" si="2"/>
        <v>0</v>
      </c>
      <c r="N9" s="236">
        <f t="shared" si="1"/>
        <v>-5000</v>
      </c>
    </row>
    <row r="10">
      <c r="A10" s="44"/>
      <c r="B10" s="4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</row>
    <row r="11">
      <c r="A11" s="44"/>
      <c r="B11" s="182" t="s">
        <v>384</v>
      </c>
      <c r="C11" s="226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8"/>
    </row>
    <row r="12">
      <c r="A12" s="44"/>
      <c r="B12" s="229" t="s">
        <v>385</v>
      </c>
      <c r="C12" s="230">
        <f>-Inputs!C88</f>
        <v>-85000</v>
      </c>
      <c r="D12" s="231">
        <v>0.0</v>
      </c>
      <c r="E12" s="231">
        <v>0.0</v>
      </c>
      <c r="F12" s="231">
        <v>0.0</v>
      </c>
      <c r="G12" s="231">
        <v>0.0</v>
      </c>
      <c r="H12" s="231">
        <v>0.0</v>
      </c>
      <c r="I12" s="231">
        <v>0.0</v>
      </c>
      <c r="J12" s="231">
        <v>0.0</v>
      </c>
      <c r="K12" s="231">
        <v>0.0</v>
      </c>
      <c r="L12" s="231">
        <v>0.0</v>
      </c>
      <c r="M12" s="231">
        <v>0.0</v>
      </c>
      <c r="N12" s="231">
        <f t="shared" ref="N12:N14" si="3">SUM(C12:M12)</f>
        <v>-85000</v>
      </c>
    </row>
    <row r="13">
      <c r="A13" s="44"/>
      <c r="B13" s="229" t="s">
        <v>386</v>
      </c>
      <c r="C13" s="232">
        <f>-Inputs!C89</f>
        <v>430000</v>
      </c>
      <c r="D13" s="233">
        <v>0.0</v>
      </c>
      <c r="E13" s="233">
        <v>0.0</v>
      </c>
      <c r="F13" s="233">
        <v>0.0</v>
      </c>
      <c r="G13" s="233">
        <v>0.0</v>
      </c>
      <c r="H13" s="233">
        <v>0.0</v>
      </c>
      <c r="I13" s="233">
        <v>0.0</v>
      </c>
      <c r="J13" s="233">
        <v>0.0</v>
      </c>
      <c r="K13" s="233">
        <v>0.0</v>
      </c>
      <c r="L13" s="233">
        <v>0.0</v>
      </c>
      <c r="M13" s="233">
        <v>0.0</v>
      </c>
      <c r="N13" s="233">
        <f t="shared" si="3"/>
        <v>430000</v>
      </c>
    </row>
    <row r="14">
      <c r="A14" s="44"/>
      <c r="B14" s="234" t="s">
        <v>387</v>
      </c>
      <c r="C14" s="235">
        <f t="shared" ref="C14:M14" si="4">C12+C13</f>
        <v>345000</v>
      </c>
      <c r="D14" s="236">
        <f t="shared" si="4"/>
        <v>0</v>
      </c>
      <c r="E14" s="236">
        <f t="shared" si="4"/>
        <v>0</v>
      </c>
      <c r="F14" s="236">
        <f t="shared" si="4"/>
        <v>0</v>
      </c>
      <c r="G14" s="236">
        <f t="shared" si="4"/>
        <v>0</v>
      </c>
      <c r="H14" s="236">
        <f t="shared" si="4"/>
        <v>0</v>
      </c>
      <c r="I14" s="236">
        <f t="shared" si="4"/>
        <v>0</v>
      </c>
      <c r="J14" s="236">
        <f t="shared" si="4"/>
        <v>0</v>
      </c>
      <c r="K14" s="236">
        <f t="shared" si="4"/>
        <v>0</v>
      </c>
      <c r="L14" s="236">
        <f t="shared" si="4"/>
        <v>0</v>
      </c>
      <c r="M14" s="236">
        <f t="shared" si="4"/>
        <v>0</v>
      </c>
      <c r="N14" s="236">
        <f t="shared" si="3"/>
        <v>345000</v>
      </c>
    </row>
    <row r="15">
      <c r="A15" s="44"/>
      <c r="B15" s="229" t="s">
        <v>388</v>
      </c>
      <c r="C15" s="237">
        <f>Inputs!C90</f>
        <v>-0.2463768116</v>
      </c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9"/>
    </row>
    <row r="16">
      <c r="A16" s="44"/>
      <c r="B16" s="229" t="s">
        <v>389</v>
      </c>
      <c r="C16" s="237">
        <f>Inputs!C91</f>
        <v>1.246376812</v>
      </c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9"/>
    </row>
    <row r="17">
      <c r="A17" s="44"/>
      <c r="B17" s="4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</row>
    <row r="18">
      <c r="A18" s="44"/>
      <c r="B18" s="182" t="s">
        <v>390</v>
      </c>
      <c r="C18" s="226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8"/>
    </row>
    <row r="19">
      <c r="A19" s="44"/>
      <c r="B19" s="240" t="s">
        <v>391</v>
      </c>
      <c r="C19" s="241">
        <f t="shared" ref="C19:M19" si="5">MAX(C9,0)</f>
        <v>345000</v>
      </c>
      <c r="D19" s="242">
        <f t="shared" si="5"/>
        <v>0</v>
      </c>
      <c r="E19" s="242">
        <f t="shared" si="5"/>
        <v>0</v>
      </c>
      <c r="F19" s="242">
        <f t="shared" si="5"/>
        <v>0</v>
      </c>
      <c r="G19" s="242">
        <f t="shared" si="5"/>
        <v>0</v>
      </c>
      <c r="H19" s="242">
        <f t="shared" si="5"/>
        <v>0</v>
      </c>
      <c r="I19" s="242">
        <f t="shared" si="5"/>
        <v>0</v>
      </c>
      <c r="J19" s="242">
        <f t="shared" si="5"/>
        <v>0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>SUM(C19:M19)</f>
        <v>345000</v>
      </c>
    </row>
    <row r="20">
      <c r="A20" s="44"/>
      <c r="B20" s="4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</row>
    <row r="21" ht="15.75" customHeight="1">
      <c r="A21" s="44"/>
      <c r="B21" s="240" t="str">
        <f>"Tier 1: Return of Capital ("&amp;TEXT(Inputs!$C$112,"0%")&amp;" to LP)"</f>
        <v>Tier 1: Return of Capital (100% to LP)</v>
      </c>
      <c r="C21" s="243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5"/>
    </row>
    <row r="22" ht="15.75" customHeight="1">
      <c r="A22" s="44"/>
      <c r="B22" s="229" t="s">
        <v>392</v>
      </c>
      <c r="C22" s="230">
        <f>-C12</f>
        <v>85000</v>
      </c>
      <c r="D22" s="231">
        <f t="shared" ref="D22:M22" si="6">C24</f>
        <v>85000</v>
      </c>
      <c r="E22" s="231">
        <f t="shared" si="6"/>
        <v>85000</v>
      </c>
      <c r="F22" s="231">
        <f t="shared" si="6"/>
        <v>85000</v>
      </c>
      <c r="G22" s="231">
        <f t="shared" si="6"/>
        <v>85000</v>
      </c>
      <c r="H22" s="231">
        <f t="shared" si="6"/>
        <v>85000</v>
      </c>
      <c r="I22" s="231">
        <f t="shared" si="6"/>
        <v>85000</v>
      </c>
      <c r="J22" s="231">
        <f t="shared" si="6"/>
        <v>85000</v>
      </c>
      <c r="K22" s="231">
        <f t="shared" si="6"/>
        <v>85000</v>
      </c>
      <c r="L22" s="231">
        <f t="shared" si="6"/>
        <v>85000</v>
      </c>
      <c r="M22" s="231">
        <f t="shared" si="6"/>
        <v>85000</v>
      </c>
      <c r="N22" s="231"/>
    </row>
    <row r="23" ht="15.75" customHeight="1">
      <c r="A23" s="44"/>
      <c r="B23" s="229" t="s">
        <v>393</v>
      </c>
      <c r="C23" s="232">
        <v>0.0</v>
      </c>
      <c r="D23" s="233">
        <f t="shared" ref="D23:M23" si="7">MIN(D19,D22)</f>
        <v>0</v>
      </c>
      <c r="E23" s="233">
        <f t="shared" si="7"/>
        <v>0</v>
      </c>
      <c r="F23" s="233">
        <f t="shared" si="7"/>
        <v>0</v>
      </c>
      <c r="G23" s="233">
        <f t="shared" si="7"/>
        <v>0</v>
      </c>
      <c r="H23" s="233">
        <f t="shared" si="7"/>
        <v>0</v>
      </c>
      <c r="I23" s="233">
        <f t="shared" si="7"/>
        <v>0</v>
      </c>
      <c r="J23" s="233">
        <f t="shared" si="7"/>
        <v>0</v>
      </c>
      <c r="K23" s="233">
        <f t="shared" si="7"/>
        <v>0</v>
      </c>
      <c r="L23" s="233">
        <f t="shared" si="7"/>
        <v>0</v>
      </c>
      <c r="M23" s="233">
        <f t="shared" si="7"/>
        <v>0</v>
      </c>
      <c r="N23" s="233">
        <f>SUM(C23:M23)</f>
        <v>0</v>
      </c>
    </row>
    <row r="24" ht="15.75" customHeight="1">
      <c r="A24" s="44"/>
      <c r="B24" s="229" t="s">
        <v>394</v>
      </c>
      <c r="C24" s="232">
        <f t="shared" ref="C24:M24" si="8">C22-C23</f>
        <v>85000</v>
      </c>
      <c r="D24" s="233">
        <f t="shared" si="8"/>
        <v>85000</v>
      </c>
      <c r="E24" s="233">
        <f t="shared" si="8"/>
        <v>85000</v>
      </c>
      <c r="F24" s="233">
        <f t="shared" si="8"/>
        <v>85000</v>
      </c>
      <c r="G24" s="233">
        <f t="shared" si="8"/>
        <v>85000</v>
      </c>
      <c r="H24" s="233">
        <f t="shared" si="8"/>
        <v>85000</v>
      </c>
      <c r="I24" s="233">
        <f t="shared" si="8"/>
        <v>85000</v>
      </c>
      <c r="J24" s="233">
        <f t="shared" si="8"/>
        <v>85000</v>
      </c>
      <c r="K24" s="233">
        <f t="shared" si="8"/>
        <v>85000</v>
      </c>
      <c r="L24" s="233">
        <f t="shared" si="8"/>
        <v>85000</v>
      </c>
      <c r="M24" s="233">
        <f t="shared" si="8"/>
        <v>85000</v>
      </c>
      <c r="N24" s="233"/>
    </row>
    <row r="25" ht="15.75" customHeight="1">
      <c r="A25" s="44"/>
      <c r="B25" s="229" t="s">
        <v>395</v>
      </c>
      <c r="C25" s="232">
        <v>0.0</v>
      </c>
      <c r="D25" s="233">
        <f t="shared" ref="D25:M25" si="9">D19-D23</f>
        <v>0</v>
      </c>
      <c r="E25" s="233">
        <f t="shared" si="9"/>
        <v>0</v>
      </c>
      <c r="F25" s="233">
        <f t="shared" si="9"/>
        <v>0</v>
      </c>
      <c r="G25" s="233">
        <f t="shared" si="9"/>
        <v>0</v>
      </c>
      <c r="H25" s="233">
        <f t="shared" si="9"/>
        <v>0</v>
      </c>
      <c r="I25" s="233">
        <f t="shared" si="9"/>
        <v>0</v>
      </c>
      <c r="J25" s="233">
        <f t="shared" si="9"/>
        <v>0</v>
      </c>
      <c r="K25" s="233">
        <f t="shared" si="9"/>
        <v>0</v>
      </c>
      <c r="L25" s="233">
        <f t="shared" si="9"/>
        <v>0</v>
      </c>
      <c r="M25" s="233">
        <f t="shared" si="9"/>
        <v>0</v>
      </c>
      <c r="N25" s="233">
        <f>SUM(C25:M25)</f>
        <v>0</v>
      </c>
    </row>
    <row r="26" ht="15.75" customHeight="1">
      <c r="A26" s="44"/>
      <c r="B26" s="4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</row>
    <row r="27" ht="15.75" customHeight="1">
      <c r="A27" s="44"/>
      <c r="B27" s="240" t="str">
        <f>"Tier 2: Preferred Return ("&amp;TEXT(Inputs!$C$113,"0%")&amp;" to LP)"</f>
        <v>Tier 2: Preferred Return (100% to LP)</v>
      </c>
      <c r="C27" s="243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5"/>
    </row>
    <row r="28" ht="15.75" customHeight="1">
      <c r="A28" s="44"/>
      <c r="B28" s="229" t="s">
        <v>396</v>
      </c>
      <c r="C28" s="230">
        <v>0.0</v>
      </c>
      <c r="D28" s="231">
        <f t="shared" ref="D28:M28" si="10">C31</f>
        <v>6800</v>
      </c>
      <c r="E28" s="231">
        <f t="shared" si="10"/>
        <v>13600</v>
      </c>
      <c r="F28" s="231">
        <f t="shared" si="10"/>
        <v>20400</v>
      </c>
      <c r="G28" s="231">
        <f t="shared" si="10"/>
        <v>27200</v>
      </c>
      <c r="H28" s="231">
        <f t="shared" si="10"/>
        <v>34000</v>
      </c>
      <c r="I28" s="231">
        <f t="shared" si="10"/>
        <v>40800</v>
      </c>
      <c r="J28" s="231">
        <f t="shared" si="10"/>
        <v>47600</v>
      </c>
      <c r="K28" s="231">
        <f t="shared" si="10"/>
        <v>54400</v>
      </c>
      <c r="L28" s="231">
        <f t="shared" si="10"/>
        <v>61200</v>
      </c>
      <c r="M28" s="231">
        <f t="shared" si="10"/>
        <v>68000</v>
      </c>
      <c r="N28" s="231"/>
    </row>
    <row r="29" ht="15.75" customHeight="1">
      <c r="A29" s="44"/>
      <c r="B29" s="229" t="s">
        <v>397</v>
      </c>
      <c r="C29" s="232">
        <f>C22*Inputs!$C$106</f>
        <v>6800</v>
      </c>
      <c r="D29" s="233">
        <f>D22*Inputs!$C$106</f>
        <v>6800</v>
      </c>
      <c r="E29" s="233">
        <f>E22*Inputs!$C$106</f>
        <v>6800</v>
      </c>
      <c r="F29" s="233">
        <f>F22*Inputs!$C$106</f>
        <v>6800</v>
      </c>
      <c r="G29" s="233">
        <f>G22*Inputs!$C$106</f>
        <v>6800</v>
      </c>
      <c r="H29" s="233">
        <f>H22*Inputs!$C$106</f>
        <v>6800</v>
      </c>
      <c r="I29" s="233">
        <f>I22*Inputs!$C$106</f>
        <v>6800</v>
      </c>
      <c r="J29" s="233">
        <f>J22*Inputs!$C$106</f>
        <v>6800</v>
      </c>
      <c r="K29" s="233">
        <f>K22*Inputs!$C$106</f>
        <v>6800</v>
      </c>
      <c r="L29" s="233">
        <f>L22*Inputs!$C$106</f>
        <v>6800</v>
      </c>
      <c r="M29" s="233">
        <f>M22*Inputs!$C$106</f>
        <v>6800</v>
      </c>
      <c r="N29" s="233"/>
    </row>
    <row r="30" ht="15.75" customHeight="1">
      <c r="A30" s="44"/>
      <c r="B30" s="229" t="s">
        <v>398</v>
      </c>
      <c r="C30" s="232">
        <v>0.0</v>
      </c>
      <c r="D30" s="233">
        <f t="shared" ref="D30:M30" si="11">MIN(D25,D28+D29)</f>
        <v>0</v>
      </c>
      <c r="E30" s="233">
        <f t="shared" si="11"/>
        <v>0</v>
      </c>
      <c r="F30" s="233">
        <f t="shared" si="11"/>
        <v>0</v>
      </c>
      <c r="G30" s="233">
        <f t="shared" si="11"/>
        <v>0</v>
      </c>
      <c r="H30" s="233">
        <f t="shared" si="11"/>
        <v>0</v>
      </c>
      <c r="I30" s="233">
        <f t="shared" si="11"/>
        <v>0</v>
      </c>
      <c r="J30" s="233">
        <f t="shared" si="11"/>
        <v>0</v>
      </c>
      <c r="K30" s="233">
        <f t="shared" si="11"/>
        <v>0</v>
      </c>
      <c r="L30" s="233">
        <f t="shared" si="11"/>
        <v>0</v>
      </c>
      <c r="M30" s="233">
        <f t="shared" si="11"/>
        <v>0</v>
      </c>
      <c r="N30" s="233">
        <f>SUM(C30:M30)</f>
        <v>0</v>
      </c>
    </row>
    <row r="31" ht="15.75" customHeight="1">
      <c r="A31" s="44"/>
      <c r="B31" s="229" t="s">
        <v>399</v>
      </c>
      <c r="C31" s="232">
        <f t="shared" ref="C31:M31" si="12">C28+C29-C30</f>
        <v>6800</v>
      </c>
      <c r="D31" s="233">
        <f t="shared" si="12"/>
        <v>13600</v>
      </c>
      <c r="E31" s="233">
        <f t="shared" si="12"/>
        <v>20400</v>
      </c>
      <c r="F31" s="233">
        <f t="shared" si="12"/>
        <v>27200</v>
      </c>
      <c r="G31" s="233">
        <f t="shared" si="12"/>
        <v>34000</v>
      </c>
      <c r="H31" s="233">
        <f t="shared" si="12"/>
        <v>40800</v>
      </c>
      <c r="I31" s="233">
        <f t="shared" si="12"/>
        <v>47600</v>
      </c>
      <c r="J31" s="233">
        <f t="shared" si="12"/>
        <v>54400</v>
      </c>
      <c r="K31" s="233">
        <f t="shared" si="12"/>
        <v>61200</v>
      </c>
      <c r="L31" s="233">
        <f t="shared" si="12"/>
        <v>68000</v>
      </c>
      <c r="M31" s="233">
        <f t="shared" si="12"/>
        <v>74800</v>
      </c>
      <c r="N31" s="233"/>
    </row>
    <row r="32" ht="15.75" customHeight="1">
      <c r="A32" s="44"/>
      <c r="B32" s="229" t="s">
        <v>400</v>
      </c>
      <c r="C32" s="232">
        <v>0.0</v>
      </c>
      <c r="D32" s="233">
        <f t="shared" ref="D32:M32" si="13">D25-D30</f>
        <v>0</v>
      </c>
      <c r="E32" s="233">
        <f t="shared" si="13"/>
        <v>0</v>
      </c>
      <c r="F32" s="233">
        <f t="shared" si="13"/>
        <v>0</v>
      </c>
      <c r="G32" s="233">
        <f t="shared" si="13"/>
        <v>0</v>
      </c>
      <c r="H32" s="233">
        <f t="shared" si="13"/>
        <v>0</v>
      </c>
      <c r="I32" s="233">
        <f t="shared" si="13"/>
        <v>0</v>
      </c>
      <c r="J32" s="233">
        <f t="shared" si="13"/>
        <v>0</v>
      </c>
      <c r="K32" s="233">
        <f t="shared" si="13"/>
        <v>0</v>
      </c>
      <c r="L32" s="233">
        <f t="shared" si="13"/>
        <v>0</v>
      </c>
      <c r="M32" s="233">
        <f t="shared" si="13"/>
        <v>0</v>
      </c>
      <c r="N32" s="233">
        <f>SUM(C32:M32)</f>
        <v>0</v>
      </c>
    </row>
    <row r="33" ht="15.75" customHeight="1">
      <c r="A33" s="44"/>
      <c r="B33" s="4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</row>
    <row r="34" ht="15.75" customHeight="1">
      <c r="A34" s="44"/>
      <c r="B34" s="240" t="str">
        <f>"Tier 3: GP Catch-Up ("&amp;TEXT(Inputs!$C$114,"0%")&amp;"/"&amp;TEXT(Inputs!$D$114,"0%")&amp;")"</f>
        <v>Tier 3: GP Catch-Up (50%/50%)</v>
      </c>
      <c r="C34" s="243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5"/>
    </row>
    <row r="35" ht="15.75" customHeight="1">
      <c r="A35" s="44"/>
      <c r="B35" s="229" t="s">
        <v>401</v>
      </c>
      <c r="C35" s="230">
        <v>0.0</v>
      </c>
      <c r="D35" s="231">
        <f>MIN(D32,D30*Inputs!$C$108/(1-Inputs!$C$108))</f>
        <v>0</v>
      </c>
      <c r="E35" s="231">
        <f>MIN(E32,E30*Inputs!$C$108/(1-Inputs!$C$108))</f>
        <v>0</v>
      </c>
      <c r="F35" s="231">
        <f>MIN(F32,F30*Inputs!$C$108/(1-Inputs!$C$108))</f>
        <v>0</v>
      </c>
      <c r="G35" s="231">
        <f>MIN(G32,G30*Inputs!$C$108/(1-Inputs!$C$108))</f>
        <v>0</v>
      </c>
      <c r="H35" s="231">
        <f>MIN(H32,H30*Inputs!$C$108/(1-Inputs!$C$108))</f>
        <v>0</v>
      </c>
      <c r="I35" s="231">
        <f>MIN(I32,I30*Inputs!$C$108/(1-Inputs!$C$108))</f>
        <v>0</v>
      </c>
      <c r="J35" s="231">
        <f>MIN(J32,J30*Inputs!$C$108/(1-Inputs!$C$108))</f>
        <v>0</v>
      </c>
      <c r="K35" s="231">
        <f>MIN(K32,K30*Inputs!$C$108/(1-Inputs!$C$108))</f>
        <v>0</v>
      </c>
      <c r="L35" s="231">
        <f>MIN(L32,L30*Inputs!$C$108/(1-Inputs!$C$108))</f>
        <v>0</v>
      </c>
      <c r="M35" s="231">
        <f>MIN(M32,M30*Inputs!$C$108/(1-Inputs!$C$108))</f>
        <v>0</v>
      </c>
      <c r="N35" s="231">
        <f t="shared" ref="N35:N38" si="14">SUM(C35:M35)</f>
        <v>0</v>
      </c>
    </row>
    <row r="36" ht="15.75" customHeight="1">
      <c r="A36" s="44"/>
      <c r="B36" s="229" t="s">
        <v>402</v>
      </c>
      <c r="C36" s="232">
        <v>0.0</v>
      </c>
      <c r="D36" s="233">
        <f>D35*(1-Inputs!$C$107)</f>
        <v>0</v>
      </c>
      <c r="E36" s="233">
        <f>E35*(1-Inputs!$C$107)</f>
        <v>0</v>
      </c>
      <c r="F36" s="233">
        <f>F35*(1-Inputs!$C$107)</f>
        <v>0</v>
      </c>
      <c r="G36" s="233">
        <f>G35*(1-Inputs!$C$107)</f>
        <v>0</v>
      </c>
      <c r="H36" s="233">
        <f>H35*(1-Inputs!$C$107)</f>
        <v>0</v>
      </c>
      <c r="I36" s="233">
        <f>I35*(1-Inputs!$C$107)</f>
        <v>0</v>
      </c>
      <c r="J36" s="233">
        <f>J35*(1-Inputs!$C$107)</f>
        <v>0</v>
      </c>
      <c r="K36" s="233">
        <f>K35*(1-Inputs!$C$107)</f>
        <v>0</v>
      </c>
      <c r="L36" s="233">
        <f>L35*(1-Inputs!$C$107)</f>
        <v>0</v>
      </c>
      <c r="M36" s="233">
        <f>M35*(1-Inputs!$C$107)</f>
        <v>0</v>
      </c>
      <c r="N36" s="233">
        <f t="shared" si="14"/>
        <v>0</v>
      </c>
    </row>
    <row r="37" ht="15.75" customHeight="1">
      <c r="A37" s="44"/>
      <c r="B37" s="229" t="s">
        <v>403</v>
      </c>
      <c r="C37" s="232">
        <v>0.0</v>
      </c>
      <c r="D37" s="233">
        <f>D35*Inputs!$C$107</f>
        <v>0</v>
      </c>
      <c r="E37" s="233">
        <f>E35*Inputs!$C$107</f>
        <v>0</v>
      </c>
      <c r="F37" s="233">
        <f>F35*Inputs!$C$107</f>
        <v>0</v>
      </c>
      <c r="G37" s="233">
        <f>G35*Inputs!$C$107</f>
        <v>0</v>
      </c>
      <c r="H37" s="233">
        <f>H35*Inputs!$C$107</f>
        <v>0</v>
      </c>
      <c r="I37" s="233">
        <f>I35*Inputs!$C$107</f>
        <v>0</v>
      </c>
      <c r="J37" s="233">
        <f>J35*Inputs!$C$107</f>
        <v>0</v>
      </c>
      <c r="K37" s="233">
        <f>K35*Inputs!$C$107</f>
        <v>0</v>
      </c>
      <c r="L37" s="233">
        <f>L35*Inputs!$C$107</f>
        <v>0</v>
      </c>
      <c r="M37" s="233">
        <f>M35*Inputs!$C$107</f>
        <v>0</v>
      </c>
      <c r="N37" s="233">
        <f t="shared" si="14"/>
        <v>0</v>
      </c>
    </row>
    <row r="38" ht="15.75" customHeight="1">
      <c r="A38" s="44"/>
      <c r="B38" s="229" t="s">
        <v>404</v>
      </c>
      <c r="C38" s="232">
        <v>0.0</v>
      </c>
      <c r="D38" s="233">
        <f t="shared" ref="D38:M38" si="15">D32-D35</f>
        <v>0</v>
      </c>
      <c r="E38" s="233">
        <f t="shared" si="15"/>
        <v>0</v>
      </c>
      <c r="F38" s="233">
        <f t="shared" si="15"/>
        <v>0</v>
      </c>
      <c r="G38" s="233">
        <f t="shared" si="15"/>
        <v>0</v>
      </c>
      <c r="H38" s="233">
        <f t="shared" si="15"/>
        <v>0</v>
      </c>
      <c r="I38" s="233">
        <f t="shared" si="15"/>
        <v>0</v>
      </c>
      <c r="J38" s="233">
        <f t="shared" si="15"/>
        <v>0</v>
      </c>
      <c r="K38" s="233">
        <f t="shared" si="15"/>
        <v>0</v>
      </c>
      <c r="L38" s="233">
        <f t="shared" si="15"/>
        <v>0</v>
      </c>
      <c r="M38" s="233">
        <f t="shared" si="15"/>
        <v>0</v>
      </c>
      <c r="N38" s="233">
        <f t="shared" si="14"/>
        <v>0</v>
      </c>
    </row>
    <row r="39" ht="15.75" customHeight="1">
      <c r="A39" s="44"/>
      <c r="B39" s="4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</row>
    <row r="40" ht="15.75" customHeight="1">
      <c r="A40" s="44"/>
      <c r="B40" s="240" t="str">
        <f>"Tier 4: Residual Split (below "&amp;TEXT(Inputs!$C$109,"0%")&amp;" IRR)"</f>
        <v>Tier 4: Residual Split (below 15% IRR)</v>
      </c>
      <c r="C40" s="243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5"/>
    </row>
    <row r="41" ht="15.75" customHeight="1">
      <c r="A41" s="44"/>
      <c r="B41" s="229" t="str">
        <f>"  Tier 4 to LP ("&amp;TEXT(Inputs!$C$115,"0%")&amp;")"</f>
        <v>  Tier 4 to LP (70%)</v>
      </c>
      <c r="C41" s="230">
        <v>0.0</v>
      </c>
      <c r="D41" s="231">
        <f>IF(IFERROR(IRR(C$57),0)&lt;Inputs!$C$109,D38*Inputs!$C$115,0)</f>
        <v>0</v>
      </c>
      <c r="E41" s="231">
        <f>IF(IFERROR(IRR(C$57:D$57),0)&lt;Inputs!$C$109,E38*Inputs!$C$115,0)</f>
        <v>0</v>
      </c>
      <c r="F41" s="231">
        <f>IF(IFERROR(IRR(C$57:E$57),0)&lt;Inputs!$C$109,F38*Inputs!$C$115,0)</f>
        <v>0</v>
      </c>
      <c r="G41" s="231">
        <f>IF(IFERROR(IRR(C$57:F$57),0)&lt;Inputs!$C$109,G38*Inputs!$C$115,0)</f>
        <v>0</v>
      </c>
      <c r="H41" s="231">
        <f>IF(IFERROR(IRR(C$57:G$57),0)&lt;Inputs!$C$109,H38*Inputs!$C$115,0)</f>
        <v>0</v>
      </c>
      <c r="I41" s="231">
        <f>IF(IFERROR(IRR(C$57:H$57),0)&lt;Inputs!$C$109,I38*Inputs!$C$115,0)</f>
        <v>0</v>
      </c>
      <c r="J41" s="231">
        <f>IF(IFERROR(IRR(C$57:I$57),0)&lt;Inputs!$C$109,J38*Inputs!$C$115,0)</f>
        <v>0</v>
      </c>
      <c r="K41" s="231">
        <f>IF(IFERROR(IRR(C$57:J$57),0)&lt;Inputs!$C$109,K38*Inputs!$C$115,0)</f>
        <v>0</v>
      </c>
      <c r="L41" s="231">
        <f>IF(IFERROR(IRR(C$57:K$57),0)&lt;Inputs!$C$109,L38*Inputs!$C$115,0)</f>
        <v>0</v>
      </c>
      <c r="M41" s="231">
        <f>IF(IFERROR(IRR(C$57:L$57),0)&lt;Inputs!$C$109,M38*Inputs!$C$115,0)</f>
        <v>0</v>
      </c>
      <c r="N41" s="231">
        <f t="shared" ref="N41:N43" si="16">SUM(C41:M41)</f>
        <v>0</v>
      </c>
    </row>
    <row r="42" ht="15.75" customHeight="1">
      <c r="A42" s="44"/>
      <c r="B42" s="229" t="str">
        <f>"  Tier 4 to GP ("&amp;TEXT(Inputs!$D$115,"0%")&amp;")"</f>
        <v>  Tier 4 to GP (30%)</v>
      </c>
      <c r="C42" s="232">
        <v>0.0</v>
      </c>
      <c r="D42" s="233">
        <f>IF(IFERROR(IRR(C$57),0)&lt;Inputs!$C$109,D38*Inputs!$D$115,0)</f>
        <v>0</v>
      </c>
      <c r="E42" s="233">
        <f>IF(IFERROR(IRR(C$57:D$57),0)&lt;Inputs!$C$109,E38*Inputs!$D$115,0)</f>
        <v>0</v>
      </c>
      <c r="F42" s="233">
        <f>IF(IFERROR(IRR(C$57:E$57),0)&lt;Inputs!$C$109,F38*Inputs!$D$115,0)</f>
        <v>0</v>
      </c>
      <c r="G42" s="233">
        <f>IF(IFERROR(IRR(C$57:F$57),0)&lt;Inputs!$C$109,G38*Inputs!$D$115,0)</f>
        <v>0</v>
      </c>
      <c r="H42" s="233">
        <f>IF(IFERROR(IRR(C$57:G$57),0)&lt;Inputs!$C$109,H38*Inputs!$D$115,0)</f>
        <v>0</v>
      </c>
      <c r="I42" s="233">
        <f>IF(IFERROR(IRR(C$57:H$57),0)&lt;Inputs!$C$109,I38*Inputs!$D$115,0)</f>
        <v>0</v>
      </c>
      <c r="J42" s="233">
        <f>IF(IFERROR(IRR(C$57:I$57),0)&lt;Inputs!$C$109,J38*Inputs!$D$115,0)</f>
        <v>0</v>
      </c>
      <c r="K42" s="233">
        <f>IF(IFERROR(IRR(C$57:J$57),0)&lt;Inputs!$C$109,K38*Inputs!$D$115,0)</f>
        <v>0</v>
      </c>
      <c r="L42" s="233">
        <f>IF(IFERROR(IRR(C$57:K$57),0)&lt;Inputs!$C$109,L38*Inputs!$D$115,0)</f>
        <v>0</v>
      </c>
      <c r="M42" s="233">
        <f>IF(IFERROR(IRR(C$57:L$57),0)&lt;Inputs!$C$109,M38*Inputs!$D$115,0)</f>
        <v>0</v>
      </c>
      <c r="N42" s="233">
        <f t="shared" si="16"/>
        <v>0</v>
      </c>
    </row>
    <row r="43" ht="15.75" customHeight="1">
      <c r="A43" s="44"/>
      <c r="B43" s="229" t="s">
        <v>405</v>
      </c>
      <c r="C43" s="232">
        <v>0.0</v>
      </c>
      <c r="D43" s="233">
        <f t="shared" ref="D43:M43" si="17">D38-D41-D42</f>
        <v>0</v>
      </c>
      <c r="E43" s="233">
        <f t="shared" si="17"/>
        <v>0</v>
      </c>
      <c r="F43" s="233">
        <f t="shared" si="17"/>
        <v>0</v>
      </c>
      <c r="G43" s="233">
        <f t="shared" si="17"/>
        <v>0</v>
      </c>
      <c r="H43" s="233">
        <f t="shared" si="17"/>
        <v>0</v>
      </c>
      <c r="I43" s="233">
        <f t="shared" si="17"/>
        <v>0</v>
      </c>
      <c r="J43" s="233">
        <f t="shared" si="17"/>
        <v>0</v>
      </c>
      <c r="K43" s="233">
        <f t="shared" si="17"/>
        <v>0</v>
      </c>
      <c r="L43" s="233">
        <f t="shared" si="17"/>
        <v>0</v>
      </c>
      <c r="M43" s="233">
        <f t="shared" si="17"/>
        <v>0</v>
      </c>
      <c r="N43" s="233">
        <f t="shared" si="16"/>
        <v>0</v>
      </c>
    </row>
    <row r="44" ht="15.75" customHeight="1">
      <c r="A44" s="44"/>
      <c r="B44" s="246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</row>
    <row r="45" ht="15.75" customHeight="1">
      <c r="A45" s="44"/>
      <c r="B45" s="240" t="str">
        <f>"Tier 5: Residual Split (above "&amp;TEXT(Inputs!$C$109,"0%")&amp;" IRR)"</f>
        <v>Tier 5: Residual Split (above 15% IRR)</v>
      </c>
      <c r="C45" s="248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50"/>
    </row>
    <row r="46" ht="15.75" customHeight="1">
      <c r="A46" s="44"/>
      <c r="B46" s="229" t="str">
        <f>"  Tier 5 to LP ("&amp;TEXT(Inputs!$C$116,"0%")&amp;")"</f>
        <v>  Tier 5 to LP (50%)</v>
      </c>
      <c r="C46" s="230">
        <v>0.0</v>
      </c>
      <c r="D46" s="231">
        <f>IF(IFERROR(IRR(C$57),0)&gt;=Inputs!$C$109,D38*Inputs!$C$116,D43*Inputs!$C$116)</f>
        <v>0</v>
      </c>
      <c r="E46" s="231">
        <f>IF(IFERROR(IRR(C$57:D$57),0)&gt;=Inputs!$C$109,E38*Inputs!$C$116,E43*Inputs!$C$116)</f>
        <v>0</v>
      </c>
      <c r="F46" s="231">
        <f>IF(IFERROR(IRR(C$57:E$57),0)&gt;=Inputs!$C$109,F38*Inputs!$C$116,F43*Inputs!$C$116)</f>
        <v>0</v>
      </c>
      <c r="G46" s="231">
        <f>IF(IFERROR(IRR(C$57:F$57),0)&gt;=Inputs!$C$109,G38*Inputs!$C$116,G43*Inputs!$C$116)</f>
        <v>0</v>
      </c>
      <c r="H46" s="231">
        <f>IF(IFERROR(IRR(C$57:G$57),0)&gt;=Inputs!$C$109,H38*Inputs!$C$116,H43*Inputs!$C$116)</f>
        <v>0</v>
      </c>
      <c r="I46" s="231">
        <f>IF(IFERROR(IRR(C$57:H$57),0)&gt;=Inputs!$C$109,I38*Inputs!$C$116,I43*Inputs!$C$116)</f>
        <v>0</v>
      </c>
      <c r="J46" s="231">
        <f>IF(IFERROR(IRR(C$57:I$57),0)&gt;=Inputs!$C$109,J38*Inputs!$C$116,J43*Inputs!$C$116)</f>
        <v>0</v>
      </c>
      <c r="K46" s="231">
        <f>IF(IFERROR(IRR(C$57:J$57),0)&gt;=Inputs!$C$109,K38*Inputs!$C$116,K43*Inputs!$C$116)</f>
        <v>0</v>
      </c>
      <c r="L46" s="231">
        <f>IF(IFERROR(IRR(C$57:K$57),0)&gt;=Inputs!$C$109,L38*Inputs!$C$116,L43*Inputs!$C$116)</f>
        <v>0</v>
      </c>
      <c r="M46" s="231">
        <f>IF(IFERROR(IRR(C$57:L$57),0)&gt;=Inputs!$C$109,M38*Inputs!$C$116,M43*Inputs!$C$116)</f>
        <v>0</v>
      </c>
      <c r="N46" s="231">
        <f t="shared" ref="N46:N47" si="18">SUM(C46:M46)</f>
        <v>0</v>
      </c>
    </row>
    <row r="47" ht="15.75" customHeight="1">
      <c r="A47" s="44"/>
      <c r="B47" s="229" t="str">
        <f>"  Tier 5 to GP ("&amp;TEXT(Inputs!$D$116,"0%")&amp;")"</f>
        <v>  Tier 5 to GP (50%)</v>
      </c>
      <c r="C47" s="232">
        <v>0.0</v>
      </c>
      <c r="D47" s="233">
        <f>IF(IFERROR(IRR(C$57),0)&gt;=Inputs!$C$109,D38*Inputs!$D$116,D43*Inputs!$D$116)</f>
        <v>0</v>
      </c>
      <c r="E47" s="233">
        <f>IF(IFERROR(IRR(C$57:D$57),0)&gt;=Inputs!$C$109,E38*Inputs!$D$116,E43*Inputs!$D$116)</f>
        <v>0</v>
      </c>
      <c r="F47" s="233">
        <f>IF(IFERROR(IRR(C$57:E$57),0)&gt;=Inputs!$C$109,F38*Inputs!$D$116,F43*Inputs!$D$116)</f>
        <v>0</v>
      </c>
      <c r="G47" s="233">
        <f>IF(IFERROR(IRR(C$57:F$57),0)&gt;=Inputs!$C$109,G38*Inputs!$D$116,G43*Inputs!$D$116)</f>
        <v>0</v>
      </c>
      <c r="H47" s="233">
        <f>IF(IFERROR(IRR(C$57:G$57),0)&gt;=Inputs!$C$109,H38*Inputs!$D$116,H43*Inputs!$D$116)</f>
        <v>0</v>
      </c>
      <c r="I47" s="233">
        <f>IF(IFERROR(IRR(C$57:H$57),0)&gt;=Inputs!$C$109,I38*Inputs!$D$116,I43*Inputs!$D$116)</f>
        <v>0</v>
      </c>
      <c r="J47" s="233">
        <f>IF(IFERROR(IRR(C$57:I$57),0)&gt;=Inputs!$C$109,J38*Inputs!$D$116,J43*Inputs!$D$116)</f>
        <v>0</v>
      </c>
      <c r="K47" s="233">
        <f>IF(IFERROR(IRR(C$57:J$57),0)&gt;=Inputs!$C$109,K38*Inputs!$D$116,K43*Inputs!$D$116)</f>
        <v>0</v>
      </c>
      <c r="L47" s="233">
        <f>IF(IFERROR(IRR(C$57:K$57),0)&gt;=Inputs!$C$109,L38*Inputs!$D$116,L43*Inputs!$D$116)</f>
        <v>0</v>
      </c>
      <c r="M47" s="233">
        <f>IF(IFERROR(IRR(C$57:L$57),0)&gt;=Inputs!$C$109,M38*Inputs!$D$116,M43*Inputs!$D$116)</f>
        <v>0</v>
      </c>
      <c r="N47" s="233">
        <f t="shared" si="18"/>
        <v>0</v>
      </c>
    </row>
    <row r="48" ht="15.75" customHeight="1">
      <c r="A48" s="44"/>
      <c r="B48" s="246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</row>
    <row r="49" ht="15.75" customHeight="1">
      <c r="A49" s="44"/>
      <c r="B49" s="4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</row>
    <row r="50" ht="15.75" customHeight="1">
      <c r="A50" s="44"/>
      <c r="B50" s="182" t="s">
        <v>406</v>
      </c>
      <c r="C50" s="226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8"/>
    </row>
    <row r="51" ht="15.75" customHeight="1">
      <c r="A51" s="44"/>
      <c r="B51" s="252" t="s">
        <v>65</v>
      </c>
      <c r="C51" s="253">
        <f t="shared" ref="C51:M51" si="19">C23+C30+C36+C41+C46</f>
        <v>0</v>
      </c>
      <c r="D51" s="254">
        <f t="shared" si="19"/>
        <v>0</v>
      </c>
      <c r="E51" s="254">
        <f t="shared" si="19"/>
        <v>0</v>
      </c>
      <c r="F51" s="254">
        <f t="shared" si="19"/>
        <v>0</v>
      </c>
      <c r="G51" s="254">
        <f t="shared" si="19"/>
        <v>0</v>
      </c>
      <c r="H51" s="254">
        <f t="shared" si="19"/>
        <v>0</v>
      </c>
      <c r="I51" s="254">
        <f t="shared" si="19"/>
        <v>0</v>
      </c>
      <c r="J51" s="254">
        <f t="shared" si="19"/>
        <v>0</v>
      </c>
      <c r="K51" s="254">
        <f t="shared" si="19"/>
        <v>0</v>
      </c>
      <c r="L51" s="254">
        <f t="shared" si="19"/>
        <v>0</v>
      </c>
      <c r="M51" s="254">
        <f t="shared" si="19"/>
        <v>0</v>
      </c>
      <c r="N51" s="254">
        <f t="shared" ref="N51:N54" si="21">SUM(C51:M51)</f>
        <v>0</v>
      </c>
    </row>
    <row r="52" ht="15.75" customHeight="1">
      <c r="A52" s="44"/>
      <c r="B52" s="255" t="s">
        <v>66</v>
      </c>
      <c r="C52" s="256">
        <f t="shared" ref="C52:M52" si="20">C37+C42+C47</f>
        <v>0</v>
      </c>
      <c r="D52" s="257">
        <f t="shared" si="20"/>
        <v>0</v>
      </c>
      <c r="E52" s="257">
        <f t="shared" si="20"/>
        <v>0</v>
      </c>
      <c r="F52" s="257">
        <f t="shared" si="20"/>
        <v>0</v>
      </c>
      <c r="G52" s="257">
        <f t="shared" si="20"/>
        <v>0</v>
      </c>
      <c r="H52" s="257">
        <f t="shared" si="20"/>
        <v>0</v>
      </c>
      <c r="I52" s="257">
        <f t="shared" si="20"/>
        <v>0</v>
      </c>
      <c r="J52" s="257">
        <f t="shared" si="20"/>
        <v>0</v>
      </c>
      <c r="K52" s="257">
        <f t="shared" si="20"/>
        <v>0</v>
      </c>
      <c r="L52" s="257">
        <f t="shared" si="20"/>
        <v>0</v>
      </c>
      <c r="M52" s="257">
        <f t="shared" si="20"/>
        <v>0</v>
      </c>
      <c r="N52" s="257">
        <f t="shared" si="21"/>
        <v>0</v>
      </c>
    </row>
    <row r="53" ht="15.75" customHeight="1">
      <c r="A53" s="44"/>
      <c r="B53" s="258" t="s">
        <v>361</v>
      </c>
      <c r="C53" s="259">
        <f t="shared" ref="C53:M53" si="22">C51+C52</f>
        <v>0</v>
      </c>
      <c r="D53" s="260">
        <f t="shared" si="22"/>
        <v>0</v>
      </c>
      <c r="E53" s="260">
        <f t="shared" si="22"/>
        <v>0</v>
      </c>
      <c r="F53" s="260">
        <f t="shared" si="22"/>
        <v>0</v>
      </c>
      <c r="G53" s="260">
        <f t="shared" si="22"/>
        <v>0</v>
      </c>
      <c r="H53" s="260">
        <f t="shared" si="22"/>
        <v>0</v>
      </c>
      <c r="I53" s="260">
        <f t="shared" si="22"/>
        <v>0</v>
      </c>
      <c r="J53" s="260">
        <f t="shared" si="22"/>
        <v>0</v>
      </c>
      <c r="K53" s="260">
        <f t="shared" si="22"/>
        <v>0</v>
      </c>
      <c r="L53" s="260">
        <f t="shared" si="22"/>
        <v>0</v>
      </c>
      <c r="M53" s="260">
        <f t="shared" si="22"/>
        <v>0</v>
      </c>
      <c r="N53" s="260">
        <f t="shared" si="21"/>
        <v>0</v>
      </c>
    </row>
    <row r="54" ht="15.75" customHeight="1">
      <c r="A54" s="44"/>
      <c r="B54" s="261" t="s">
        <v>407</v>
      </c>
      <c r="C54" s="262">
        <f t="shared" ref="C54:M54" si="23">C53-C19</f>
        <v>-345000</v>
      </c>
      <c r="D54" s="263">
        <f t="shared" si="23"/>
        <v>0</v>
      </c>
      <c r="E54" s="263">
        <f t="shared" si="23"/>
        <v>0</v>
      </c>
      <c r="F54" s="263">
        <f t="shared" si="23"/>
        <v>0</v>
      </c>
      <c r="G54" s="263">
        <f t="shared" si="23"/>
        <v>0</v>
      </c>
      <c r="H54" s="263">
        <f t="shared" si="23"/>
        <v>0</v>
      </c>
      <c r="I54" s="263">
        <f t="shared" si="23"/>
        <v>0</v>
      </c>
      <c r="J54" s="263">
        <f t="shared" si="23"/>
        <v>0</v>
      </c>
      <c r="K54" s="263">
        <f t="shared" si="23"/>
        <v>0</v>
      </c>
      <c r="L54" s="263">
        <f t="shared" si="23"/>
        <v>0</v>
      </c>
      <c r="M54" s="263">
        <f t="shared" si="23"/>
        <v>0</v>
      </c>
      <c r="N54" s="263">
        <f t="shared" si="21"/>
        <v>-345000</v>
      </c>
    </row>
    <row r="55" ht="15.75" customHeight="1">
      <c r="A55" s="44"/>
      <c r="B55" s="4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</row>
    <row r="56" ht="15.75" customHeight="1">
      <c r="A56" s="44"/>
      <c r="B56" s="182" t="s">
        <v>408</v>
      </c>
      <c r="C56" s="226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8"/>
    </row>
    <row r="57" ht="15.75" customHeight="1">
      <c r="A57" s="44"/>
      <c r="B57" s="229" t="s">
        <v>409</v>
      </c>
      <c r="C57" s="230">
        <f t="shared" ref="C57:C59" si="25">C12</f>
        <v>-85000</v>
      </c>
      <c r="D57" s="231">
        <f t="shared" ref="D57:M57" si="24">D51</f>
        <v>0</v>
      </c>
      <c r="E57" s="231">
        <f t="shared" si="24"/>
        <v>0</v>
      </c>
      <c r="F57" s="231">
        <f t="shared" si="24"/>
        <v>0</v>
      </c>
      <c r="G57" s="231">
        <f t="shared" si="24"/>
        <v>0</v>
      </c>
      <c r="H57" s="231">
        <f t="shared" si="24"/>
        <v>0</v>
      </c>
      <c r="I57" s="231">
        <f t="shared" si="24"/>
        <v>0</v>
      </c>
      <c r="J57" s="231">
        <f t="shared" si="24"/>
        <v>0</v>
      </c>
      <c r="K57" s="231">
        <f t="shared" si="24"/>
        <v>0</v>
      </c>
      <c r="L57" s="231">
        <f t="shared" si="24"/>
        <v>0</v>
      </c>
      <c r="M57" s="231">
        <f t="shared" si="24"/>
        <v>0</v>
      </c>
      <c r="N57" s="231"/>
    </row>
    <row r="58" ht="15.75" customHeight="1">
      <c r="A58" s="44"/>
      <c r="B58" s="229" t="s">
        <v>410</v>
      </c>
      <c r="C58" s="232">
        <f t="shared" si="25"/>
        <v>430000</v>
      </c>
      <c r="D58" s="233">
        <f t="shared" ref="D58:M58" si="26">D52</f>
        <v>0</v>
      </c>
      <c r="E58" s="233">
        <f t="shared" si="26"/>
        <v>0</v>
      </c>
      <c r="F58" s="233">
        <f t="shared" si="26"/>
        <v>0</v>
      </c>
      <c r="G58" s="233">
        <f t="shared" si="26"/>
        <v>0</v>
      </c>
      <c r="H58" s="233">
        <f t="shared" si="26"/>
        <v>0</v>
      </c>
      <c r="I58" s="233">
        <f t="shared" si="26"/>
        <v>0</v>
      </c>
      <c r="J58" s="233">
        <f t="shared" si="26"/>
        <v>0</v>
      </c>
      <c r="K58" s="233">
        <f t="shared" si="26"/>
        <v>0</v>
      </c>
      <c r="L58" s="233">
        <f t="shared" si="26"/>
        <v>0</v>
      </c>
      <c r="M58" s="233">
        <f t="shared" si="26"/>
        <v>0</v>
      </c>
      <c r="N58" s="233"/>
    </row>
    <row r="59" ht="15.75" customHeight="1">
      <c r="A59" s="44"/>
      <c r="B59" s="229" t="s">
        <v>411</v>
      </c>
      <c r="C59" s="232">
        <f t="shared" si="25"/>
        <v>345000</v>
      </c>
      <c r="D59" s="233">
        <f t="shared" ref="D59:M59" si="27">D53</f>
        <v>0</v>
      </c>
      <c r="E59" s="233">
        <f t="shared" si="27"/>
        <v>0</v>
      </c>
      <c r="F59" s="233">
        <f t="shared" si="27"/>
        <v>0</v>
      </c>
      <c r="G59" s="233">
        <f t="shared" si="27"/>
        <v>0</v>
      </c>
      <c r="H59" s="233">
        <f t="shared" si="27"/>
        <v>0</v>
      </c>
      <c r="I59" s="233">
        <f t="shared" si="27"/>
        <v>0</v>
      </c>
      <c r="J59" s="233">
        <f t="shared" si="27"/>
        <v>0</v>
      </c>
      <c r="K59" s="233">
        <f t="shared" si="27"/>
        <v>0</v>
      </c>
      <c r="L59" s="233">
        <f t="shared" si="27"/>
        <v>0</v>
      </c>
      <c r="M59" s="233">
        <f t="shared" si="27"/>
        <v>0</v>
      </c>
      <c r="N59" s="233"/>
    </row>
    <row r="60" ht="15.75" customHeight="1">
      <c r="A60" s="44"/>
      <c r="B60" s="4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</row>
    <row r="61" ht="15.75" customHeight="1">
      <c r="A61" s="44"/>
      <c r="B61" s="240" t="s">
        <v>412</v>
      </c>
      <c r="C61" s="243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5"/>
    </row>
    <row r="62" ht="15.75" customHeight="1">
      <c r="A62" s="44"/>
      <c r="B62" s="229" t="s">
        <v>413</v>
      </c>
      <c r="C62" s="264" t="str">
        <f>IFERROR(IRR(C57),"-")</f>
        <v>-</v>
      </c>
      <c r="D62" s="265" t="str">
        <f>IFERROR(IRR(C57:D57),"-")</f>
        <v>-</v>
      </c>
      <c r="E62" s="265" t="str">
        <f>IFERROR(IRR(C57:E57),"-")</f>
        <v>-</v>
      </c>
      <c r="F62" s="265" t="str">
        <f>IFERROR(IRR(C57:F57),"-")</f>
        <v>-</v>
      </c>
      <c r="G62" s="265" t="str">
        <f>IFERROR(IRR(C57:G57),"-")</f>
        <v>-</v>
      </c>
      <c r="H62" s="265" t="str">
        <f>IFERROR(IRR(C57:H57),"-")</f>
        <v>-</v>
      </c>
      <c r="I62" s="265" t="str">
        <f>IFERROR(IRR(C57:I57),"-")</f>
        <v>-</v>
      </c>
      <c r="J62" s="265" t="str">
        <f>IFERROR(IRR(C57:J57),"-")</f>
        <v>-</v>
      </c>
      <c r="K62" s="265" t="str">
        <f>IFERROR(IRR(C57:K57),"-")</f>
        <v>-</v>
      </c>
      <c r="L62" s="265" t="str">
        <f>IFERROR(IRR(C57:L57),"-")</f>
        <v>-</v>
      </c>
      <c r="M62" s="265" t="str">
        <f>IFERROR(IRR(C57:M57),"-")</f>
        <v>-</v>
      </c>
      <c r="N62" s="266" t="str">
        <f>IFERROR(IRR(C57:M57),"-")</f>
        <v>-</v>
      </c>
    </row>
    <row r="63" ht="15.75" customHeight="1">
      <c r="A63" s="44"/>
      <c r="B63" s="229" t="s">
        <v>414</v>
      </c>
      <c r="C63" s="267">
        <f>IFERROR(-SUM(C51)/C12,"-")</f>
        <v>0</v>
      </c>
      <c r="D63" s="268">
        <f>IFERROR(-SUM(C51:D51)/C12,"-")</f>
        <v>0</v>
      </c>
      <c r="E63" s="268">
        <f>IFERROR(-SUM(C51:E51)/C12,"-")</f>
        <v>0</v>
      </c>
      <c r="F63" s="268">
        <f>IFERROR(-SUM(C51:F51)/C12,"-")</f>
        <v>0</v>
      </c>
      <c r="G63" s="268">
        <f>IFERROR(-SUM(C51:G51)/C12,"-")</f>
        <v>0</v>
      </c>
      <c r="H63" s="268">
        <f>IFERROR(-SUM(C51:H51)/C12,"-")</f>
        <v>0</v>
      </c>
      <c r="I63" s="268">
        <f>IFERROR(-SUM(C51:I51)/C12,"-")</f>
        <v>0</v>
      </c>
      <c r="J63" s="268">
        <f>IFERROR(-SUM(C51:J51)/C12,"-")</f>
        <v>0</v>
      </c>
      <c r="K63" s="268">
        <f>IFERROR(-SUM(C51:K51)/C12,"-")</f>
        <v>0</v>
      </c>
      <c r="L63" s="268">
        <f>IFERROR(-SUM(C51:L51)/C12,"-")</f>
        <v>0</v>
      </c>
      <c r="M63" s="268">
        <f>IFERROR(-SUM(C51:M51)/C12,"-")</f>
        <v>0</v>
      </c>
      <c r="N63" s="269">
        <f>IFERROR(-N51/C12,"-")</f>
        <v>0</v>
      </c>
    </row>
    <row r="64" ht="15.75" customHeight="1">
      <c r="A64" s="44"/>
      <c r="B64" s="229" t="s">
        <v>415</v>
      </c>
      <c r="C64" s="232">
        <f>SUM(C51)</f>
        <v>0</v>
      </c>
      <c r="D64" s="233">
        <f>SUM(C51:D51)</f>
        <v>0</v>
      </c>
      <c r="E64" s="233">
        <f>SUM(C51:E51)</f>
        <v>0</v>
      </c>
      <c r="F64" s="233">
        <f>SUM(C51:F51)</f>
        <v>0</v>
      </c>
      <c r="G64" s="233">
        <f>SUM(C51:G51)</f>
        <v>0</v>
      </c>
      <c r="H64" s="233">
        <f>SUM(C51:H51)</f>
        <v>0</v>
      </c>
      <c r="I64" s="233">
        <f>SUM(C51:I51)</f>
        <v>0</v>
      </c>
      <c r="J64" s="233">
        <f>SUM(C51:J51)</f>
        <v>0</v>
      </c>
      <c r="K64" s="233">
        <f>SUM(C51:K51)</f>
        <v>0</v>
      </c>
      <c r="L64" s="233">
        <f>SUM(C51:L51)</f>
        <v>0</v>
      </c>
      <c r="M64" s="233">
        <f>SUM(C51:M51)</f>
        <v>0</v>
      </c>
      <c r="N64" s="270">
        <f>N51</f>
        <v>0</v>
      </c>
    </row>
    <row r="65" ht="15.75" customHeight="1">
      <c r="A65" s="44"/>
      <c r="B65" s="4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</row>
    <row r="66" ht="15.75" customHeight="1">
      <c r="A66" s="44"/>
      <c r="B66" s="240" t="s">
        <v>416</v>
      </c>
      <c r="C66" s="243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5"/>
    </row>
    <row r="67" ht="15.75" customHeight="1">
      <c r="A67" s="44"/>
      <c r="B67" s="229" t="s">
        <v>417</v>
      </c>
      <c r="C67" s="264" t="str">
        <f>IFERROR(IRR(C58),"-")</f>
        <v>-</v>
      </c>
      <c r="D67" s="265" t="str">
        <f>IFERROR(IRR(C58:D58),"-")</f>
        <v>-</v>
      </c>
      <c r="E67" s="265" t="str">
        <f>IFERROR(IRR(C58:E58),"-")</f>
        <v>-</v>
      </c>
      <c r="F67" s="265" t="str">
        <f>IFERROR(IRR(C58:F58),"-")</f>
        <v>-</v>
      </c>
      <c r="G67" s="265" t="str">
        <f>IFERROR(IRR(C58:G58),"-")</f>
        <v>-</v>
      </c>
      <c r="H67" s="265" t="str">
        <f>IFERROR(IRR(C58:H58),"-")</f>
        <v>-</v>
      </c>
      <c r="I67" s="265" t="str">
        <f>IFERROR(IRR(C58:I58),"-")</f>
        <v>-</v>
      </c>
      <c r="J67" s="265" t="str">
        <f>IFERROR(IRR(C58:J58),"-")</f>
        <v>-</v>
      </c>
      <c r="K67" s="265" t="str">
        <f>IFERROR(IRR(C58:K58),"-")</f>
        <v>-</v>
      </c>
      <c r="L67" s="265" t="str">
        <f>IFERROR(IRR(C58:L58),"-")</f>
        <v>-</v>
      </c>
      <c r="M67" s="265" t="str">
        <f>IFERROR(IRR(C58:M58),"-")</f>
        <v>-</v>
      </c>
      <c r="N67" s="266" t="str">
        <f>IFERROR(IRR(C58:M58),"-")</f>
        <v>-</v>
      </c>
    </row>
    <row r="68" ht="15.75" customHeight="1">
      <c r="A68" s="44"/>
      <c r="B68" s="229" t="s">
        <v>418</v>
      </c>
      <c r="C68" s="267">
        <f>IFERROR(-SUM(C52)/C13,"-")</f>
        <v>0</v>
      </c>
      <c r="D68" s="268">
        <f>IFERROR(-SUM(C52:D52)/C13,"-")</f>
        <v>0</v>
      </c>
      <c r="E68" s="268">
        <f>IFERROR(-SUM(C52:E52)/C13,"-")</f>
        <v>0</v>
      </c>
      <c r="F68" s="268">
        <f>IFERROR(-SUM(C52:F52)/C13,"-")</f>
        <v>0</v>
      </c>
      <c r="G68" s="268">
        <f>IFERROR(-SUM(C52:G52)/C13,"-")</f>
        <v>0</v>
      </c>
      <c r="H68" s="268">
        <f>IFERROR(-SUM(C52:H52)/C13,"-")</f>
        <v>0</v>
      </c>
      <c r="I68" s="268">
        <f>IFERROR(-SUM(C52:I52)/C13,"-")</f>
        <v>0</v>
      </c>
      <c r="J68" s="268">
        <f>IFERROR(-SUM(C52:J52)/C13,"-")</f>
        <v>0</v>
      </c>
      <c r="K68" s="268">
        <f>IFERROR(-SUM(C52:K52)/C13,"-")</f>
        <v>0</v>
      </c>
      <c r="L68" s="268">
        <f>IFERROR(-SUM(C52:L52)/C13,"-")</f>
        <v>0</v>
      </c>
      <c r="M68" s="268">
        <f>IFERROR(-SUM(C52:M52)/C13,"-")</f>
        <v>0</v>
      </c>
      <c r="N68" s="269">
        <f>IFERROR(-N52/C13,"-")</f>
        <v>0</v>
      </c>
    </row>
    <row r="69" ht="15.75" customHeight="1">
      <c r="A69" s="44"/>
      <c r="B69" s="229" t="s">
        <v>419</v>
      </c>
      <c r="C69" s="232">
        <f>SUM(C52)</f>
        <v>0</v>
      </c>
      <c r="D69" s="233">
        <f>SUM(C52:D52)</f>
        <v>0</v>
      </c>
      <c r="E69" s="233">
        <f>SUM(C52:E52)</f>
        <v>0</v>
      </c>
      <c r="F69" s="233">
        <f>SUM(C52:F52)</f>
        <v>0</v>
      </c>
      <c r="G69" s="233">
        <f>SUM(C52:G52)</f>
        <v>0</v>
      </c>
      <c r="H69" s="233">
        <f>SUM(C52:H52)</f>
        <v>0</v>
      </c>
      <c r="I69" s="233">
        <f>SUM(C52:I52)</f>
        <v>0</v>
      </c>
      <c r="J69" s="233">
        <f>SUM(C52:J52)</f>
        <v>0</v>
      </c>
      <c r="K69" s="233">
        <f>SUM(C52:K52)</f>
        <v>0</v>
      </c>
      <c r="L69" s="233">
        <f>SUM(C52:L52)</f>
        <v>0</v>
      </c>
      <c r="M69" s="233">
        <f>SUM(C52:M52)</f>
        <v>0</v>
      </c>
      <c r="N69" s="270">
        <f>N52</f>
        <v>0</v>
      </c>
    </row>
    <row r="70" ht="15.75" customHeight="1">
      <c r="A70" s="44"/>
      <c r="B70" s="4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</row>
    <row r="71" ht="15.75" customHeight="1">
      <c r="A71" s="44"/>
      <c r="B71" s="240" t="s">
        <v>420</v>
      </c>
      <c r="C71" s="243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5"/>
    </row>
    <row r="72" ht="15.75" customHeight="1">
      <c r="A72" s="44"/>
      <c r="B72" s="229" t="s">
        <v>61</v>
      </c>
      <c r="C72" s="264" t="str">
        <f>IFERROR(IRR(C59),"-")</f>
        <v>-</v>
      </c>
      <c r="D72" s="265" t="str">
        <f>IFERROR(IRR(C59:D59),"-")</f>
        <v>-</v>
      </c>
      <c r="E72" s="265" t="str">
        <f>IFERROR(IRR(C59:E59),"-")</f>
        <v>-</v>
      </c>
      <c r="F72" s="265" t="str">
        <f>IFERROR(IRR(C59:F59),"-")</f>
        <v>-</v>
      </c>
      <c r="G72" s="265" t="str">
        <f>IFERROR(IRR(C59:G59),"-")</f>
        <v>-</v>
      </c>
      <c r="H72" s="265" t="str">
        <f>IFERROR(IRR(C59:H59),"-")</f>
        <v>-</v>
      </c>
      <c r="I72" s="265" t="str">
        <f>IFERROR(IRR(C59:I59),"-")</f>
        <v>-</v>
      </c>
      <c r="J72" s="265" t="str">
        <f>IFERROR(IRR(C59:J59),"-")</f>
        <v>-</v>
      </c>
      <c r="K72" s="265" t="str">
        <f>IFERROR(IRR(C59:K59),"-")</f>
        <v>-</v>
      </c>
      <c r="L72" s="265" t="str">
        <f>IFERROR(IRR(C59:L59),"-")</f>
        <v>-</v>
      </c>
      <c r="M72" s="265" t="str">
        <f>IFERROR(IRR(C59:M59),"-")</f>
        <v>-</v>
      </c>
      <c r="N72" s="266" t="str">
        <f>IFERROR(IRR(C59:M59),"-")</f>
        <v>-</v>
      </c>
    </row>
    <row r="73" ht="15.75" customHeight="1">
      <c r="A73" s="44"/>
      <c r="B73" s="229" t="s">
        <v>62</v>
      </c>
      <c r="C73" s="271">
        <f>IFERROR(-SUM(C53)/C14,"-")</f>
        <v>0</v>
      </c>
      <c r="D73" s="272">
        <f>IFERROR(-SUM(C53:D53)/C14,"-")</f>
        <v>0</v>
      </c>
      <c r="E73" s="272">
        <f>IFERROR(-SUM(C53:E53)/C14,"-")</f>
        <v>0</v>
      </c>
      <c r="F73" s="272">
        <f>IFERROR(-SUM(C53:F53)/C14,"-")</f>
        <v>0</v>
      </c>
      <c r="G73" s="272">
        <f>IFERROR(-SUM(C53:G53)/C14,"-")</f>
        <v>0</v>
      </c>
      <c r="H73" s="272">
        <f>IFERROR(-SUM(C53:H53)/C14,"-")</f>
        <v>0</v>
      </c>
      <c r="I73" s="272">
        <f>IFERROR(-SUM(C53:I53)/C14,"-")</f>
        <v>0</v>
      </c>
      <c r="J73" s="272">
        <f>IFERROR(-SUM(C53:J53)/C14,"-")</f>
        <v>0</v>
      </c>
      <c r="K73" s="272">
        <f>IFERROR(-SUM(C53:K53)/C14,"-")</f>
        <v>0</v>
      </c>
      <c r="L73" s="272">
        <f>IFERROR(-SUM(C53:L53)/C14,"-")</f>
        <v>0</v>
      </c>
      <c r="M73" s="272">
        <f>IFERROR(-SUM(C53:M53)/C14,"-")</f>
        <v>0</v>
      </c>
      <c r="N73" s="273">
        <f>IFERROR(-N53/C14,"-")</f>
        <v>0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2">
    <mergeCell ref="A1:N1"/>
    <mergeCell ref="A2:N2"/>
  </mergeCells>
  <printOptions/>
  <pageMargins bottom="0.75" footer="0.0" header="0.0" left="0.7" right="0.7" top="0.75"/>
  <pageSetup orientation="landscape"/>
  <drawing r:id="rId1"/>
</worksheet>
</file>