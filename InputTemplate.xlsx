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Inputs" sheetId="2" r:id="rId6"/>
    <sheet state="visible" name="Notes" sheetId="3" r:id="rId7"/>
    <sheet state="visible" name="Monthly CF" sheetId="4" r:id="rId8"/>
    <sheet state="visible" name="Quarterly CF" sheetId="5" r:id="rId9"/>
    <sheet state="visible" name="Annual CF" sheetId="6" r:id="rId10"/>
    <sheet state="visible" name="Equity Waterfall" sheetId="7" r:id="rId11"/>
  </sheets>
  <definedNames/>
  <calcPr/>
</workbook>
</file>

<file path=xl/sharedStrings.xml><?xml version="1.0" encoding="utf-8"?>
<sst xmlns="http://schemas.openxmlformats.org/spreadsheetml/2006/main" count="574" uniqueCount="405">
  <si>
    <t>INVESTMENT SUMMARY</t>
  </si>
  <si>
    <t>DEAL OVERVIEW</t>
  </si>
  <si>
    <t>WATERFALL RETURN</t>
  </si>
  <si>
    <t xml:space="preserve">  Purchase Price</t>
  </si>
  <si>
    <t>LP (Capital Partner)</t>
  </si>
  <si>
    <t xml:space="preserve">  Number of Units</t>
  </si>
  <si>
    <t xml:space="preserve">  IRR</t>
  </si>
  <si>
    <t xml:space="preserve">  Total Equity Required</t>
  </si>
  <si>
    <t xml:space="preserve">  Equity Multiple</t>
  </si>
  <si>
    <t xml:space="preserve">  Total Debt (Acquisition)</t>
  </si>
  <si>
    <t xml:space="preserve">  Total Distributions</t>
  </si>
  <si>
    <t xml:space="preserve">  LTV</t>
  </si>
  <si>
    <t xml:space="preserve">  Equity Invested</t>
  </si>
  <si>
    <t xml:space="preserve">  Price Per Unit</t>
  </si>
  <si>
    <t>GP (Manager)</t>
  </si>
  <si>
    <t xml:space="preserve">  Year 1 Cap Rate</t>
  </si>
  <si>
    <t xml:space="preserve">  Hold Period</t>
  </si>
  <si>
    <t xml:space="preserve">  Refi Year</t>
  </si>
  <si>
    <t xml:space="preserve">  Exit Cap Rate</t>
  </si>
  <si>
    <t>SOURCES &amp; USES</t>
  </si>
  <si>
    <t>KEY PERFORMANCE METRICS</t>
  </si>
  <si>
    <t xml:space="preserve">  Year 1 NOI</t>
  </si>
  <si>
    <t xml:space="preserve">  Closing Costs</t>
  </si>
  <si>
    <t xml:space="preserve">  Year 1 DSCR</t>
  </si>
  <si>
    <t xml:space="preserve">  Due Diligence</t>
  </si>
  <si>
    <t xml:space="preserve">  Year 1 Cash-on-Cash</t>
  </si>
  <si>
    <t xml:space="preserve">  Loan Origination</t>
  </si>
  <si>
    <t xml:space="preserve">  Immediate Repairs</t>
  </si>
  <si>
    <t xml:space="preserve">  10-Year Total NOI</t>
  </si>
  <si>
    <t xml:space="preserve">  TOTAL USES</t>
  </si>
  <si>
    <t xml:space="preserve">  10-Year Total CFAD</t>
  </si>
  <si>
    <t>Funded By</t>
  </si>
  <si>
    <t xml:space="preserve">  Exit Selling Price</t>
  </si>
  <si>
    <t xml:space="preserve">  Seller Finance</t>
  </si>
  <si>
    <t xml:space="preserve">  Net Sale Proceeds</t>
  </si>
  <si>
    <t xml:space="preserve">  Bank Loan</t>
  </si>
  <si>
    <t>Feasibility Checks</t>
  </si>
  <si>
    <t xml:space="preserve">  Equity</t>
  </si>
  <si>
    <t xml:space="preserve">  Year 1 DSCR ≥ 1.25x?</t>
  </si>
  <si>
    <t xml:space="preserve">  Year 1 CF &gt; $0?</t>
  </si>
  <si>
    <t>10-YEAR ANNUAL SNAPSHOT</t>
  </si>
  <si>
    <t>Metric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</si>
  <si>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</si>
  <si>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</si>
  <si>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</si>
  <si>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</si>
  <si>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</si>
  <si>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</si>
  <si>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</si>
  <si>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</si>
  <si>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</si>
  <si>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</si>
  <si>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 xml:space="preserve">  NOI</t>
  </si>
  <si>
    <t xml:space="preserve">  CF Before Debt</t>
  </si>
  <si>
    <t xml:space="preserve">  CF After Debt</t>
  </si>
  <si>
    <t xml:space="preserve">  DSCR</t>
  </si>
  <si>
    <t xml:space="preserve">  LP Distributions</t>
  </si>
  <si>
    <t xml:space="preserve">  GP Distributions</t>
  </si>
  <si>
    <t xml:space="preserve">  Cumulative CF</t>
  </si>
  <si>
    <t>PROJECT-LEVEL RETURNS</t>
  </si>
  <si>
    <t>FINANCING SUMMARY</t>
  </si>
  <si>
    <t xml:space="preserve">  Project IRR</t>
  </si>
  <si>
    <t xml:space="preserve">  Project Equity Multiple</t>
  </si>
  <si>
    <t xml:space="preserve">    Rate / Amort / Balloon</t>
  </si>
  <si>
    <t xml:space="preserve">  Total Distributable Cash</t>
  </si>
  <si>
    <t xml:space="preserve">  Total LP Distributions</t>
  </si>
  <si>
    <t xml:space="preserve">  Total GP Distributions</t>
  </si>
  <si>
    <t xml:space="preserve">  Refi Loan (Year 6)</t>
  </si>
  <si>
    <t xml:space="preserve">    Rate / Amort / Term</t>
  </si>
  <si>
    <t>MODEL NOTES &amp; ASSUMPTIONS</t>
  </si>
  <si>
    <t>• Revenue and expenses grow annually at rates defined in the Inputs sheet; Year 1 figures are based on T-12 proforma</t>
  </si>
  <si>
    <t>• Seller Finance and Bank Loan fund at acquisition; Refinance replaces Bank Loan at the designated Refi Year</t>
  </si>
  <si>
    <t>• Capital expenditures: Year 1 uses dedicated CapEx input; Years 2-5 and 6-10 use separate annual assumptions</t>
  </si>
  <si>
    <t>• DSCR = NOI ÷ Total Debt Service (absolute value); target ≥ 1.25x for bankability</t>
  </si>
  <si>
    <t>• Net Sale Proceeds = Selling Price − Selling Costs at exit; Sale Year NOI capitalized at Exit Cap Rate</t>
  </si>
  <si>
    <t>• All green values are formula-linked to Inputs, Monthly CF, Annual CF, or Equity Waterfall — change inputs to rerun</t>
  </si>
  <si>
    <t>COMMERCIAL REAL ESTATE UNDERWRITING MODEL</t>
  </si>
  <si>
    <t>INPUT ASSUMPTIONS  |  All blue cells are inputs</t>
  </si>
  <si>
    <t>SECTION 1  ·  PROPERTY INFORMATION</t>
  </si>
  <si>
    <t>Property Name</t>
  </si>
  <si>
    <t>Property Type</t>
  </si>
  <si>
    <t>Address</t>
  </si>
  <si>
    <t>City / State</t>
  </si>
  <si>
    <t>Number of Units</t>
  </si>
  <si>
    <t>Purchase Price</t>
  </si>
  <si>
    <t>Amount ($)</t>
  </si>
  <si>
    <t>Down Payment (%)</t>
  </si>
  <si>
    <t>Due Diligence Costs (%)</t>
  </si>
  <si>
    <t>Loan Origination Costs (%)</t>
  </si>
  <si>
    <t>Purchase Date</t>
  </si>
  <si>
    <t>End Year</t>
  </si>
  <si>
    <t>Refi Year</t>
  </si>
  <si>
    <t>SECTION 2  ·  REVENUE ASSUMPTIONS</t>
  </si>
  <si>
    <t>T12</t>
  </si>
  <si>
    <t>% Change</t>
  </si>
  <si>
    <t>Proforma Y-1</t>
  </si>
  <si>
    <t>Enter monthly T12 averages; model annualizes and projects forward</t>
  </si>
  <si>
    <t xml:space="preserve">  Gross Potential Rent</t>
  </si>
  <si>
    <t xml:space="preserve">  Vacancy (%)</t>
  </si>
  <si>
    <t xml:space="preserve">  Credit Loss (%)</t>
  </si>
  <si>
    <t xml:space="preserve">  Other Income – Parking</t>
  </si>
  <si>
    <t xml:space="preserve">  Other Income – Laundry </t>
  </si>
  <si>
    <t xml:space="preserve">  Other Income – Misc</t>
  </si>
  <si>
    <t xml:space="preserve">  Other Income 4 </t>
  </si>
  <si>
    <t xml:space="preserve">  Other Income 5 </t>
  </si>
  <si>
    <t xml:space="preserve">  Annual Revenue Growth Rate</t>
  </si>
  <si>
    <t xml:space="preserve">  Revenue Start Month</t>
  </si>
  <si>
    <t>SECTION 3  ·  EXPENSE ASSUMPTIONS</t>
  </si>
  <si>
    <t xml:space="preserve">  Property Taxes</t>
  </si>
  <si>
    <t xml:space="preserve">  Insurance</t>
  </si>
  <si>
    <t xml:space="preserve">  Property Management Fee (%EGI)</t>
  </si>
  <si>
    <t xml:space="preserve">  Repairs &amp; Maintenance</t>
  </si>
  <si>
    <t xml:space="preserve">  Utilities</t>
  </si>
  <si>
    <t xml:space="preserve">  Landscaping / Janitorial</t>
  </si>
  <si>
    <t xml:space="preserve">  Admin &amp; Marketing</t>
  </si>
  <si>
    <t xml:space="preserve">  Reserves for Replacement</t>
  </si>
  <si>
    <t xml:space="preserve">  Other Expenses</t>
  </si>
  <si>
    <t xml:space="preserve">  Pest Control</t>
  </si>
  <si>
    <t xml:space="preserve">  Security / Access Control</t>
  </si>
  <si>
    <t xml:space="preserve">  Trash Removal</t>
  </si>
  <si>
    <t xml:space="preserve">  Legal &amp; Professional</t>
  </si>
  <si>
    <t xml:space="preserve">  Turnover / Make-Ready</t>
  </si>
  <si>
    <t xml:space="preserve">  Permits &amp; Licenses</t>
  </si>
  <si>
    <t xml:space="preserve">  Annual Expense Growth Rate</t>
  </si>
  <si>
    <t xml:space="preserve">  Expense Start Month</t>
  </si>
  <si>
    <t>SECTION 4  ·  CAPITAL EXPENDITURES</t>
  </si>
  <si>
    <t>Amount</t>
  </si>
  <si>
    <t>Month</t>
  </si>
  <si>
    <t xml:space="preserve">  CapEx Item 1</t>
  </si>
  <si>
    <t xml:space="preserve">  CapEx Item 2</t>
  </si>
  <si>
    <t xml:space="preserve">  CapEx Item 3</t>
  </si>
  <si>
    <t xml:space="preserve">  CapEx Item 4</t>
  </si>
  <si>
    <t xml:space="preserve">  CapEx Item 5</t>
  </si>
  <si>
    <t xml:space="preserve">  CapEx Item 6</t>
  </si>
  <si>
    <t>SECTION 5  ·  FUNDING &amp; DEBT ASSUMPTIONS</t>
  </si>
  <si>
    <t>Acquisition - Seller Finance</t>
  </si>
  <si>
    <t xml:space="preserve">  Seller Finance Amount</t>
  </si>
  <si>
    <t xml:space="preserve">  Seller Finance Interest Rate</t>
  </si>
  <si>
    <t xml:space="preserve">  Seller Finance Amortization (Yrs)</t>
  </si>
  <si>
    <t xml:space="preserve">  Seller Finance Balloon at EOY</t>
  </si>
  <si>
    <t xml:space="preserve">  Seller Finance IO Period (Mos)</t>
  </si>
  <si>
    <t xml:space="preserve">  Seller Finance Origination Month</t>
  </si>
  <si>
    <t xml:space="preserve">  Seller Finance PMT Start Month</t>
  </si>
  <si>
    <t>Acquisition - Bank Loan</t>
  </si>
  <si>
    <t xml:space="preserve"> Bank Loan Amount</t>
  </si>
  <si>
    <t xml:space="preserve">  Bank Loan Interest Rate</t>
  </si>
  <si>
    <t xml:space="preserve">  Bank Loan Amortization (Yrs)</t>
  </si>
  <si>
    <t xml:space="preserve">  Bank Loan Balloon at EOY</t>
  </si>
  <si>
    <t xml:space="preserve">  Bank Loan IO Period (Mos)</t>
  </si>
  <si>
    <t xml:space="preserve">  Bank Loan Origination Month</t>
  </si>
  <si>
    <t xml:space="preserve">  Bank Loan PMT Start Month</t>
  </si>
  <si>
    <t>Refinance Loan (Replaces Bank Loan)</t>
  </si>
  <si>
    <t xml:space="preserve">  Refi Cap Rate (%)</t>
  </si>
  <si>
    <t xml:space="preserve">  Refi LTV (%)</t>
  </si>
  <si>
    <t xml:space="preserve">  Refi Closing Cost (%)</t>
  </si>
  <si>
    <t xml:space="preserve">  Refi Property Value</t>
  </si>
  <si>
    <t xml:space="preserve">  Refi Closing Costs ($)</t>
  </si>
  <si>
    <t xml:space="preserve">  Refi Loan Amount</t>
  </si>
  <si>
    <t xml:space="preserve">  Refi Interest Rate</t>
  </si>
  <si>
    <t xml:space="preserve">  Refi Amortization (Yrs)</t>
  </si>
  <si>
    <t xml:space="preserve">  Refi Term (Yrs)</t>
  </si>
  <si>
    <t xml:space="preserve">  Refi IO Period (Mos)</t>
  </si>
  <si>
    <t>Sources &amp; Uses</t>
  </si>
  <si>
    <t>Uses</t>
  </si>
  <si>
    <t>Total Cost</t>
  </si>
  <si>
    <t>Seller Finance</t>
  </si>
  <si>
    <t>Bank Loan</t>
  </si>
  <si>
    <t>Equity</t>
  </si>
  <si>
    <t xml:space="preserve">  Acquisition Fee</t>
  </si>
  <si>
    <t xml:space="preserve">  Due Diligence Costs</t>
  </si>
  <si>
    <t xml:space="preserve">  Loan Origination Costs</t>
  </si>
  <si>
    <t xml:space="preserve">  Immediate Repairs / Reserves</t>
  </si>
  <si>
    <t xml:space="preserve">  TOTAL</t>
  </si>
  <si>
    <t>SECTION 6  ·  ACQUISITION &amp; EQUITY</t>
  </si>
  <si>
    <t xml:space="preserve">  Equity Contribution</t>
  </si>
  <si>
    <t xml:space="preserve">  Capital Partner Contribution ($)</t>
  </si>
  <si>
    <t xml:space="preserve">  Manager Contribution ($)</t>
  </si>
  <si>
    <t xml:space="preserve">  Capital Partner Share (%)</t>
  </si>
  <si>
    <t xml:space="preserve">  Manager Share (%)</t>
  </si>
  <si>
    <t xml:space="preserve">  Asset Management Fee (% EGI)</t>
  </si>
  <si>
    <t xml:space="preserve">  Acquisition Fee (% Purchase)</t>
  </si>
  <si>
    <t>SECTION 7  ·  DISPOSITION / EXIT</t>
  </si>
  <si>
    <t xml:space="preserve">  Exit Cap Rate (%)</t>
  </si>
  <si>
    <t xml:space="preserve">  Selling Cost (% of Sale Price)</t>
  </si>
  <si>
    <t>Calculated Exit Values</t>
  </si>
  <si>
    <t xml:space="preserve">  Selling Price</t>
  </si>
  <si>
    <t xml:space="preserve">  Selling Costs ($)</t>
  </si>
  <si>
    <t>SECTION 8  ·  EQUITY WATERFALL</t>
  </si>
  <si>
    <t xml:space="preserve">  Preferred Return (Annual)</t>
  </si>
  <si>
    <t xml:space="preserve">  GP Catch-Up Share (%)</t>
  </si>
  <si>
    <t xml:space="preserve">  GP Catch-Up Target (%)</t>
  </si>
  <si>
    <t xml:space="preserve">  IRR Hurdle</t>
  </si>
  <si>
    <t>Tier Distribution Splits</t>
  </si>
  <si>
    <t>LP %</t>
  </si>
  <si>
    <t>GP %</t>
  </si>
  <si>
    <t xml:space="preserve">  1. Return of Capital</t>
  </si>
  <si>
    <t xml:space="preserve">  2. Preferred Return</t>
  </si>
  <si>
    <t xml:space="preserve">  3. GP Catch-Up</t>
  </si>
  <si>
    <t xml:space="preserve">  4. Residual (below IRR hurdle)</t>
  </si>
  <si>
    <t xml:space="preserve">  5. Residual (above IRR hurdle)</t>
  </si>
  <si>
    <t>COLOR LEGEND</t>
  </si>
  <si>
    <t>Blue = Input / Assumption (edit these)</t>
  </si>
  <si>
    <t>Green = Linked from another sheet</t>
  </si>
  <si>
    <t>Black = Calculated formula (do not edit)</t>
  </si>
  <si>
    <t>NOTES FOR PEDRO – What Data Does the Client Give Us?</t>
  </si>
  <si>
    <t>Hey Pedro! This document explains what information we need from the client so we can plug it into our model.</t>
  </si>
  <si>
    <t>The "Inputs" sheet is where ALL the client data goes. Think of it as the control panel — everything we type there drives the entire model.</t>
  </si>
  <si>
    <t>Blue cells = things we type in (client data or our assumptions).  Black cells = the model calculates automatically.  Green cells = pulled from other sheets.</t>
  </si>
  <si>
    <t>Below is a section-by-section breakdown of what the client provides and where it goes.</t>
  </si>
  <si>
    <t>═══════════════════════════════════════════════════════════════════</t>
  </si>
  <si>
    <t>SECTION 1 · PROPERTY INFORMATION  (Inputs sheet, rows 5–16)</t>
  </si>
  <si>
    <t>This is basic info about the property the client wants to buy. Ask the client for:</t>
  </si>
  <si>
    <t xml:space="preserve">   •  Property Name (cell C5) — What is the property called? Example: "High Land Park"</t>
  </si>
  <si>
    <t xml:space="preserve">   •  Property Type (cell C6) — What kind of property? Example: "RV Park", "Apartment", "Retail"</t>
  </si>
  <si>
    <t xml:space="preserve">   •  Address (cell C7) — Street address of the property</t>
  </si>
  <si>
    <t xml:space="preserve">   •  City / State (cell C8) — Example: "Dallas, TX"</t>
  </si>
  <si>
    <t xml:space="preserve">   •  Number of Units (cell C9) — How many units (apartments, RV pads, etc.) does the property have?</t>
  </si>
  <si>
    <t xml:space="preserve">   •  Purchase Price (cell C10) — How much is the client paying for the property? This is the big number. Example: $1,100,000</t>
  </si>
  <si>
    <t xml:space="preserve">   •  Down Payment % (cell C11) — What percentage of the price is cash upfront? Example: 20%</t>
  </si>
  <si>
    <t xml:space="preserve">   •  Due Diligence Costs (cell D12) — Dollar amount spent on inspections, appraisals, etc. before buying</t>
  </si>
  <si>
    <t xml:space="preserve">   •  Loan Origination Costs % (cell C13) — Bank fee for setting up the loan. Example: 1%</t>
  </si>
  <si>
    <t xml:space="preserve">   •  Purchase Date (cell C14) — When is the deal closing? Enter as a date (e.g., 01/01/2025)</t>
  </si>
  <si>
    <t xml:space="preserve">   •  End Year (cell C15) — How many years will we hold this property? Example: 10 (meaning we sell after 10 years)</t>
  </si>
  <si>
    <t xml:space="preserve">   •  Refi Year (cell C16) — In which year do we plan to refinance the loan? Example: Year 5</t>
  </si>
  <si>
    <t>SECTION 2 · REVENUE ASSUMPTIONS  (Inputs sheet, rows 20–29)</t>
  </si>
  <si>
    <t>This is about money coming IN — how much rent and other income the property earns.</t>
  </si>
  <si>
    <t>The client gives us a "T12" which means the last 12 months of actual income/expense data. These are YEARLY totals. Our cash flow (CF) sheets divide by 12 to get monthly figures.</t>
  </si>
  <si>
    <t xml:space="preserve">   •  Gross Potential Rent (cell C20) — Yearly rent income if every unit were occupied and everyone paid. Example: $175,000/year</t>
  </si>
  <si>
    <t xml:space="preserve">   •  Vacancy % (cell C21) — What % of units are typically empty? Example: 2.5% means about 1 out of 40 units sits vacant</t>
  </si>
  <si>
    <t xml:space="preserve">   •  Credit Loss % (cell C22) — What % of tenants don't pay their rent? Example: 2.0%</t>
  </si>
  <si>
    <t xml:space="preserve">   •  Other Income (cells C23–C27) — Any extra income like parking fees, laundry machines, misc fees. Enter yearly amounts.</t>
  </si>
  <si>
    <t>SECTION 3 · EXPENSE ASSUMPTIONS  (Inputs sheet, rows 32–48)</t>
  </si>
  <si>
    <t>This is about money going OUT — what it costs to run the property each month.</t>
  </si>
  <si>
    <t>Again, the client's T12 report gives us these. Enter yearly totals (the CF sheets divide by 12 for monthly):</t>
  </si>
  <si>
    <t xml:space="preserve">   •  Property Taxes (cell C32) — Yearly property tax amount</t>
  </si>
  <si>
    <t xml:space="preserve">   •  Insurance (cell C33) — Yearly insurance premium</t>
  </si>
  <si>
    <t xml:space="preserve">   •  Property Management Fee (cell C34) — As a % of income collected (EGI). Example: 8% means the manager gets 8 cents of every dollar</t>
  </si>
  <si>
    <t xml:space="preserve">   •  Repairs &amp; Maintenance (cell C35) — Yearly amount for fixing things</t>
  </si>
  <si>
    <t xml:space="preserve">   •  Utilities (cell C36) — Electric, water, gas, etc.</t>
  </si>
  <si>
    <t xml:space="preserve">   •  Landscaping / Janitorial (cell C37) — Groundskeeping and cleaning costs</t>
  </si>
  <si>
    <t xml:space="preserve">   •  Admin &amp; Marketing (cell C38) — Office costs, advertising to fill vacancies</t>
  </si>
  <si>
    <t xml:space="preserve">   •  Reserves for Replacement (cell C39) — Money set aside for big future repairs (roof, HVAC, etc.)</t>
  </si>
  <si>
    <t xml:space="preserve">   •  Other Expenses (cells C40–C46) — Pest control, security, trash, legal fees, turnover costs, permits, etc.</t>
  </si>
  <si>
    <t>SECTION 4 · CAPITAL EXPENDITURES  (Inputs sheet, rows 51–56)</t>
  </si>
  <si>
    <t>These are big one-time improvement projects (not regular repairs). Think renovations, upgrades, new equipment.</t>
  </si>
  <si>
    <t>Ask the client: "What renovation or improvement projects are planned, how much will each cost, and when?"</t>
  </si>
  <si>
    <t xml:space="preserve">   •  CapEx Item 1–6 (cells B51:B56) — Description of each project. Example: "Unit Renovations", "New Roof"</t>
  </si>
  <si>
    <t xml:space="preserve">   •  Amount (cells C51:C56) — How much does each project cost? Example: $10,000</t>
  </si>
  <si>
    <t xml:space="preserve">   •  Month (cells D51:D56) — Which month should we schedule this expense? Month 1 = first month after purchase</t>
  </si>
  <si>
    <t>SECTION 5 · FUNDING &amp; DEBT ASSUMPTIONS  (Inputs sheet, rows 59–88)</t>
  </si>
  <si>
    <t>This is about HOW the purchase is being paid for — the loans and their terms.</t>
  </si>
  <si>
    <t>Most deals have two parts: a Seller Finance loan (seller lends part) and a Bank Loan (bank lends the rest).</t>
  </si>
  <si>
    <t xml:space="preserve">   SELLER FINANCE (rows 60–66) — When the seller agrees to lend part of the purchase price:</t>
  </si>
  <si>
    <t xml:space="preserve">   •  Interest Rate (cell C61) — What interest rate does the seller charge? Example: 5%</t>
  </si>
  <si>
    <t xml:space="preserve">   •  Amortization (cell C62) — Over how many years is the loan spread out? Example: 25 years</t>
  </si>
  <si>
    <t xml:space="preserve">   •  IO Period in Months (cell C64) — "Interest Only" period = months where you only pay interest, not principal. 0 = pay both right away</t>
  </si>
  <si>
    <t xml:space="preserve">   •  Origination Month (cell C65) — Which month does this loan start? Usually month 1</t>
  </si>
  <si>
    <t xml:space="preserve">   •  PMT Start Month (cell C66) — Which month do payments begin? Sometimes there's a grace period</t>
  </si>
  <si>
    <t xml:space="preserve">   BANK LOAN (rows 69–75) — Same exact fields as above, but for the bank's portion:</t>
  </si>
  <si>
    <t xml:space="preserve">   •  Interest Rate (cell C70), Amortization (cell C71), IO Period (cell C73), Origination Month (cell C74), PMT Start (cell C75)</t>
  </si>
  <si>
    <t xml:space="preserve">   REFINANCE LOAN (rows 78–88) — If we plan to refinance (get a new, better loan) in a few years:</t>
  </si>
  <si>
    <t xml:space="preserve">   •  Refi Cap Rate % (cell C78) — Used to estimate what the property will be worth at refi time</t>
  </si>
  <si>
    <t xml:space="preserve">   •  Refi LTV % (cell C79) — "Loan-to-Value" = what % of the property value the bank will lend. Example: 75%</t>
  </si>
  <si>
    <t xml:space="preserve">   •  Refi Closing Cost % (cell C80), Refi Interest Rate (cell C85), Refi Amortization (cell C86), Refi Term (cell C87), Refi IO Period (cell C88)</t>
  </si>
  <si>
    <t>SECTION 6 · ACQUISITION &amp; EQUITY  (Inputs sheet, rows 102–110)</t>
  </si>
  <si>
    <t>This is about WHO is putting up the cash (equity) to buy the property.</t>
  </si>
  <si>
    <t>Usually there's a Capital Partner (investor with money) and a Manager (person running the deal).</t>
  </si>
  <si>
    <t>Together they cover the cash needed beyond the loans.</t>
  </si>
  <si>
    <t xml:space="preserve">   •  Closing Costs % (cell D102) — As a % of purchase price. Example: 2% (dollar amount in C102 is auto-calculated)</t>
  </si>
  <si>
    <t xml:space="preserve">   •  Immediate Repairs / Reserves (cell C103) — Cash set aside on day one for urgent fixes. Example: $5,000</t>
  </si>
  <si>
    <t xml:space="preserve">   •  Capital Partner Contribution (cell C105) — How much cash is the investor putting in? Example: $85,000</t>
  </si>
  <si>
    <t xml:space="preserve">   •  Manager Contribution (cell C106) — Auto-calculated = Total equity needed minus Capital Partner's share</t>
  </si>
  <si>
    <t xml:space="preserve">   •  Ownership %s (cells C107:C108) — Auto-calculated based on who contributed how much</t>
  </si>
  <si>
    <t xml:space="preserve">   •  Asset Management Fee (cell C109) — Yearly fee paid to the manager as a % of income (EGI). Example: 2%</t>
  </si>
  <si>
    <t xml:space="preserve">   •  Acquisition Fee (cell C110) — One-time fee to the manager for finding the deal. As a % of purchase price. Example: 1%</t>
  </si>
  <si>
    <t>SECTION 7 · DISPOSITION / EXIT  (Inputs sheet, rows 113–114)</t>
  </si>
  <si>
    <t>This is about SELLING the property at the end of the hold period. Only two inputs here:</t>
  </si>
  <si>
    <t xml:space="preserve">   •  Exit Cap Rate % (cell C113) — Used to estimate the future sale price. A lower cap rate = higher sale price. Example: 9%</t>
  </si>
  <si>
    <t xml:space="preserve">   •  Selling Cost % (cell C114) — Broker fees and closing costs when selling. Example: 3%</t>
  </si>
  <si>
    <t>SECTION 8 · EQUITY WATERFALL  (Inputs sheet, rows 123–133)</t>
  </si>
  <si>
    <t>This decides HOW PROFITS ARE SPLIT between the Capital Partner (LP) and the Manager (GP) when money comes back.</t>
  </si>
  <si>
    <t>Think of it like a waterfall — money flows through each tier in order. Only after one tier is full does money flow to the next.</t>
  </si>
  <si>
    <t xml:space="preserve">   •  Preferred Return (cell C123) — The LP gets this % return on their money FIRST, before the GP gets anything. Example: 8%</t>
  </si>
  <si>
    <t xml:space="preserve">   •  GP Catch-Up Share (cell C124) — After LP gets their preferred return, the GP "catches up". This % goes to GP. Example: 50%</t>
  </si>
  <si>
    <t xml:space="preserve">   •  GP Catch-Up Target (cell C125) — GP catches up until they've received this % of total profits so far. Example: 20%</t>
  </si>
  <si>
    <t xml:space="preserve">   •  IRR Hurdle (cell C126) — After catch-up, profits split one way BELOW this return rate, and another way ABOVE it. Example: 15%</t>
  </si>
  <si>
    <t xml:space="preserve">   TIER SPLITS (rows 129–133) — LP% and GP% for each tier of profit distribution:</t>
  </si>
  <si>
    <t xml:space="preserve">   •  Tier 1: Return of Capital (cell C129) — LP gets 100%, GP gets 0%. Investor gets their original money back first.</t>
  </si>
  <si>
    <t xml:space="preserve">   •  Tier 2: Preferred Return (cell C130) — LP gets 100%, GP gets 0%. Investor earns their guaranteed return.</t>
  </si>
  <si>
    <t xml:space="preserve">   •  Tier 3: GP Catch-Up (cell C131) — Auto-calculated from GP Catch-Up Share above. GP now gets their share.</t>
  </si>
  <si>
    <t xml:space="preserve">   •  Tier 4: Residual below IRR hurdle (cell C132) — Split remaining profits below the hurdle. Example: LP 70% / GP 30%</t>
  </si>
  <si>
    <t xml:space="preserve">   •  Tier 5: Residual above IRR hurdle (cell C133) — Split profits above the hurdle. Example: LP 50% / GP 50%</t>
  </si>
  <si>
    <t>QUICK SUMMARY — What to Ask the Client</t>
  </si>
  <si>
    <t>1.  Property details — name, type, address, units, purchase price, closing date</t>
  </si>
  <si>
    <t>2.  T12 (Trailing 12 months) report — gives us actual rent income and operating expenses from the past year</t>
  </si>
  <si>
    <t>3.  Loan terms — interest rates, amortization period, balloon dates, for both seller finance and bank loan</t>
  </si>
  <si>
    <t>4.  Renovation / CapEx plan — what improvements are planned, cost of each, and timing</t>
  </si>
  <si>
    <t>5.  Equity structure — how much is the Capital Partner investing vs. the Manager, and any fees</t>
  </si>
  <si>
    <t>6.  Exit plan — expected cap rate at sale and estimated selling costs</t>
  </si>
  <si>
    <t>7.  Waterfall terms — preferred return %, catch-up terms, profit split percentages for each tier</t>
  </si>
  <si>
    <t>MONTHLY CASHFLOW MODEL</t>
  </si>
  <si>
    <t>All values driven by Inputs sheet  |  Blue = Input  |  Green = Linked  |  Black = Formula</t>
  </si>
  <si>
    <t>Month No.</t>
  </si>
  <si>
    <t>Quarter No.</t>
  </si>
  <si>
    <t>Year No.</t>
  </si>
  <si>
    <t>REVENUE</t>
  </si>
  <si>
    <t xml:space="preserve">  Less: Vacancy</t>
  </si>
  <si>
    <t xml:space="preserve">  Less: Credit Loss</t>
  </si>
  <si>
    <t xml:space="preserve">  Effective Gross Income (EGI)</t>
  </si>
  <si>
    <t xml:space="preserve">  TOTAL REVENUE</t>
  </si>
  <si>
    <t>OPERATING EXPENSES</t>
  </si>
  <si>
    <t xml:space="preserve">  TOTAL OPERATING EXPENSES</t>
  </si>
  <si>
    <t xml:space="preserve">  NET OPERATING INCOME (NOI)</t>
  </si>
  <si>
    <t>CAPITAL EXPENDITURES</t>
  </si>
  <si>
    <t xml:space="preserve">  Capital Expenditures (CapEx)</t>
  </si>
  <si>
    <t>ACQUISITION</t>
  </si>
  <si>
    <t xml:space="preserve">  TOTAL ACQUISITION COSTS</t>
  </si>
  <si>
    <t>DISPOSITION / EXIT</t>
  </si>
  <si>
    <t xml:space="preserve">  Sale Proceeds</t>
  </si>
  <si>
    <t xml:space="preserve">  Selling Costs</t>
  </si>
  <si>
    <t xml:space="preserve">  NET SALE PROCEEDS</t>
  </si>
  <si>
    <t xml:space="preserve">  CASHFLOW BEFORE DEBT SERVICE</t>
  </si>
  <si>
    <t>DEBT SERVICE — SELLER FINANCE</t>
  </si>
  <si>
    <t xml:space="preserve">  Beginning Balance</t>
  </si>
  <si>
    <t xml:space="preserve">  Loan Funding</t>
  </si>
  <si>
    <t xml:space="preserve">  Interest Payment</t>
  </si>
  <si>
    <t xml:space="preserve">  Principal Payment</t>
  </si>
  <si>
    <t xml:space="preserve">  Loan Payoff</t>
  </si>
  <si>
    <t xml:space="preserve">  Ending Balance</t>
  </si>
  <si>
    <t xml:space="preserve">  Total Debt Service (SF)</t>
  </si>
  <si>
    <t>DEBT SERVICE — BANK LOAN</t>
  </si>
  <si>
    <t xml:space="preserve">  Loan Payoff / Refi Payoff</t>
  </si>
  <si>
    <t xml:space="preserve">  Total Debt Service (BL)</t>
  </si>
  <si>
    <t>DEBT SERVICE — REFINANCE LOAN</t>
  </si>
  <si>
    <t xml:space="preserve">  Total Debt Service (Refi)</t>
  </si>
  <si>
    <t xml:space="preserve">  Equity Contribution (Inflow)</t>
  </si>
  <si>
    <t xml:space="preserve">  Refi Proceeds (Net)</t>
  </si>
  <si>
    <t xml:space="preserve">  Loan Proceeds (Inflow)</t>
  </si>
  <si>
    <t xml:space="preserve">  TOTAL DEBT SERVICE</t>
  </si>
  <si>
    <t xml:space="preserve">  CASHFLOW AFTER DEBT SERVICE</t>
  </si>
  <si>
    <t xml:space="preserve">  Cumulative Cashflow</t>
  </si>
  <si>
    <t>MEMBER DISTRIBUTIONS</t>
  </si>
  <si>
    <t xml:space="preserve">  Less: Asset Management Fee</t>
  </si>
  <si>
    <t xml:space="preserve">  Cash Available for Members</t>
  </si>
  <si>
    <t xml:space="preserve">  Return of Capital (Capital Partner)</t>
  </si>
  <si>
    <t xml:space="preserve">  TOTAL DISTRIBUTIONS</t>
  </si>
  <si>
    <t>CUMULATIVE METRICS</t>
  </si>
  <si>
    <t xml:space="preserve">  Cumulative NOI</t>
  </si>
  <si>
    <t xml:space="preserve">  Cumulative CF After Debt</t>
  </si>
  <si>
    <t xml:space="preserve">  DSCR (NOI / Total DS)</t>
  </si>
  <si>
    <t>QUARTERLY CASHFLOW SUMMARY</t>
  </si>
  <si>
    <t>Aggregated from Monthly CF  |  Q1 = Months 1-3, Q2 = Months 4-6, etc.</t>
  </si>
  <si>
    <t>Line Item</t>
  </si>
  <si>
    <t xml:space="preserve">  Capital Expenditures</t>
  </si>
  <si>
    <t xml:space="preserve">  Acquisition Costs (Yr 1 only)</t>
  </si>
  <si>
    <t xml:space="preserve">  DSCR (NOI / Debt Service)</t>
  </si>
  <si>
    <t>ANNUAL CASHFLOW SUMMARY</t>
  </si>
  <si>
    <t>Aggregated from Monthly CF  |  All formulas reference Monthly CF sheet</t>
  </si>
  <si>
    <t xml:space="preserve">  Asset Mgmt Fee</t>
  </si>
  <si>
    <t>EQUITY WATERFALL</t>
  </si>
  <si>
    <t>Preferred Return + GP Catch-Up + Promote  |  Linked to Inputs &amp; Annual CF</t>
  </si>
  <si>
    <t>Year 0</t>
  </si>
  <si>
    <t>Total</t>
  </si>
  <si>
    <t>PROJECT-LEVEL CASH FLOWS</t>
  </si>
  <si>
    <t xml:space="preserve">  Total Equity Invested</t>
  </si>
  <si>
    <t xml:space="preserve">  CF After Debt Service (from Annual CF)</t>
  </si>
  <si>
    <t xml:space="preserve">  Additional Capital Events (if any)</t>
  </si>
  <si>
    <t xml:space="preserve">  TOTAL DISTRIBUTABLE CASH</t>
  </si>
  <si>
    <t>EQUITY CONTRIBUTIONS</t>
  </si>
  <si>
    <t xml:space="preserve">  LP (Capital Partner) Contribution</t>
  </si>
  <si>
    <t xml:space="preserve">  GP (Manager) Contribution</t>
  </si>
  <si>
    <t xml:space="preserve">  TOTAL EQUITY INVESTED</t>
  </si>
  <si>
    <t xml:space="preserve">  LP Ownership %</t>
  </si>
  <si>
    <t xml:space="preserve">  GP Ownership %</t>
  </si>
  <si>
    <t>WATERFALL DISTRIBUTION</t>
  </si>
  <si>
    <t>Cash Available for Distribution</t>
  </si>
  <si>
    <t xml:space="preserve">  LP Unreturned Capital (BOY)</t>
  </si>
  <si>
    <t xml:space="preserve">  Return of Capital to LP</t>
  </si>
  <si>
    <t xml:space="preserve">  LP Unreturned Capital (EOY)</t>
  </si>
  <si>
    <t xml:space="preserve">  Remaining Cash After Tier 1</t>
  </si>
  <si>
    <t xml:space="preserve">  Accrued Preferred Return (BOY)</t>
  </si>
  <si>
    <t xml:space="preserve">  Preferred Return Accrual</t>
  </si>
  <si>
    <t xml:space="preserve">  Preferred Return Paid to LP</t>
  </si>
  <si>
    <t xml:space="preserve">  Accrued Preferred Return (EOY)</t>
  </si>
  <si>
    <t xml:space="preserve">  Remaining Cash After Tier 2</t>
  </si>
  <si>
    <t xml:space="preserve">  GP Catch-Up Amount</t>
  </si>
  <si>
    <t xml:space="preserve">  Catch-Up to LP</t>
  </si>
  <si>
    <t xml:space="preserve">  Catch-Up to GP</t>
  </si>
  <si>
    <t xml:space="preserve">  Remaining Cash After Tier 3</t>
  </si>
  <si>
    <t xml:space="preserve">  Remaining Cash After Tier 4</t>
  </si>
  <si>
    <t>DISTRIBUTION SUMMARY</t>
  </si>
  <si>
    <t xml:space="preserve">  Check (Dist. - Available = 0)</t>
  </si>
  <si>
    <t>RETURN METRICS</t>
  </si>
  <si>
    <t xml:space="preserve">  LP Cash Flows</t>
  </si>
  <si>
    <t xml:space="preserve">  GP Cash Flows</t>
  </si>
  <si>
    <t xml:space="preserve">  Project Cash Flows</t>
  </si>
  <si>
    <t>LP (Capital Partner) Returns</t>
  </si>
  <si>
    <t xml:space="preserve">  LP IRR</t>
  </si>
  <si>
    <t xml:space="preserve">  LP Equity Multiple</t>
  </si>
  <si>
    <t xml:space="preserve">  LP Total Distributions</t>
  </si>
  <si>
    <t>GP (Manager) Returns</t>
  </si>
  <si>
    <t xml:space="preserve">  GP IRR</t>
  </si>
  <si>
    <t xml:space="preserve">  GP Equity Multiple</t>
  </si>
  <si>
    <t xml:space="preserve">  GP Total Distributions</t>
  </si>
  <si>
    <t>Project-Level Returns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</si>
</sst>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&quot;$&quot;#,##0;\(&quot;$&quot;#,##0\);&quot;-&quot;"/>
    <numFmt numFmtId="165" formatCode="0.0%"/>
    <numFmt numFmtId="166" formatCode="0.00&quot;x&quot;"/>
    <numFmt numFmtId="167" formatCode="0\ &quot;Years&quot;"/>
    <numFmt numFmtId="168" formatCode="\$#,##0;&quot;($&quot;#,##0\);\-"/>
    <numFmt numFmtId="169" formatCode="&quot;$&quot;#,##0;&quot;($&quot;#,##0\);\-"/>
    <numFmt numFmtId="170" formatCode="mm/dd/yyyy"/>
    <numFmt numFmtId="171" formatCode="&quot;$&quot;#,##0"/>
    <numFmt numFmtId="172" formatCode="0.00%;\-0.00%;\-"/>
    <numFmt numFmtId="173" formatCode="&quot;$&quot;#,##0;\(&quot;$&quot;#,##0\);\-"/>
    <numFmt numFmtId="174" formatCode="#,##0;\(#,##0\);&quot;-&quot;"/>
    <numFmt numFmtId="175" formatCode="0.00\x;\-0.00\x;\-"/>
    <numFmt numFmtId="176" formatCode="&quot;Q&quot;0"/>
    <numFmt numFmtId="177" formatCode="0.00&quot;x&quot;;\-0.00&quot;x&quot;;&quot;-&quot;"/>
    <numFmt numFmtId="178" formatCode="&quot;Year &quot;0"/>
    <numFmt numFmtId="179" formatCode="&quot;$&quot;#,##0_);\(&quot;$&quot;#,##0\);&quot;-&quot;"/>
  </numFmts>
  <fonts count="24">
    <font>
      <sz val="11.0"/>
      <color theme="1"/>
      <name val="Calibri"/>
      <scheme val="minor"/>
    </font>
    <font>
      <b/>
      <sz val="16.0"/>
      <color rgb="FFFFFFFF"/>
      <name val="Garamond"/>
    </font>
    <font/>
    <font>
      <i/>
      <sz val="12.0"/>
      <color rgb="FFF0A500"/>
      <name val="Garamond"/>
    </font>
    <font>
      <b/>
      <sz val="12.0"/>
      <color rgb="FFFFFFFF"/>
      <name val="Garamond"/>
    </font>
    <font>
      <sz val="12.0"/>
      <color rgb="FF1F2D3D"/>
      <name val="Garamond"/>
    </font>
    <font>
      <sz val="12.0"/>
      <color rgb="FF008000"/>
      <name val="Garamond"/>
    </font>
    <font>
      <b/>
      <sz val="12.0"/>
      <color rgb="FF1F2D3D"/>
      <name val="Garamond"/>
    </font>
    <font>
      <b/>
      <sz val="14.0"/>
      <color rgb="FFFFFFFF"/>
      <name val="Garamond"/>
    </font>
    <font>
      <b/>
      <sz val="12.0"/>
      <color theme="1"/>
      <name val="Garamond"/>
    </font>
    <font>
      <i/>
      <sz val="11.0"/>
      <color rgb="FF5D6D7E"/>
      <name val="Garamond"/>
    </font>
    <font>
      <sz val="12.0"/>
      <color theme="1"/>
      <name val="Garamond"/>
    </font>
    <font>
      <sz val="12.0"/>
      <color rgb="FF000000"/>
      <name val="Garamond"/>
    </font>
    <font>
      <sz val="12.0"/>
      <color rgb="FF0000FF"/>
      <name val="Garamond"/>
    </font>
    <font>
      <i/>
      <sz val="12.0"/>
      <color rgb="FF7F8C8D"/>
      <name val="Garamond"/>
    </font>
    <font>
      <i/>
      <sz val="12.0"/>
      <color rgb="FF000000"/>
      <name val="Garamond"/>
    </font>
    <font>
      <b/>
      <sz val="12.0"/>
      <color rgb="FF000000"/>
      <name val="Garamond"/>
    </font>
    <font>
      <sz val="11.0"/>
      <color theme="1"/>
      <name val="Calibri"/>
    </font>
    <font>
      <b/>
      <sz val="16.0"/>
      <color rgb="FF2E6DA4"/>
      <name val="Garamond"/>
    </font>
    <font>
      <sz val="12.0"/>
      <color rgb="FFAAAAAA"/>
      <name val="Garamond"/>
    </font>
    <font>
      <b/>
      <sz val="14.0"/>
      <color rgb="FF2E6DA4"/>
      <name val="Garamond"/>
    </font>
    <font>
      <sz val="12.0"/>
      <color rgb="FFC0392B"/>
      <name val="Garamond"/>
    </font>
    <font>
      <b/>
      <sz val="14.0"/>
      <color rgb="FF2C3E50"/>
      <name val="Garamond"/>
    </font>
    <font>
      <sz val="12.0"/>
      <color rgb="FF7F8C8D"/>
      <name val="Garamond"/>
    </font>
  </fonts>
  <fills count="15">
    <fill>
      <patternFill patternType="none"/>
    </fill>
    <fill>
      <patternFill patternType="lightGray"/>
    </fill>
    <fill>
      <patternFill patternType="solid">
        <fgColor rgb="FF1F2D3D"/>
        <bgColor rgb="FF1F2D3D"/>
      </patternFill>
    </fill>
    <fill>
      <patternFill patternType="solid">
        <fgColor rgb="FF2C3E50"/>
        <bgColor rgb="FF2C3E50"/>
      </patternFill>
    </fill>
    <fill>
      <patternFill patternType="solid">
        <fgColor rgb="FF2E6DA4"/>
        <bgColor rgb="FF2E6DA4"/>
      </patternFill>
    </fill>
    <fill>
      <patternFill patternType="solid">
        <fgColor rgb="FFD6E4F0"/>
        <bgColor rgb="FFD6E4F0"/>
      </patternFill>
    </fill>
    <fill>
      <patternFill patternType="solid">
        <fgColor rgb="FF1E8449"/>
        <bgColor rgb="FF1E8449"/>
      </patternFill>
    </fill>
    <fill>
      <patternFill patternType="solid">
        <fgColor rgb="FFF7F9FC"/>
        <bgColor rgb="FFF7F9FC"/>
      </patternFill>
    </fill>
    <fill>
      <patternFill patternType="solid">
        <fgColor rgb="FFE5B8B7"/>
        <bgColor rgb="FFE5B8B7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D9D9D9"/>
        <bgColor rgb="FFD9D9D9"/>
      </patternFill>
    </fill>
    <fill>
      <patternFill patternType="solid">
        <fgColor rgb="FF1ABC9C"/>
        <bgColor rgb="FF1ABC9C"/>
      </patternFill>
    </fill>
    <fill>
      <patternFill patternType="solid">
        <fgColor rgb="FF16A085"/>
        <bgColor rgb="FF16A085"/>
      </patternFill>
    </fill>
    <fill>
      <patternFill patternType="solid">
        <fgColor rgb="FFECF0F1"/>
        <bgColor rgb="FFECF0F1"/>
      </patternFill>
    </fill>
  </fills>
  <borders count="36">
    <border/>
    <border>
      <left/>
      <top/>
      <bottom/>
    </border>
    <border>
      <top/>
      <bottom/>
    </border>
    <border>
      <right/>
      <top/>
      <bottom/>
    </border>
    <border>
      <left style="thin">
        <color rgb="FFAAAAAA"/>
      </left>
      <right style="thin">
        <color rgb="FFAAAAAA"/>
      </right>
      <top style="thin">
        <color rgb="FFAAAAAA"/>
      </top>
    </border>
    <border>
      <right style="thin">
        <color rgb="FFAAAAAA"/>
      </right>
      <top style="thin">
        <color rgb="FFAAAAAA"/>
      </top>
    </border>
    <border>
      <left style="thin">
        <color rgb="FFAAAAAA"/>
      </left>
      <top style="thin">
        <color rgb="FFAAAAAA"/>
      </top>
      <bottom style="thin">
        <color rgb="FFAAAAAA"/>
      </bottom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</border>
    <border>
      <left/>
      <right style="thin">
        <color rgb="FF2C3E50"/>
      </right>
      <top/>
      <bottom/>
    </border>
    <border>
      <left/>
      <right style="thin">
        <color rgb="FF2C3E50"/>
      </right>
      <top style="thin">
        <color rgb="FF2C3E50"/>
      </top>
      <bottom style="thin">
        <color rgb="FF2C3E50"/>
      </bottom>
    </border>
    <border>
      <right style="thin">
        <color rgb="FFAAAAAA"/>
      </right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  <bottom/>
    </border>
    <border>
      <left/>
      <right style="thin">
        <color rgb="FFAAAAAA"/>
      </right>
      <top style="thin">
        <color rgb="FFAAAAAA"/>
      </top>
      <bottom/>
    </border>
    <border>
      <left/>
      <right/>
      <top/>
      <bottom/>
    </border>
    <border>
      <left/>
      <right/>
      <top/>
      <bottom style="thin">
        <color rgb="FFFFFFFF"/>
      </bottom>
    </border>
    <border>
      <left style="thin">
        <color rgb="FFAAAAAA"/>
      </left>
    </border>
    <border>
      <left/>
      <right/>
      <top style="thin">
        <color rgb="FFAAAAAA"/>
      </top>
      <bottom/>
    </border>
    <border>
      <left style="thin">
        <color rgb="FFAAAAAA"/>
      </left>
      <right/>
      <top style="thin">
        <color rgb="FFAAAAAA"/>
      </top>
      <bottom/>
    </border>
    <border>
      <top style="thin">
        <color rgb="FFAAAAAA"/>
      </top>
    </border>
    <border>
      <left style="thin">
        <color rgb="FFAAAAAA"/>
      </left>
      <top style="thin">
        <color rgb="FFAAAAAA"/>
      </top>
    </border>
    <border>
      <left/>
      <right/>
      <top style="thin">
        <color rgb="FF1E8449"/>
      </top>
      <bottom style="thin">
        <color rgb="FF1E8449"/>
      </bottom>
    </border>
    <border>
      <left style="thin">
        <color rgb="FF1E8449"/>
      </left>
      <right/>
      <top style="thin">
        <color rgb="FF1E8449"/>
      </top>
      <bottom style="thin">
        <color rgb="FF1E8449"/>
      </bottom>
    </border>
    <border>
      <left style="thin">
        <color rgb="FF1E8449"/>
      </left>
      <right style="thin">
        <color rgb="FF1E8449"/>
      </right>
      <top style="thin">
        <color rgb="FF1E8449"/>
      </top>
      <bottom style="thin">
        <color rgb="FF1E8449"/>
      </bottom>
    </border>
    <border>
      <left/>
      <right style="thin">
        <color rgb="FF2C3E50"/>
      </right>
      <top style="thin">
        <color rgb="FF2C3E50"/>
      </top>
      <bottom/>
    </border>
    <border>
      <left style="thin">
        <color rgb="FFAAAAAA"/>
      </left>
      <right/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/>
      <bottom style="thin">
        <color rgb="FFAAAAAA"/>
      </bottom>
    </border>
    <border>
      <left/>
      <right/>
      <top/>
      <bottom style="thin">
        <color rgb="FFAAAAAA"/>
      </bottom>
    </border>
    <border>
      <left style="thin">
        <color rgb="FFAAAAAA"/>
      </left>
      <right style="thin">
        <color rgb="FFAAAAAA"/>
      </right>
      <top/>
      <bottom/>
    </border>
    <border>
      <left style="thin">
        <color rgb="FFAAAAAA"/>
      </left>
      <right/>
      <top/>
      <bottom style="thin">
        <color rgb="FFAAAAAA"/>
      </bottom>
    </border>
    <border>
      <left/>
      <right style="thin">
        <color rgb="FFAAAAAA"/>
      </right>
      <top/>
      <bottom/>
    </border>
    <border>
      <left style="thin">
        <color rgb="FFAAAAAA"/>
      </left>
      <right/>
      <top/>
      <bottom/>
    </border>
    <border>
      <left/>
      <right/>
      <top style="thin">
        <color rgb="FFAAAAAA"/>
      </top>
      <bottom style="thin">
        <color rgb="FFAAAAAA"/>
      </bottom>
    </border>
    <border>
      <top style="thin">
        <color rgb="FFAAAAAA"/>
      </top>
      <bottom style="thin">
        <color rgb="FFAAAAAA"/>
      </bottom>
    </border>
    <border>
      <left/>
      <right style="thin">
        <color rgb="FFAAAAAA"/>
      </right>
      <top/>
      <bottom style="thin">
        <color rgb="FFAAAAAA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/>
    </xf>
    <xf borderId="1" fillId="4" fontId="4" numFmtId="0" xfId="0" applyBorder="1" applyFill="1" applyFont="1"/>
    <xf borderId="4" fillId="0" fontId="5" numFmtId="0" xfId="0" applyAlignment="1" applyBorder="1" applyFont="1">
      <alignment horizontal="left"/>
    </xf>
    <xf borderId="5" fillId="0" fontId="6" numFmtId="164" xfId="0" applyAlignment="1" applyBorder="1" applyFont="1" applyNumberFormat="1">
      <alignment horizontal="right"/>
    </xf>
    <xf borderId="6" fillId="5" fontId="7" numFmtId="0" xfId="0" applyAlignment="1" applyBorder="1" applyFill="1" applyFont="1">
      <alignment horizontal="center"/>
    </xf>
    <xf borderId="7" fillId="0" fontId="2" numFmtId="0" xfId="0" applyBorder="1" applyFont="1"/>
    <xf borderId="5" fillId="0" fontId="6" numFmtId="3" xfId="0" applyAlignment="1" applyBorder="1" applyFont="1" applyNumberFormat="1">
      <alignment horizontal="right"/>
    </xf>
    <xf borderId="8" fillId="0" fontId="5" numFmtId="0" xfId="0" applyAlignment="1" applyBorder="1" applyFont="1">
      <alignment horizontal="left"/>
    </xf>
    <xf borderId="9" fillId="3" fontId="8" numFmtId="165" xfId="0" applyAlignment="1" applyBorder="1" applyFont="1" applyNumberFormat="1">
      <alignment horizontal="center"/>
    </xf>
    <xf borderId="10" fillId="3" fontId="8" numFmtId="166" xfId="0" applyAlignment="1" applyBorder="1" applyFont="1" applyNumberFormat="1">
      <alignment horizontal="center"/>
    </xf>
    <xf borderId="11" fillId="0" fontId="6" numFmtId="164" xfId="0" applyAlignment="1" applyBorder="1" applyFont="1" applyNumberFormat="1">
      <alignment horizontal="right"/>
    </xf>
    <xf borderId="5" fillId="0" fontId="6" numFmtId="165" xfId="0" applyAlignment="1" applyBorder="1" applyFont="1" applyNumberFormat="1">
      <alignment horizontal="right"/>
    </xf>
    <xf borderId="5" fillId="0" fontId="6" numFmtId="167" xfId="0" applyAlignment="1" applyBorder="1" applyFont="1" applyNumberFormat="1">
      <alignment horizontal="right"/>
    </xf>
    <xf borderId="5" fillId="0" fontId="6" numFmtId="1" xfId="0" applyAlignment="1" applyBorder="1" applyFont="1" applyNumberFormat="1">
      <alignment horizontal="right"/>
    </xf>
    <xf borderId="12" fillId="0" fontId="5" numFmtId="0" xfId="0" applyAlignment="1" applyBorder="1" applyFont="1">
      <alignment horizontal="left"/>
    </xf>
    <xf borderId="7" fillId="0" fontId="6" numFmtId="165" xfId="0" applyAlignment="1" applyBorder="1" applyFont="1" applyNumberFormat="1">
      <alignment horizontal="right"/>
    </xf>
    <xf borderId="7" fillId="0" fontId="6" numFmtId="164" xfId="0" applyAlignment="1" applyBorder="1" applyFont="1" applyNumberFormat="1">
      <alignment horizontal="right"/>
    </xf>
    <xf borderId="5" fillId="0" fontId="6" numFmtId="166" xfId="0" applyAlignment="1" applyBorder="1" applyFont="1" applyNumberFormat="1">
      <alignment horizontal="right"/>
    </xf>
    <xf borderId="13" fillId="6" fontId="4" numFmtId="0" xfId="0" applyAlignment="1" applyBorder="1" applyFill="1" applyFont="1">
      <alignment horizontal="left"/>
    </xf>
    <xf borderId="14" fillId="6" fontId="4" numFmtId="164" xfId="0" applyAlignment="1" applyBorder="1" applyFont="1" applyNumberFormat="1">
      <alignment horizontal="right"/>
    </xf>
    <xf borderId="6" fillId="5" fontId="7" numFmtId="0" xfId="0" applyAlignment="1" applyBorder="1" applyFont="1">
      <alignment horizontal="left"/>
    </xf>
    <xf borderId="11" fillId="0" fontId="9" numFmtId="0" xfId="0" applyAlignment="1" applyBorder="1" applyFont="1">
      <alignment horizontal="center"/>
    </xf>
    <xf borderId="7" fillId="0" fontId="9" numFmtId="0" xfId="0" applyAlignment="1" applyBorder="1" applyFont="1">
      <alignment horizontal="center"/>
    </xf>
    <xf borderId="15" fillId="3" fontId="4" numFmtId="0" xfId="0" applyBorder="1" applyFont="1"/>
    <xf borderId="16" fillId="3" fontId="4" numFmtId="0" xfId="0" applyAlignment="1" applyBorder="1" applyFont="1">
      <alignment horizontal="center"/>
    </xf>
    <xf borderId="4" fillId="0" fontId="5" numFmtId="0" xfId="0" applyBorder="1" applyFont="1"/>
    <xf borderId="0" fillId="0" fontId="6" numFmtId="164" xfId="0" applyAlignment="1" applyFont="1" applyNumberFormat="1">
      <alignment horizontal="right"/>
    </xf>
    <xf borderId="17" fillId="0" fontId="6" numFmtId="164" xfId="0" applyAlignment="1" applyBorder="1" applyFont="1" applyNumberFormat="1">
      <alignment horizontal="right"/>
    </xf>
    <xf borderId="8" fillId="0" fontId="6" numFmtId="164" xfId="0" applyAlignment="1" applyBorder="1" applyFont="1" applyNumberFormat="1">
      <alignment horizontal="right"/>
    </xf>
    <xf borderId="13" fillId="7" fontId="5" numFmtId="0" xfId="0" applyBorder="1" applyFill="1" applyFont="1"/>
    <xf borderId="18" fillId="7" fontId="6" numFmtId="164" xfId="0" applyAlignment="1" applyBorder="1" applyFont="1" applyNumberFormat="1">
      <alignment horizontal="right"/>
    </xf>
    <xf borderId="19" fillId="7" fontId="6" numFmtId="164" xfId="0" applyAlignment="1" applyBorder="1" applyFont="1" applyNumberFormat="1">
      <alignment horizontal="right"/>
    </xf>
    <xf borderId="13" fillId="7" fontId="6" numFmtId="164" xfId="0" applyAlignment="1" applyBorder="1" applyFont="1" applyNumberFormat="1">
      <alignment horizontal="right"/>
    </xf>
    <xf borderId="20" fillId="0" fontId="6" numFmtId="164" xfId="0" applyAlignment="1" applyBorder="1" applyFont="1" applyNumberFormat="1">
      <alignment horizontal="right"/>
    </xf>
    <xf borderId="21" fillId="0" fontId="6" numFmtId="164" xfId="0" applyAlignment="1" applyBorder="1" applyFont="1" applyNumberFormat="1">
      <alignment horizontal="right"/>
    </xf>
    <xf borderId="4" fillId="0" fontId="6" numFmtId="164" xfId="0" applyAlignment="1" applyBorder="1" applyFont="1" applyNumberFormat="1">
      <alignment horizontal="right"/>
    </xf>
    <xf borderId="18" fillId="7" fontId="6" numFmtId="166" xfId="0" applyAlignment="1" applyBorder="1" applyFont="1" applyNumberFormat="1">
      <alignment horizontal="right"/>
    </xf>
    <xf borderId="19" fillId="7" fontId="6" numFmtId="166" xfId="0" applyAlignment="1" applyBorder="1" applyFont="1" applyNumberFormat="1">
      <alignment horizontal="right"/>
    </xf>
    <xf borderId="13" fillId="7" fontId="6" numFmtId="166" xfId="0" applyAlignment="1" applyBorder="1" applyFont="1" applyNumberFormat="1">
      <alignment horizontal="right"/>
    </xf>
    <xf borderId="12" fillId="6" fontId="4" numFmtId="0" xfId="0" applyBorder="1" applyFont="1"/>
    <xf borderId="22" fillId="6" fontId="4" numFmtId="164" xfId="0" applyAlignment="1" applyBorder="1" applyFont="1" applyNumberFormat="1">
      <alignment horizontal="right"/>
    </xf>
    <xf borderId="23" fillId="6" fontId="4" numFmtId="164" xfId="0" applyAlignment="1" applyBorder="1" applyFont="1" applyNumberFormat="1">
      <alignment horizontal="right"/>
    </xf>
    <xf borderId="24" fillId="6" fontId="4" numFmtId="164" xfId="0" applyAlignment="1" applyBorder="1" applyFont="1" applyNumberFormat="1">
      <alignment horizontal="right"/>
    </xf>
    <xf borderId="25" fillId="3" fontId="8" numFmtId="165" xfId="0" applyAlignment="1" applyBorder="1" applyFont="1" applyNumberFormat="1">
      <alignment horizontal="center"/>
    </xf>
    <xf borderId="5" fillId="0" fontId="6" numFmtId="0" xfId="0" applyAlignment="1" applyBorder="1" applyFont="1">
      <alignment horizontal="right"/>
    </xf>
    <xf borderId="7" fillId="0" fontId="6" numFmtId="0" xfId="0" applyAlignment="1" applyBorder="1" applyFont="1">
      <alignment horizontal="right"/>
    </xf>
    <xf borderId="1" fillId="5" fontId="7" numFmtId="0" xfId="0" applyBorder="1" applyFont="1"/>
    <xf borderId="0" fillId="0" fontId="10" numFmtId="0" xfId="0" applyFont="1"/>
    <xf borderId="1" fillId="2" fontId="8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vertical="center"/>
    </xf>
    <xf borderId="0" fillId="0" fontId="11" numFmtId="0" xfId="0" applyFont="1"/>
    <xf borderId="1" fillId="4" fontId="4" numFmtId="0" xfId="0" applyAlignment="1" applyBorder="1" applyFont="1">
      <alignment horizontal="left" vertical="center"/>
    </xf>
    <xf borderId="0" fillId="0" fontId="12" numFmtId="0" xfId="0" applyAlignment="1" applyFont="1">
      <alignment horizontal="left" vertical="center"/>
    </xf>
    <xf borderId="12" fillId="8" fontId="13" numFmtId="0" xfId="0" applyAlignment="1" applyBorder="1" applyFill="1" applyFont="1">
      <alignment horizontal="left" vertical="center"/>
    </xf>
    <xf borderId="12" fillId="8" fontId="13" numFmtId="3" xfId="0" applyAlignment="1" applyBorder="1" applyFont="1" applyNumberFormat="1">
      <alignment horizontal="left" vertical="center"/>
    </xf>
    <xf borderId="13" fillId="8" fontId="13" numFmtId="168" xfId="0" applyAlignment="1" applyBorder="1" applyFont="1" applyNumberFormat="1">
      <alignment horizontal="left" vertical="center"/>
    </xf>
    <xf borderId="15" fillId="9" fontId="14" numFmtId="0" xfId="0" applyAlignment="1" applyBorder="1" applyFill="1" applyFont="1">
      <alignment horizontal="right"/>
    </xf>
    <xf borderId="15" fillId="9" fontId="12" numFmtId="0" xfId="0" applyAlignment="1" applyBorder="1" applyFont="1">
      <alignment horizontal="left" vertical="center"/>
    </xf>
    <xf borderId="19" fillId="8" fontId="13" numFmtId="165" xfId="0" applyAlignment="1" applyBorder="1" applyFont="1" applyNumberFormat="1">
      <alignment horizontal="left" vertical="center"/>
    </xf>
    <xf borderId="4" fillId="0" fontId="12" numFmtId="169" xfId="0" applyAlignment="1" applyBorder="1" applyFont="1" applyNumberFormat="1">
      <alignment horizontal="right"/>
    </xf>
    <xf borderId="12" fillId="9" fontId="12" numFmtId="165" xfId="0" applyAlignment="1" applyBorder="1" applyFont="1" applyNumberFormat="1">
      <alignment horizontal="left" vertical="center"/>
    </xf>
    <xf borderId="13" fillId="8" fontId="13" numFmtId="168" xfId="0" applyAlignment="1" applyBorder="1" applyFont="1" applyNumberFormat="1">
      <alignment horizontal="right" vertical="center"/>
    </xf>
    <xf borderId="26" fillId="8" fontId="13" numFmtId="165" xfId="0" applyAlignment="1" applyBorder="1" applyFont="1" applyNumberFormat="1">
      <alignment horizontal="left" vertical="center"/>
    </xf>
    <xf borderId="12" fillId="9" fontId="12" numFmtId="169" xfId="0" applyAlignment="1" applyBorder="1" applyFont="1" applyNumberFormat="1">
      <alignment horizontal="right"/>
    </xf>
    <xf borderId="27" fillId="8" fontId="13" numFmtId="170" xfId="0" applyAlignment="1" applyBorder="1" applyFont="1" applyNumberFormat="1">
      <alignment horizontal="left" vertical="center"/>
    </xf>
    <xf borderId="12" fillId="10" fontId="13" numFmtId="3" xfId="0" applyAlignment="1" applyBorder="1" applyFill="1" applyFont="1" applyNumberFormat="1">
      <alignment horizontal="left" vertical="center"/>
    </xf>
    <xf borderId="15" fillId="4" fontId="4" numFmtId="0" xfId="0" applyAlignment="1" applyBorder="1" applyFont="1">
      <alignment vertical="center"/>
    </xf>
    <xf borderId="28" fillId="4" fontId="4" numFmtId="0" xfId="0" applyAlignment="1" applyBorder="1" applyFont="1">
      <alignment horizontal="center" vertical="center"/>
    </xf>
    <xf borderId="0" fillId="0" fontId="14" numFmtId="0" xfId="0" applyFont="1"/>
    <xf borderId="26" fillId="8" fontId="13" numFmtId="171" xfId="0" applyAlignment="1" applyBorder="1" applyFont="1" applyNumberFormat="1">
      <alignment horizontal="right" vertical="center"/>
    </xf>
    <xf borderId="19" fillId="10" fontId="13" numFmtId="165" xfId="0" applyAlignment="1" applyBorder="1" applyFont="1" applyNumberFormat="1">
      <alignment horizontal="right"/>
    </xf>
    <xf borderId="29" fillId="9" fontId="12" numFmtId="171" xfId="0" applyAlignment="1" applyBorder="1" applyFont="1" applyNumberFormat="1">
      <alignment horizontal="right"/>
    </xf>
    <xf borderId="30" fillId="8" fontId="13" numFmtId="165" xfId="0" applyAlignment="1" applyBorder="1" applyFont="1" applyNumberFormat="1">
      <alignment horizontal="right" vertical="center"/>
    </xf>
    <xf borderId="13" fillId="11" fontId="11" numFmtId="0" xfId="0" applyBorder="1" applyFill="1" applyFont="1"/>
    <xf borderId="31" fillId="11" fontId="12" numFmtId="165" xfId="0" applyAlignment="1" applyBorder="1" applyFont="1" applyNumberFormat="1">
      <alignment horizontal="right"/>
    </xf>
    <xf borderId="12" fillId="11" fontId="11" numFmtId="0" xfId="0" applyBorder="1" applyFont="1"/>
    <xf borderId="32" fillId="10" fontId="13" numFmtId="165" xfId="0" applyAlignment="1" applyBorder="1" applyFont="1" applyNumberFormat="1">
      <alignment horizontal="right"/>
    </xf>
    <xf borderId="13" fillId="9" fontId="12" numFmtId="171" xfId="0" applyAlignment="1" applyBorder="1" applyFont="1" applyNumberFormat="1">
      <alignment horizontal="right"/>
    </xf>
    <xf borderId="19" fillId="8" fontId="13" numFmtId="171" xfId="0" applyAlignment="1" applyBorder="1" applyFont="1" applyNumberFormat="1">
      <alignment horizontal="right" vertical="center"/>
    </xf>
    <xf borderId="26" fillId="10" fontId="13" numFmtId="165" xfId="0" applyAlignment="1" applyBorder="1" applyFont="1" applyNumberFormat="1">
      <alignment horizontal="right"/>
    </xf>
    <xf borderId="12" fillId="9" fontId="12" numFmtId="171" xfId="0" applyAlignment="1" applyBorder="1" applyFont="1" applyNumberFormat="1">
      <alignment horizontal="right"/>
    </xf>
    <xf borderId="15" fillId="9" fontId="15" numFmtId="0" xfId="0" applyAlignment="1" applyBorder="1" applyFont="1">
      <alignment horizontal="left" vertical="center"/>
    </xf>
    <xf borderId="29" fillId="10" fontId="13" numFmtId="165" xfId="0" applyAlignment="1" applyBorder="1" applyFont="1" applyNumberFormat="1">
      <alignment horizontal="right" vertical="center"/>
    </xf>
    <xf borderId="27" fillId="11" fontId="11" numFmtId="0" xfId="0" applyBorder="1" applyFont="1"/>
    <xf borderId="12" fillId="10" fontId="13" numFmtId="0" xfId="0" applyAlignment="1" applyBorder="1" applyFont="1">
      <alignment horizontal="right"/>
    </xf>
    <xf borderId="15" fillId="11" fontId="11" numFmtId="0" xfId="0" applyBorder="1" applyFont="1"/>
    <xf borderId="30" fillId="8" fontId="13" numFmtId="171" xfId="0" applyAlignment="1" applyBorder="1" applyFont="1" applyNumberFormat="1">
      <alignment horizontal="right" vertical="center"/>
    </xf>
    <xf borderId="12" fillId="8" fontId="13" numFmtId="165" xfId="0" applyAlignment="1" applyBorder="1" applyFont="1" applyNumberFormat="1">
      <alignment horizontal="right" vertical="center"/>
    </xf>
    <xf borderId="13" fillId="11" fontId="12" numFmtId="165" xfId="0" applyAlignment="1" applyBorder="1" applyFont="1" applyNumberFormat="1">
      <alignment horizontal="right"/>
    </xf>
    <xf borderId="13" fillId="10" fontId="13" numFmtId="165" xfId="0" applyAlignment="1" applyBorder="1" applyFont="1" applyNumberFormat="1">
      <alignment horizontal="right" vertical="center"/>
    </xf>
    <xf borderId="15" fillId="4" fontId="4" numFmtId="0" xfId="0" applyAlignment="1" applyBorder="1" applyFont="1">
      <alignment horizontal="right" vertical="center"/>
    </xf>
    <xf borderId="30" fillId="8" fontId="13" numFmtId="168" xfId="0" applyAlignment="1" applyBorder="1" applyFont="1" applyNumberFormat="1">
      <alignment horizontal="right" vertical="center"/>
    </xf>
    <xf borderId="13" fillId="10" fontId="13" numFmtId="0" xfId="0" applyAlignment="1" applyBorder="1" applyFont="1">
      <alignment horizontal="right"/>
    </xf>
    <xf borderId="26" fillId="8" fontId="13" numFmtId="168" xfId="0" applyAlignment="1" applyBorder="1" applyFont="1" applyNumberFormat="1">
      <alignment horizontal="right" vertical="center"/>
    </xf>
    <xf borderId="1" fillId="5" fontId="7" numFmtId="0" xfId="0" applyAlignment="1" applyBorder="1" applyFont="1">
      <alignment horizontal="left" vertical="center"/>
    </xf>
    <xf borderId="12" fillId="9" fontId="6" numFmtId="168" xfId="0" applyAlignment="1" applyBorder="1" applyFont="1" applyNumberFormat="1">
      <alignment horizontal="right" vertical="center"/>
    </xf>
    <xf borderId="12" fillId="10" fontId="13" numFmtId="172" xfId="0" applyAlignment="1" applyBorder="1" applyFont="1" applyNumberFormat="1">
      <alignment horizontal="right" vertical="center"/>
    </xf>
    <xf borderId="12" fillId="10" fontId="13" numFmtId="3" xfId="0" applyAlignment="1" applyBorder="1" applyFont="1" applyNumberFormat="1">
      <alignment horizontal="right" vertical="center"/>
    </xf>
    <xf borderId="12" fillId="9" fontId="6" numFmtId="3" xfId="0" applyAlignment="1" applyBorder="1" applyFont="1" applyNumberFormat="1">
      <alignment horizontal="right" vertical="center"/>
    </xf>
    <xf borderId="13" fillId="10" fontId="13" numFmtId="3" xfId="0" applyAlignment="1" applyBorder="1" applyFont="1" applyNumberFormat="1">
      <alignment horizontal="right" vertical="center"/>
    </xf>
    <xf borderId="15" fillId="9" fontId="12" numFmtId="0" xfId="0" applyAlignment="1" applyBorder="1" applyFont="1">
      <alignment horizontal="left"/>
    </xf>
    <xf borderId="13" fillId="10" fontId="13" numFmtId="165" xfId="0" applyAlignment="1" applyBorder="1" applyFont="1" applyNumberFormat="1">
      <alignment horizontal="right"/>
    </xf>
    <xf borderId="13" fillId="9" fontId="6" numFmtId="171" xfId="0" applyAlignment="1" applyBorder="1" applyFont="1" applyNumberFormat="1">
      <alignment horizontal="right"/>
    </xf>
    <xf borderId="27" fillId="9" fontId="12" numFmtId="173" xfId="0" applyAlignment="1" applyBorder="1" applyFont="1" applyNumberFormat="1">
      <alignment horizontal="right" vertical="center"/>
    </xf>
    <xf borderId="15" fillId="5" fontId="7" numFmtId="0" xfId="0" applyAlignment="1" applyBorder="1" applyFont="1">
      <alignment horizontal="left" vertical="center"/>
    </xf>
    <xf borderId="15" fillId="5" fontId="11" numFmtId="0" xfId="0" applyBorder="1" applyFont="1"/>
    <xf borderId="18" fillId="9" fontId="14" numFmtId="0" xfId="0" applyAlignment="1" applyBorder="1" applyFont="1">
      <alignment horizontal="left" vertical="center"/>
    </xf>
    <xf borderId="19" fillId="9" fontId="14" numFmtId="0" xfId="0" applyAlignment="1" applyBorder="1" applyFont="1">
      <alignment horizontal="right"/>
    </xf>
    <xf borderId="13" fillId="9" fontId="14" numFmtId="0" xfId="0" applyAlignment="1" applyBorder="1" applyFont="1">
      <alignment horizontal="right"/>
    </xf>
    <xf borderId="19" fillId="9" fontId="12" numFmtId="169" xfId="0" applyAlignment="1" applyBorder="1" applyFont="1" applyNumberFormat="1">
      <alignment horizontal="right"/>
    </xf>
    <xf borderId="19" fillId="10" fontId="13" numFmtId="169" xfId="0" applyAlignment="1" applyBorder="1" applyFont="1" applyNumberFormat="1">
      <alignment horizontal="right"/>
    </xf>
    <xf borderId="13" fillId="9" fontId="12" numFmtId="169" xfId="0" applyAlignment="1" applyBorder="1" applyFont="1" applyNumberFormat="1">
      <alignment horizontal="right"/>
    </xf>
    <xf borderId="15" fillId="4" fontId="4" numFmtId="0" xfId="0" applyAlignment="1" applyBorder="1" applyFont="1">
      <alignment horizontal="left"/>
    </xf>
    <xf borderId="26" fillId="4" fontId="4" numFmtId="169" xfId="0" applyAlignment="1" applyBorder="1" applyFont="1" applyNumberFormat="1">
      <alignment horizontal="right"/>
    </xf>
    <xf borderId="12" fillId="4" fontId="4" numFmtId="169" xfId="0" applyAlignment="1" applyBorder="1" applyFont="1" applyNumberFormat="1">
      <alignment horizontal="right"/>
    </xf>
    <xf borderId="6" fillId="0" fontId="11" numFmtId="168" xfId="0" applyAlignment="1" applyBorder="1" applyFont="1" applyNumberFormat="1">
      <alignment horizontal="right" vertical="center"/>
    </xf>
    <xf borderId="12" fillId="10" fontId="13" numFmtId="165" xfId="0" applyAlignment="1" applyBorder="1" applyFont="1" applyNumberFormat="1">
      <alignment horizontal="right"/>
    </xf>
    <xf borderId="12" fillId="10" fontId="13" numFmtId="168" xfId="0" applyAlignment="1" applyBorder="1" applyFont="1" applyNumberFormat="1">
      <alignment horizontal="right" vertical="center"/>
    </xf>
    <xf borderId="13" fillId="9" fontId="6" numFmtId="169" xfId="0" applyAlignment="1" applyBorder="1" applyFont="1" applyNumberFormat="1">
      <alignment horizontal="right" vertical="center"/>
    </xf>
    <xf borderId="13" fillId="10" fontId="13" numFmtId="168" xfId="0" applyAlignment="1" applyBorder="1" applyFont="1" applyNumberFormat="1">
      <alignment horizontal="right" vertical="center"/>
    </xf>
    <xf borderId="12" fillId="9" fontId="12" numFmtId="165" xfId="0" applyAlignment="1" applyBorder="1" applyFont="1" applyNumberFormat="1">
      <alignment horizontal="right" vertical="center"/>
    </xf>
    <xf borderId="1" fillId="4" fontId="4" numFmtId="0" xfId="0" applyAlignment="1" applyBorder="1" applyFont="1">
      <alignment horizontal="left"/>
    </xf>
    <xf borderId="15" fillId="9" fontId="11" numFmtId="0" xfId="0" applyBorder="1" applyFont="1"/>
    <xf borderId="15" fillId="5" fontId="7" numFmtId="0" xfId="0" applyAlignment="1" applyBorder="1" applyFont="1">
      <alignment horizontal="left"/>
    </xf>
    <xf borderId="15" fillId="9" fontId="16" numFmtId="0" xfId="0" applyAlignment="1" applyBorder="1" applyFont="1">
      <alignment horizontal="left"/>
    </xf>
    <xf borderId="12" fillId="9" fontId="16" numFmtId="171" xfId="0" applyAlignment="1" applyBorder="1" applyFont="1" applyNumberFormat="1">
      <alignment horizontal="right"/>
    </xf>
    <xf borderId="15" fillId="4" fontId="4" numFmtId="0" xfId="0" applyBorder="1" applyFont="1"/>
    <xf borderId="28" fillId="4" fontId="4" numFmtId="0" xfId="0" applyBorder="1" applyFont="1"/>
    <xf borderId="0" fillId="0" fontId="17" numFmtId="0" xfId="0" applyFont="1"/>
    <xf borderId="15" fillId="5" fontId="7" numFmtId="0" xfId="0" applyAlignment="1" applyBorder="1" applyFont="1">
      <alignment horizontal="center"/>
    </xf>
    <xf borderId="18" fillId="9" fontId="12" numFmtId="0" xfId="0" applyAlignment="1" applyBorder="1" applyFont="1">
      <alignment horizontal="left"/>
    </xf>
    <xf borderId="13" fillId="9" fontId="12" numFmtId="165" xfId="0" applyAlignment="1" applyBorder="1" applyFont="1" applyNumberFormat="1">
      <alignment horizontal="right"/>
    </xf>
    <xf borderId="19" fillId="9" fontId="6" numFmtId="165" xfId="0" applyAlignment="1" applyBorder="1" applyFont="1" applyNumberFormat="1">
      <alignment horizontal="right"/>
    </xf>
    <xf borderId="13" fillId="9" fontId="6" numFmtId="165" xfId="0" applyAlignment="1" applyBorder="1" applyFont="1" applyNumberFormat="1">
      <alignment horizontal="right"/>
    </xf>
    <xf borderId="20" fillId="0" fontId="17" numFmtId="0" xfId="0" applyBorder="1" applyFont="1"/>
    <xf borderId="28" fillId="5" fontId="7" numFmtId="0" xfId="0" applyBorder="1" applyFont="1"/>
    <xf borderId="13" fillId="10" fontId="13" numFmtId="0" xfId="0" applyAlignment="1" applyBorder="1" applyFont="1">
      <alignment horizontal="left"/>
    </xf>
    <xf borderId="13" fillId="9" fontId="6" numFmtId="0" xfId="0" applyAlignment="1" applyBorder="1" applyFont="1">
      <alignment horizontal="left"/>
    </xf>
    <xf borderId="12" fillId="9" fontId="12" numFmtId="0" xfId="0" applyAlignment="1" applyBorder="1" applyFont="1">
      <alignment horizontal="left"/>
    </xf>
    <xf borderId="0" fillId="0" fontId="18" numFmtId="0" xfId="0" applyFont="1"/>
    <xf borderId="0" fillId="0" fontId="19" numFmtId="0" xfId="0" applyFont="1"/>
    <xf borderId="0" fillId="0" fontId="20" numFmtId="0" xfId="0" applyFont="1"/>
    <xf borderId="0" fillId="0" fontId="9" numFmtId="0" xfId="0" applyFont="1"/>
    <xf borderId="18" fillId="2" fontId="4" numFmtId="0" xfId="0" applyAlignment="1" applyBorder="1" applyFont="1">
      <alignment horizontal="center"/>
    </xf>
    <xf borderId="13" fillId="3" fontId="4" numFmtId="0" xfId="0" applyAlignment="1" applyBorder="1" applyFont="1">
      <alignment horizontal="center"/>
    </xf>
    <xf borderId="33" fillId="2" fontId="4" numFmtId="0" xfId="0" applyAlignment="1" applyBorder="1" applyFont="1">
      <alignment horizontal="center"/>
    </xf>
    <xf borderId="12" fillId="3" fontId="4" numFmtId="0" xfId="0" applyAlignment="1" applyBorder="1" applyFont="1">
      <alignment horizontal="center"/>
    </xf>
    <xf borderId="12" fillId="2" fontId="4" numFmtId="17" xfId="0" applyAlignment="1" applyBorder="1" applyFont="1" applyNumberFormat="1">
      <alignment horizontal="center" vertical="center"/>
    </xf>
    <xf borderId="4" fillId="0" fontId="12" numFmtId="168" xfId="0" applyAlignment="1" applyBorder="1" applyFont="1" applyNumberFormat="1">
      <alignment horizontal="right" vertical="center"/>
    </xf>
    <xf borderId="12" fillId="0" fontId="12" numFmtId="168" xfId="0" applyAlignment="1" applyBorder="1" applyFont="1" applyNumberFormat="1">
      <alignment horizontal="right" vertical="center"/>
    </xf>
    <xf borderId="4" fillId="0" fontId="21" numFmtId="168" xfId="0" applyAlignment="1" applyBorder="1" applyFont="1" applyNumberFormat="1">
      <alignment horizontal="right" vertical="center"/>
    </xf>
    <xf borderId="11" fillId="0" fontId="12" numFmtId="0" xfId="0" applyAlignment="1" applyBorder="1" applyFont="1">
      <alignment horizontal="left" vertical="center"/>
    </xf>
    <xf borderId="7" fillId="0" fontId="21" numFmtId="168" xfId="0" applyAlignment="1" applyBorder="1" applyFont="1" applyNumberFormat="1">
      <alignment horizontal="right" vertical="center"/>
    </xf>
    <xf borderId="12" fillId="0" fontId="21" numFmtId="168" xfId="0" applyAlignment="1" applyBorder="1" applyFont="1" applyNumberFormat="1">
      <alignment horizontal="right" vertical="center"/>
    </xf>
    <xf borderId="27" fillId="5" fontId="7" numFmtId="168" xfId="0" applyAlignment="1" applyBorder="1" applyFont="1" applyNumberFormat="1">
      <alignment horizontal="right" vertical="center"/>
    </xf>
    <xf borderId="13" fillId="9" fontId="12" numFmtId="168" xfId="0" applyAlignment="1" applyBorder="1" applyFont="1" applyNumberFormat="1">
      <alignment horizontal="right" vertical="center"/>
    </xf>
    <xf borderId="12" fillId="9" fontId="12" numFmtId="168" xfId="0" applyAlignment="1" applyBorder="1" applyFont="1" applyNumberFormat="1">
      <alignment horizontal="right" vertical="center"/>
    </xf>
    <xf borderId="15" fillId="4" fontId="4" numFmtId="0" xfId="0" applyAlignment="1" applyBorder="1" applyFont="1">
      <alignment horizontal="left" vertical="center"/>
    </xf>
    <xf borderId="27" fillId="4" fontId="4" numFmtId="168" xfId="0" applyAlignment="1" applyBorder="1" applyFont="1" applyNumberFormat="1">
      <alignment horizontal="right" vertical="center"/>
    </xf>
    <xf borderId="12" fillId="4" fontId="4" numFmtId="168" xfId="0" applyAlignment="1" applyBorder="1" applyFont="1" applyNumberFormat="1">
      <alignment horizontal="right" vertical="center"/>
    </xf>
    <xf borderId="15" fillId="6" fontId="4" numFmtId="0" xfId="0" applyAlignment="1" applyBorder="1" applyFont="1">
      <alignment horizontal="left" vertical="center"/>
    </xf>
    <xf borderId="12" fillId="6" fontId="4" numFmtId="168" xfId="0" applyAlignment="1" applyBorder="1" applyFont="1" applyNumberFormat="1">
      <alignment horizontal="right" vertical="center"/>
    </xf>
    <xf borderId="13" fillId="9" fontId="12" numFmtId="169" xfId="0" applyAlignment="1" applyBorder="1" applyFont="1" applyNumberFormat="1">
      <alignment horizontal="right" vertical="center"/>
    </xf>
    <xf borderId="12" fillId="9" fontId="12" numFmtId="169" xfId="0" applyAlignment="1" applyBorder="1" applyFont="1" applyNumberFormat="1">
      <alignment horizontal="right" vertical="center"/>
    </xf>
    <xf borderId="29" fillId="4" fontId="4" numFmtId="168" xfId="0" applyAlignment="1" applyBorder="1" applyFont="1" applyNumberFormat="1">
      <alignment horizontal="right" vertical="center"/>
    </xf>
    <xf borderId="18" fillId="9" fontId="11" numFmtId="0" xfId="0" applyBorder="1" applyFont="1"/>
    <xf borderId="19" fillId="4" fontId="4" numFmtId="0" xfId="0" applyAlignment="1" applyBorder="1" applyFont="1">
      <alignment horizontal="right"/>
    </xf>
    <xf borderId="13" fillId="9" fontId="12" numFmtId="174" xfId="0" applyAlignment="1" applyBorder="1" applyFont="1" applyNumberFormat="1">
      <alignment horizontal="right"/>
    </xf>
    <xf borderId="12" fillId="4" fontId="4" numFmtId="174" xfId="0" applyAlignment="1" applyBorder="1" applyFont="1" applyNumberFormat="1">
      <alignment horizontal="right"/>
    </xf>
    <xf borderId="15" fillId="3" fontId="4" numFmtId="0" xfId="0" applyAlignment="1" applyBorder="1" applyFont="1">
      <alignment horizontal="left" vertical="center"/>
    </xf>
    <xf borderId="12" fillId="3" fontId="4" numFmtId="168" xfId="0" applyAlignment="1" applyBorder="1" applyFont="1" applyNumberFormat="1">
      <alignment horizontal="right" vertical="center"/>
    </xf>
    <xf borderId="12" fillId="5" fontId="7" numFmtId="168" xfId="0" applyAlignment="1" applyBorder="1" applyFont="1" applyNumberFormat="1">
      <alignment horizontal="right" vertical="center"/>
    </xf>
    <xf borderId="13" fillId="6" fontId="4" numFmtId="168" xfId="0" applyAlignment="1" applyBorder="1" applyFont="1" applyNumberFormat="1">
      <alignment horizontal="right" vertical="center"/>
    </xf>
    <xf borderId="26" fillId="5" fontId="7" numFmtId="174" xfId="0" applyAlignment="1" applyBorder="1" applyFont="1" applyNumberFormat="1">
      <alignment horizontal="right" vertical="center"/>
    </xf>
    <xf borderId="12" fillId="5" fontId="7" numFmtId="174" xfId="0" applyAlignment="1" applyBorder="1" applyFont="1" applyNumberFormat="1">
      <alignment horizontal="right" vertical="center"/>
    </xf>
    <xf borderId="12" fillId="0" fontId="11" numFmtId="175" xfId="0" applyAlignment="1" applyBorder="1" applyFont="1" applyNumberFormat="1">
      <alignment horizontal="right" vertical="center"/>
    </xf>
    <xf borderId="15" fillId="2" fontId="4" numFmtId="0" xfId="0" applyAlignment="1" applyBorder="1" applyFont="1">
      <alignment horizontal="left" vertical="center"/>
    </xf>
    <xf borderId="12" fillId="2" fontId="4" numFmtId="176" xfId="0" applyAlignment="1" applyBorder="1" applyFont="1" applyNumberFormat="1">
      <alignment horizontal="center" vertical="center"/>
    </xf>
    <xf borderId="31" fillId="4" fontId="4" numFmtId="0" xfId="0" applyBorder="1" applyFont="1"/>
    <xf borderId="15" fillId="4" fontId="4" numFmtId="169" xfId="0" applyBorder="1" applyFont="1" applyNumberFormat="1"/>
    <xf borderId="15" fillId="9" fontId="12" numFmtId="0" xfId="0" applyBorder="1" applyFont="1"/>
    <xf borderId="13" fillId="9" fontId="12" numFmtId="169" xfId="0" applyBorder="1" applyFont="1" applyNumberFormat="1"/>
    <xf borderId="15" fillId="5" fontId="7" numFmtId="0" xfId="0" applyBorder="1" applyFont="1"/>
    <xf borderId="29" fillId="5" fontId="7" numFmtId="169" xfId="0" applyBorder="1" applyFont="1" applyNumberFormat="1"/>
    <xf borderId="27" fillId="4" fontId="4" numFmtId="169" xfId="0" applyBorder="1" applyFont="1" applyNumberFormat="1"/>
    <xf borderId="12" fillId="4" fontId="4" numFmtId="169" xfId="0" applyBorder="1" applyFont="1" applyNumberFormat="1"/>
    <xf borderId="15" fillId="6" fontId="4" numFmtId="0" xfId="0" applyBorder="1" applyFont="1"/>
    <xf borderId="12" fillId="6" fontId="4" numFmtId="169" xfId="0" applyBorder="1" applyFont="1" applyNumberFormat="1"/>
    <xf borderId="12" fillId="9" fontId="12" numFmtId="169" xfId="0" applyBorder="1" applyFont="1" applyNumberFormat="1"/>
    <xf borderId="13" fillId="3" fontId="4" numFmtId="169" xfId="0" applyBorder="1" applyFont="1" applyNumberFormat="1"/>
    <xf borderId="34" fillId="0" fontId="11" numFmtId="0" xfId="0" applyBorder="1" applyFont="1"/>
    <xf borderId="32" fillId="4" fontId="4" numFmtId="0" xfId="0" applyBorder="1" applyFont="1"/>
    <xf borderId="13" fillId="9" fontId="12" numFmtId="164" xfId="0" applyAlignment="1" applyBorder="1" applyFont="1" applyNumberFormat="1">
      <alignment horizontal="right"/>
    </xf>
    <xf borderId="12" fillId="5" fontId="7" numFmtId="164" xfId="0" applyAlignment="1" applyBorder="1" applyFont="1" applyNumberFormat="1">
      <alignment horizontal="right"/>
    </xf>
    <xf borderId="29" fillId="9" fontId="12" numFmtId="164" xfId="0" applyAlignment="1" applyBorder="1" applyFont="1" applyNumberFormat="1">
      <alignment horizontal="right"/>
    </xf>
    <xf borderId="27" fillId="9" fontId="12" numFmtId="164" xfId="0" applyAlignment="1" applyBorder="1" applyFont="1" applyNumberFormat="1">
      <alignment horizontal="right"/>
    </xf>
    <xf borderId="29" fillId="9" fontId="12" numFmtId="169" xfId="0" applyAlignment="1" applyBorder="1" applyFont="1" applyNumberFormat="1">
      <alignment horizontal="right"/>
    </xf>
    <xf borderId="0" fillId="0" fontId="11" numFmtId="0" xfId="0" applyAlignment="1" applyFont="1">
      <alignment horizontal="right"/>
    </xf>
    <xf borderId="12" fillId="4" fontId="4" numFmtId="164" xfId="0" applyAlignment="1" applyBorder="1" applyFont="1" applyNumberFormat="1">
      <alignment horizontal="right"/>
    </xf>
    <xf borderId="19" fillId="4" fontId="4" numFmtId="164" xfId="0" applyAlignment="1" applyBorder="1" applyFont="1" applyNumberFormat="1">
      <alignment horizontal="right"/>
    </xf>
    <xf borderId="13" fillId="6" fontId="4" numFmtId="169" xfId="0" applyBorder="1" applyFont="1" applyNumberFormat="1"/>
    <xf borderId="12" fillId="5" fontId="7" numFmtId="169" xfId="0" applyBorder="1" applyFont="1" applyNumberFormat="1"/>
    <xf borderId="13" fillId="5" fontId="7" numFmtId="169" xfId="0" applyBorder="1" applyFont="1" applyNumberFormat="1"/>
    <xf borderId="12" fillId="9" fontId="12" numFmtId="177" xfId="0" applyBorder="1" applyFont="1" applyNumberFormat="1"/>
    <xf borderId="12" fillId="2" fontId="4" numFmtId="178" xfId="0" applyAlignment="1" applyBorder="1" applyFont="1" applyNumberFormat="1">
      <alignment horizontal="center" vertical="center"/>
    </xf>
    <xf borderId="21" fillId="0" fontId="12" numFmtId="168" xfId="0" applyAlignment="1" applyBorder="1" applyFont="1" applyNumberFormat="1">
      <alignment horizontal="right" vertical="center"/>
    </xf>
    <xf borderId="6" fillId="0" fontId="12" numFmtId="168" xfId="0" applyAlignment="1" applyBorder="1" applyFont="1" applyNumberFormat="1">
      <alignment horizontal="right" vertical="center"/>
    </xf>
    <xf borderId="19" fillId="4" fontId="4" numFmtId="0" xfId="0" applyAlignment="1" applyBorder="1" applyFont="1">
      <alignment horizontal="left"/>
    </xf>
    <xf borderId="13" fillId="3" fontId="4" numFmtId="168" xfId="0" applyAlignment="1" applyBorder="1" applyFont="1" applyNumberFormat="1">
      <alignment horizontal="right" vertical="center"/>
    </xf>
    <xf borderId="29" fillId="4" fontId="4" numFmtId="0" xfId="0" applyBorder="1" applyFont="1"/>
    <xf borderId="13" fillId="9" fontId="12" numFmtId="164" xfId="0" applyAlignment="1" applyBorder="1" applyFont="1" applyNumberFormat="1">
      <alignment horizontal="right" vertical="center"/>
    </xf>
    <xf borderId="12" fillId="5" fontId="7" numFmtId="164" xfId="0" applyAlignment="1" applyBorder="1" applyFont="1" applyNumberFormat="1">
      <alignment horizontal="right" vertical="center"/>
    </xf>
    <xf borderId="27" fillId="9" fontId="12" numFmtId="164" xfId="0" applyAlignment="1" applyBorder="1" applyFont="1" applyNumberFormat="1">
      <alignment horizontal="right" vertical="center"/>
    </xf>
    <xf borderId="8" fillId="0" fontId="12" numFmtId="168" xfId="0" applyAlignment="1" applyBorder="1" applyFont="1" applyNumberFormat="1">
      <alignment horizontal="right" vertical="center"/>
    </xf>
    <xf borderId="12" fillId="4" fontId="4" numFmtId="164" xfId="0" applyAlignment="1" applyBorder="1" applyFont="1" applyNumberFormat="1">
      <alignment horizontal="right" vertical="center"/>
    </xf>
    <xf borderId="31" fillId="5" fontId="7" numFmtId="0" xfId="0" applyAlignment="1" applyBorder="1" applyFont="1">
      <alignment horizontal="left" vertical="center"/>
    </xf>
    <xf borderId="15" fillId="5" fontId="7" numFmtId="169" xfId="0" applyAlignment="1" applyBorder="1" applyFont="1" applyNumberFormat="1">
      <alignment horizontal="right" vertical="center"/>
    </xf>
    <xf borderId="31" fillId="9" fontId="12" numFmtId="0" xfId="0" applyAlignment="1" applyBorder="1" applyFont="1">
      <alignment horizontal="left" vertical="center"/>
    </xf>
    <xf borderId="7" fillId="0" fontId="12" numFmtId="169" xfId="0" applyAlignment="1" applyBorder="1" applyFont="1" applyNumberFormat="1">
      <alignment horizontal="right" vertical="center"/>
    </xf>
    <xf borderId="12" fillId="0" fontId="12" numFmtId="175" xfId="0" applyAlignment="1" applyBorder="1" applyFont="1" applyNumberFormat="1">
      <alignment horizontal="right" vertical="center"/>
    </xf>
    <xf borderId="0" fillId="0" fontId="22" numFmtId="0" xfId="0" applyFont="1"/>
    <xf borderId="0" fillId="0" fontId="23" numFmtId="0" xfId="0" applyFont="1"/>
    <xf borderId="15" fillId="3" fontId="4" numFmtId="0" xfId="0" applyAlignment="1" applyBorder="1" applyFont="1">
      <alignment horizontal="center"/>
    </xf>
    <xf borderId="35" fillId="4" fontId="4" numFmtId="0" xfId="0" applyBorder="1" applyFont="1"/>
    <xf borderId="27" fillId="4" fontId="4" numFmtId="0" xfId="0" applyBorder="1" applyFont="1"/>
    <xf borderId="30" fillId="4" fontId="4" numFmtId="0" xfId="0" applyBorder="1" applyFont="1"/>
    <xf borderId="11" fillId="0" fontId="12" numFmtId="0" xfId="0" applyBorder="1" applyFont="1"/>
    <xf borderId="11" fillId="0" fontId="12" numFmtId="179" xfId="0" applyAlignment="1" applyBorder="1" applyFont="1" applyNumberFormat="1">
      <alignment horizontal="right"/>
    </xf>
    <xf borderId="8" fillId="0" fontId="12" numFmtId="179" xfId="0" applyAlignment="1" applyBorder="1" applyFont="1" applyNumberFormat="1">
      <alignment horizontal="right"/>
    </xf>
    <xf borderId="5" fillId="0" fontId="12" numFmtId="179" xfId="0" applyAlignment="1" applyBorder="1" applyFont="1" applyNumberFormat="1">
      <alignment horizontal="right"/>
    </xf>
    <xf borderId="4" fillId="0" fontId="12" numFmtId="179" xfId="0" applyAlignment="1" applyBorder="1" applyFont="1" applyNumberFormat="1">
      <alignment horizontal="right"/>
    </xf>
    <xf borderId="31" fillId="6" fontId="4" numFmtId="0" xfId="0" applyBorder="1" applyFont="1"/>
    <xf borderId="14" fillId="6" fontId="4" numFmtId="179" xfId="0" applyAlignment="1" applyBorder="1" applyFont="1" applyNumberFormat="1">
      <alignment horizontal="right"/>
    </xf>
    <xf borderId="13" fillId="6" fontId="4" numFmtId="179" xfId="0" applyAlignment="1" applyBorder="1" applyFont="1" applyNumberFormat="1">
      <alignment horizontal="right"/>
    </xf>
    <xf borderId="5" fillId="0" fontId="12" numFmtId="9" xfId="0" applyAlignment="1" applyBorder="1" applyFont="1" applyNumberFormat="1">
      <alignment horizontal="right"/>
    </xf>
    <xf borderId="4" fillId="0" fontId="12" numFmtId="0" xfId="0" applyAlignment="1" applyBorder="1" applyFont="1">
      <alignment horizontal="right"/>
    </xf>
    <xf borderId="4" fillId="0" fontId="12" numFmtId="165" xfId="0" applyAlignment="1" applyBorder="1" applyFont="1" applyNumberFormat="1">
      <alignment horizontal="right"/>
    </xf>
    <xf borderId="31" fillId="5" fontId="7" numFmtId="0" xfId="0" applyBorder="1" applyFont="1"/>
    <xf borderId="31" fillId="5" fontId="7" numFmtId="179" xfId="0" applyAlignment="1" applyBorder="1" applyFont="1" applyNumberFormat="1">
      <alignment horizontal="right"/>
    </xf>
    <xf borderId="29" fillId="5" fontId="7" numFmtId="179" xfId="0" applyAlignment="1" applyBorder="1" applyFont="1" applyNumberFormat="1">
      <alignment horizontal="right"/>
    </xf>
    <xf borderId="35" fillId="5" fontId="7" numFmtId="0" xfId="0" applyBorder="1" applyFont="1"/>
    <xf borderId="27" fillId="5" fontId="7" numFmtId="0" xfId="0" applyBorder="1" applyFont="1"/>
    <xf borderId="30" fillId="5" fontId="7" numFmtId="0" xfId="0" applyBorder="1" applyFont="1"/>
    <xf borderId="0" fillId="0" fontId="12" numFmtId="0" xfId="0" applyFont="1"/>
    <xf borderId="34" fillId="0" fontId="12" numFmtId="179" xfId="0" applyAlignment="1" applyBorder="1" applyFont="1" applyNumberFormat="1">
      <alignment horizontal="right"/>
    </xf>
    <xf borderId="35" fillId="5" fontId="7" numFmtId="179" xfId="0" applyAlignment="1" applyBorder="1" applyFont="1" applyNumberFormat="1">
      <alignment horizontal="right"/>
    </xf>
    <xf borderId="27" fillId="5" fontId="7" numFmtId="179" xfId="0" applyAlignment="1" applyBorder="1" applyFont="1" applyNumberFormat="1">
      <alignment horizontal="right"/>
    </xf>
    <xf borderId="30" fillId="5" fontId="7" numFmtId="179" xfId="0" applyAlignment="1" applyBorder="1" applyFont="1" applyNumberFormat="1">
      <alignment horizontal="right"/>
    </xf>
    <xf borderId="20" fillId="0" fontId="12" numFmtId="179" xfId="0" applyAlignment="1" applyBorder="1" applyFont="1" applyNumberFormat="1">
      <alignment horizontal="right"/>
    </xf>
    <xf borderId="31" fillId="12" fontId="4" numFmtId="0" xfId="0" applyBorder="1" applyFill="1" applyFont="1"/>
    <xf borderId="31" fillId="12" fontId="4" numFmtId="179" xfId="0" applyAlignment="1" applyBorder="1" applyFont="1" applyNumberFormat="1">
      <alignment horizontal="right"/>
    </xf>
    <xf borderId="29" fillId="12" fontId="4" numFmtId="179" xfId="0" applyAlignment="1" applyBorder="1" applyFont="1" applyNumberFormat="1">
      <alignment horizontal="right"/>
    </xf>
    <xf borderId="31" fillId="13" fontId="4" numFmtId="0" xfId="0" applyBorder="1" applyFill="1" applyFont="1"/>
    <xf borderId="14" fillId="13" fontId="4" numFmtId="179" xfId="0" applyAlignment="1" applyBorder="1" applyFont="1" applyNumberFormat="1">
      <alignment horizontal="right"/>
    </xf>
    <xf borderId="13" fillId="13" fontId="4" numFmtId="179" xfId="0" applyAlignment="1" applyBorder="1" applyFont="1" applyNumberFormat="1">
      <alignment horizontal="right"/>
    </xf>
    <xf borderId="31" fillId="3" fontId="4" numFmtId="0" xfId="0" applyBorder="1" applyFont="1"/>
    <xf borderId="14" fillId="3" fontId="4" numFmtId="179" xfId="0" applyAlignment="1" applyBorder="1" applyFont="1" applyNumberFormat="1">
      <alignment horizontal="right"/>
    </xf>
    <xf borderId="13" fillId="3" fontId="4" numFmtId="179" xfId="0" applyAlignment="1" applyBorder="1" applyFont="1" applyNumberFormat="1">
      <alignment horizontal="right"/>
    </xf>
    <xf borderId="31" fillId="14" fontId="23" numFmtId="0" xfId="0" applyBorder="1" applyFill="1" applyFont="1"/>
    <xf borderId="14" fillId="14" fontId="23" numFmtId="171" xfId="0" applyAlignment="1" applyBorder="1" applyFont="1" applyNumberFormat="1">
      <alignment horizontal="right"/>
    </xf>
    <xf borderId="13" fillId="14" fontId="23" numFmtId="171" xfId="0" applyAlignment="1" applyBorder="1" applyFont="1" applyNumberFormat="1">
      <alignment horizontal="right"/>
    </xf>
    <xf borderId="11" fillId="0" fontId="12" numFmtId="165" xfId="0" applyAlignment="1" applyBorder="1" applyFont="1" applyNumberFormat="1">
      <alignment horizontal="right"/>
    </xf>
    <xf borderId="8" fillId="0" fontId="12" numFmtId="165" xfId="0" applyAlignment="1" applyBorder="1" applyFont="1" applyNumberFormat="1">
      <alignment horizontal="right"/>
    </xf>
    <xf borderId="29" fillId="3" fontId="4" numFmtId="165" xfId="0" applyAlignment="1" applyBorder="1" applyFont="1" applyNumberFormat="1">
      <alignment horizontal="right"/>
    </xf>
    <xf borderId="5" fillId="0" fontId="12" numFmtId="2" xfId="0" applyAlignment="1" applyBorder="1" applyFont="1" applyNumberFormat="1">
      <alignment horizontal="right"/>
    </xf>
    <xf borderId="4" fillId="0" fontId="12" numFmtId="2" xfId="0" applyAlignment="1" applyBorder="1" applyFont="1" applyNumberFormat="1">
      <alignment horizontal="right"/>
    </xf>
    <xf borderId="13" fillId="3" fontId="4" numFmtId="166" xfId="0" applyAlignment="1" applyBorder="1" applyFont="1" applyNumberFormat="1">
      <alignment horizontal="right"/>
    </xf>
    <xf borderId="4" fillId="0" fontId="16" numFmtId="179" xfId="0" applyAlignment="1" applyBorder="1" applyFont="1" applyNumberFormat="1">
      <alignment horizontal="right"/>
    </xf>
    <xf borderId="7" fillId="0" fontId="12" numFmtId="2" xfId="0" applyAlignment="1" applyBorder="1" applyFont="1" applyNumberFormat="1">
      <alignment horizontal="right"/>
    </xf>
    <xf borderId="12" fillId="0" fontId="12" numFmtId="2" xfId="0" applyAlignment="1" applyBorder="1" applyFont="1" applyNumberFormat="1">
      <alignment horizontal="right"/>
    </xf>
    <xf borderId="12" fillId="3" fontId="4" numFmtId="166" xfId="0" applyAlignment="1" applyBorder="1" applyFont="1" applyNumberFormat="1">
      <alignment horizontal="right"/>
    </xf>
  </cellXfs>
  <cellStyles count="1">
    <cellStyle xfId="0" name="Normal" builtinId="0"/>
  </cellStyles>
  <dxfs count="2">
    <dxf>
      <font>
        <color rgb="FF1E8449"/>
      </font>
      <fill>
        <patternFill patternType="none"/>
      </fill>
      <border/>
    </dxf>
    <dxf>
      <font>
        <color rgb="FFC0392B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25.0"/>
    <col customWidth="1" min="3" max="3" width="15.57"/>
    <col customWidth="1" min="4" max="4" width="17.57"/>
    <col customWidth="1" min="5" max="5" width="25.29"/>
    <col customWidth="1" min="6" max="6" width="18.57"/>
    <col customWidth="1" min="7" max="7" width="14.43"/>
    <col customWidth="1" min="8" max="12" width="13.71"/>
    <col customWidth="1" min="13" max="2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>
      <c r="A2" s="4" t="str">
        <f>Inputs!C5&amp;"  |  "&amp;Inputs!C6&amp;"  |  "&amp;Inputs!C7&amp;", "&amp;Inputs!C8</f>
        <v>  |    |  , 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4">
      <c r="A4" s="5" t="s">
        <v>1</v>
      </c>
      <c r="B4" s="2"/>
      <c r="C4" s="3"/>
      <c r="E4" s="5" t="s">
        <v>2</v>
      </c>
      <c r="F4" s="3"/>
    </row>
    <row r="5">
      <c r="B5" s="6" t="s">
        <v>3</v>
      </c>
      <c r="C5" s="7" t="str">
        <f>Inputs!C10</f>
        <v/>
      </c>
      <c r="E5" s="8" t="s">
        <v>4</v>
      </c>
      <c r="F5" s="9"/>
    </row>
    <row r="6">
      <c r="B6" s="6" t="s">
        <v>5</v>
      </c>
      <c r="C6" s="10" t="str">
        <f>Inputs!C9</f>
        <v/>
      </c>
      <c r="E6" s="11" t="s">
        <v>6</v>
      </c>
      <c r="F6" s="12" t="str">
        <f>'Equity Waterfall'!N62</f>
        <v>-</v>
      </c>
    </row>
    <row r="7">
      <c r="B7" s="6" t="s">
        <v>7</v>
      </c>
      <c r="C7" s="7">
        <f>Inputs!C104</f>
        <v>-745000</v>
      </c>
      <c r="E7" s="6" t="s">
        <v>8</v>
      </c>
      <c r="F7" s="13">
        <f>'Equity Waterfall'!N63</f>
        <v>0</v>
      </c>
    </row>
    <row r="8">
      <c r="B8" s="6" t="s">
        <v>9</v>
      </c>
      <c r="C8" s="7">
        <f>Inputs!C60+Inputs!C69</f>
        <v>750000</v>
      </c>
      <c r="E8" s="6" t="s">
        <v>10</v>
      </c>
      <c r="F8" s="14">
        <f>'Equity Waterfall'!N64</f>
        <v>0</v>
      </c>
    </row>
    <row r="9">
      <c r="B9" s="6" t="s">
        <v>11</v>
      </c>
      <c r="C9" s="15" t="str">
        <f>(Inputs!C60+Inputs!C69)/Inputs!C10</f>
        <v>#DIV/0!</v>
      </c>
      <c r="E9" s="6" t="s">
        <v>12</v>
      </c>
      <c r="F9" s="7">
        <f>Inputs!C105</f>
        <v>85000</v>
      </c>
    </row>
    <row r="10">
      <c r="B10" s="6" t="s">
        <v>13</v>
      </c>
      <c r="C10" s="7" t="str">
        <f>Inputs!C10/Inputs!C9</f>
        <v>#DIV/0!</v>
      </c>
      <c r="E10" s="8" t="s">
        <v>14</v>
      </c>
      <c r="F10" s="9"/>
    </row>
    <row r="11">
      <c r="B11" s="6" t="s">
        <v>15</v>
      </c>
      <c r="C11" s="15" t="str">
        <f>'Annual CF'!C34/Inputs!C10</f>
        <v>#DIV/0!</v>
      </c>
      <c r="E11" s="11" t="s">
        <v>6</v>
      </c>
      <c r="F11" s="12" t="str">
        <f>'Equity Waterfall'!N67</f>
        <v>-</v>
      </c>
    </row>
    <row r="12">
      <c r="B12" s="6" t="s">
        <v>16</v>
      </c>
      <c r="C12" s="16">
        <f>Inputs!C15</f>
        <v>10</v>
      </c>
      <c r="E12" s="6" t="s">
        <v>8</v>
      </c>
      <c r="F12" s="13">
        <f>'Equity Waterfall'!N68</f>
        <v>0</v>
      </c>
    </row>
    <row r="13">
      <c r="B13" s="6" t="s">
        <v>17</v>
      </c>
      <c r="C13" s="17">
        <f>Inputs!C16</f>
        <v>5</v>
      </c>
      <c r="E13" s="6" t="s">
        <v>10</v>
      </c>
      <c r="F13" s="14">
        <f>'Equity Waterfall'!N69</f>
        <v>0</v>
      </c>
    </row>
    <row r="14">
      <c r="B14" s="18" t="s">
        <v>18</v>
      </c>
      <c r="C14" s="19">
        <f>Inputs!C113</f>
        <v>0.09</v>
      </c>
      <c r="E14" s="18" t="s">
        <v>12</v>
      </c>
      <c r="F14" s="20">
        <f>Inputs!C106</f>
        <v>-830000</v>
      </c>
    </row>
    <row r="16">
      <c r="A16" s="5" t="s">
        <v>19</v>
      </c>
      <c r="B16" s="2"/>
      <c r="C16" s="3"/>
      <c r="E16" s="5" t="s">
        <v>20</v>
      </c>
      <c r="F16" s="3"/>
    </row>
    <row r="17">
      <c r="B17" s="6" t="s">
        <v>3</v>
      </c>
      <c r="C17" s="7" t="str">
        <f>Inputs!C10</f>
        <v/>
      </c>
      <c r="E17" s="6" t="s">
        <v>21</v>
      </c>
      <c r="F17" s="7">
        <f>'Annual CF'!C34</f>
        <v>0</v>
      </c>
    </row>
    <row r="18">
      <c r="B18" s="6" t="s">
        <v>22</v>
      </c>
      <c r="C18" s="7">
        <f>Inputs!C102</f>
        <v>0</v>
      </c>
      <c r="E18" s="6" t="s">
        <v>23</v>
      </c>
      <c r="F18" s="21">
        <f>'Annual CF'!C89</f>
        <v>0</v>
      </c>
    </row>
    <row r="19">
      <c r="B19" s="6" t="s">
        <v>24</v>
      </c>
      <c r="C19" s="7" t="str">
        <f>Inputs!C10*Inputs!C12</f>
        <v>#DIV/0!</v>
      </c>
      <c r="E19" s="6" t="s">
        <v>25</v>
      </c>
      <c r="F19" s="15">
        <f>IF(Inputs!C104=0,0,'Annual CF'!C79/Inputs!C104)</f>
        <v>0.06473648111</v>
      </c>
    </row>
    <row r="20">
      <c r="B20" s="6" t="s">
        <v>26</v>
      </c>
      <c r="C20" s="7">
        <f>Inputs!C10*Inputs!C13</f>
        <v>0</v>
      </c>
      <c r="E20" s="6" t="s">
        <v>15</v>
      </c>
      <c r="F20" s="15" t="str">
        <f>'Annual CF'!C34/Inputs!C10</f>
        <v>#DIV/0!</v>
      </c>
    </row>
    <row r="21" ht="15.75" customHeight="1">
      <c r="B21" s="6" t="s">
        <v>27</v>
      </c>
      <c r="C21" s="7">
        <f>Inputs!C103</f>
        <v>5000</v>
      </c>
      <c r="E21" s="6" t="s">
        <v>28</v>
      </c>
      <c r="F21" s="7">
        <f>SUM('Annual CF'!C34:L34)</f>
        <v>0</v>
      </c>
    </row>
    <row r="22" ht="15.75" customHeight="1">
      <c r="B22" s="22" t="s">
        <v>29</v>
      </c>
      <c r="C22" s="23">
        <f>Inputs!C98</f>
        <v>5000</v>
      </c>
      <c r="E22" s="6" t="s">
        <v>30</v>
      </c>
      <c r="F22" s="7">
        <f>SUM('Annual CF'!C79:L79)</f>
        <v>-924642.0991</v>
      </c>
    </row>
    <row r="23" ht="15.75" customHeight="1">
      <c r="B23" s="24" t="s">
        <v>31</v>
      </c>
      <c r="C23" s="9"/>
      <c r="E23" s="6" t="s">
        <v>32</v>
      </c>
      <c r="F23" s="7">
        <f>Inputs!C118</f>
        <v>0</v>
      </c>
    </row>
    <row r="24" ht="15.75" customHeight="1">
      <c r="B24" s="11" t="s">
        <v>33</v>
      </c>
      <c r="C24" s="14">
        <f>Inputs!C60</f>
        <v>0</v>
      </c>
      <c r="E24" s="6" t="s">
        <v>34</v>
      </c>
      <c r="F24" s="7">
        <f>Inputs!C120</f>
        <v>0</v>
      </c>
    </row>
    <row r="25" ht="15.75" customHeight="1">
      <c r="B25" s="6" t="s">
        <v>35</v>
      </c>
      <c r="C25" s="7">
        <f>Inputs!C69</f>
        <v>750000</v>
      </c>
      <c r="E25" s="24" t="s">
        <v>36</v>
      </c>
      <c r="F25" s="9"/>
    </row>
    <row r="26" ht="15.75" customHeight="1">
      <c r="B26" s="18" t="s">
        <v>37</v>
      </c>
      <c r="C26" s="20">
        <f>Inputs!C104</f>
        <v>-745000</v>
      </c>
      <c r="E26" s="11" t="s">
        <v>38</v>
      </c>
      <c r="F26" s="25" t="str">
        <f>IF('Annual CF'!C89&gt;=1.25,"✓ PASS","✗ FAIL")</f>
        <v>✗ FAIL</v>
      </c>
    </row>
    <row r="27" ht="15.75" customHeight="1">
      <c r="E27" s="18" t="s">
        <v>39</v>
      </c>
      <c r="F27" s="26" t="str">
        <f>IF('Annual CF'!C79&gt;0,"✓ PASS","✗ FAIL")</f>
        <v>✗ FAIL</v>
      </c>
    </row>
    <row r="28" ht="15.75" customHeight="1"/>
    <row r="29" ht="15.75" customHeight="1">
      <c r="A29" s="5" t="s">
        <v>40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3"/>
    </row>
    <row r="30" ht="15.75" customHeight="1">
      <c r="B30" s="27" t="s">
        <v>41</v>
      </c>
      <c r="C30" s="28" t="s">
        <v>42</v>
      </c>
      <c r="D30" s="28" t="s">
        <v>43</v>
      </c>
      <c r="E30" s="28" t="s">
        <v>44</v>
      </c>
      <c r="F30" s="28" t="s">
        <v>45</v>
      </c>
      <c r="G30" s="28" t="s">
        <v>46</v>
      </c>
      <c r="H30" s="28" t="s">
        <v>47</v>
      </c>
      <c r="I30" s="28" t="s">
        <v>48</v>
      </c>
      <c r="J30" s="28" t="s">
        <v>49</v>
      </c>
      <c r="K30" s="28" t="s">
        <v>50</v>
      </c>
      <c r="L30" s="28" t="s">
        <v>51</v>
      </c>
    </row>
    <row r="31" ht="15.75" customHeight="1">
      <c r="B31" s="29" t="s">
        <v>52</v>
      </c>
      <c r="C31" s="30">
        <f>'Annual CF'!C34</f>
        <v>0</v>
      </c>
      <c r="D31" s="31">
        <f>'Annual CF'!D34</f>
        <v>0</v>
      </c>
      <c r="E31" s="31">
        <f>'Annual CF'!E34</f>
        <v>0</v>
      </c>
      <c r="F31" s="31">
        <f>'Annual CF'!F34</f>
        <v>0</v>
      </c>
      <c r="G31" s="31">
        <f>'Annual CF'!G34</f>
        <v>0</v>
      </c>
      <c r="H31" s="31">
        <f>'Annual CF'!H34</f>
        <v>0</v>
      </c>
      <c r="I31" s="31">
        <f>'Annual CF'!I34</f>
        <v>0</v>
      </c>
      <c r="J31" s="31">
        <f>'Annual CF'!J34</f>
        <v>0</v>
      </c>
      <c r="K31" s="31">
        <f>'Annual CF'!K34</f>
        <v>0</v>
      </c>
      <c r="L31" s="32">
        <f>'Annual CF'!L34</f>
        <v>0</v>
      </c>
    </row>
    <row r="32" ht="15.75" customHeight="1">
      <c r="B32" s="33" t="s">
        <v>53</v>
      </c>
      <c r="C32" s="34">
        <f>'Annual CF'!C45</f>
        <v>-5000</v>
      </c>
      <c r="D32" s="35">
        <f>'Annual CF'!D45</f>
        <v>0</v>
      </c>
      <c r="E32" s="35">
        <f>'Annual CF'!E45</f>
        <v>0</v>
      </c>
      <c r="F32" s="35">
        <f>'Annual CF'!F45</f>
        <v>0</v>
      </c>
      <c r="G32" s="35">
        <f>'Annual CF'!G45</f>
        <v>0</v>
      </c>
      <c r="H32" s="35">
        <f>'Annual CF'!H45</f>
        <v>0</v>
      </c>
      <c r="I32" s="35">
        <f>'Annual CF'!I45</f>
        <v>0</v>
      </c>
      <c r="J32" s="35">
        <f>'Annual CF'!J45</f>
        <v>0</v>
      </c>
      <c r="K32" s="35">
        <f>'Annual CF'!K45</f>
        <v>0</v>
      </c>
      <c r="L32" s="36">
        <f>'Annual CF'!L45</f>
        <v>0</v>
      </c>
    </row>
    <row r="33" ht="15.75" customHeight="1">
      <c r="B33" s="29" t="s">
        <v>54</v>
      </c>
      <c r="C33" s="37">
        <f>'Annual CF'!C79</f>
        <v>-48228.67842</v>
      </c>
      <c r="D33" s="38">
        <f>'Annual CF'!D79</f>
        <v>-52613.10374</v>
      </c>
      <c r="E33" s="38">
        <f>'Annual CF'!E79</f>
        <v>-52613.10374</v>
      </c>
      <c r="F33" s="38">
        <f>'Annual CF'!F79</f>
        <v>-52613.10374</v>
      </c>
      <c r="G33" s="38">
        <f>'Annual CF'!G79</f>
        <v>-718574.1095</v>
      </c>
      <c r="H33" s="38">
        <f>'Annual CF'!H79</f>
        <v>0</v>
      </c>
      <c r="I33" s="38">
        <f>'Annual CF'!I79</f>
        <v>0</v>
      </c>
      <c r="J33" s="38">
        <f>'Annual CF'!J79</f>
        <v>0</v>
      </c>
      <c r="K33" s="38">
        <f>'Annual CF'!K79</f>
        <v>0</v>
      </c>
      <c r="L33" s="39">
        <f>'Annual CF'!L79</f>
        <v>0</v>
      </c>
    </row>
    <row r="34" ht="15.75" customHeight="1">
      <c r="B34" s="33" t="s">
        <v>55</v>
      </c>
      <c r="C34" s="40">
        <f>'Annual CF'!C89</f>
        <v>0</v>
      </c>
      <c r="D34" s="41">
        <f>'Annual CF'!D89</f>
        <v>0</v>
      </c>
      <c r="E34" s="41">
        <f>'Annual CF'!E89</f>
        <v>0</v>
      </c>
      <c r="F34" s="41">
        <f>'Annual CF'!F89</f>
        <v>0</v>
      </c>
      <c r="G34" s="41">
        <f>'Annual CF'!G89</f>
        <v>0</v>
      </c>
      <c r="H34" s="41" t="str">
        <f>'Annual CF'!H89</f>
        <v>-</v>
      </c>
      <c r="I34" s="41" t="str">
        <f>'Annual CF'!I89</f>
        <v>-</v>
      </c>
      <c r="J34" s="41" t="str">
        <f>'Annual CF'!J89</f>
        <v>-</v>
      </c>
      <c r="K34" s="41" t="str">
        <f>'Annual CF'!K89</f>
        <v>-</v>
      </c>
      <c r="L34" s="42" t="str">
        <f>'Annual CF'!L89</f>
        <v>-</v>
      </c>
    </row>
    <row r="35" ht="15.75" customHeight="1">
      <c r="B35" s="29" t="s">
        <v>56</v>
      </c>
      <c r="C35" s="37">
        <f>'Annual CF'!C84</f>
        <v>0</v>
      </c>
      <c r="D35" s="38">
        <f>'Annual CF'!D84</f>
        <v>0</v>
      </c>
      <c r="E35" s="38">
        <f>'Annual CF'!E84</f>
        <v>0</v>
      </c>
      <c r="F35" s="38">
        <f>'Annual CF'!F84</f>
        <v>0</v>
      </c>
      <c r="G35" s="38">
        <f>'Annual CF'!G84</f>
        <v>0</v>
      </c>
      <c r="H35" s="38">
        <f>'Annual CF'!H84</f>
        <v>0</v>
      </c>
      <c r="I35" s="38">
        <f>'Annual CF'!I84</f>
        <v>0</v>
      </c>
      <c r="J35" s="38">
        <f>'Annual CF'!J84</f>
        <v>0</v>
      </c>
      <c r="K35" s="38">
        <f>'Annual CF'!K84</f>
        <v>0</v>
      </c>
      <c r="L35" s="39">
        <f>'Annual CF'!L84</f>
        <v>0</v>
      </c>
    </row>
    <row r="36" ht="15.75" customHeight="1">
      <c r="B36" s="33" t="s">
        <v>57</v>
      </c>
      <c r="C36" s="34">
        <f>'Annual CF'!C86</f>
        <v>0</v>
      </c>
      <c r="D36" s="35">
        <f>'Annual CF'!D86</f>
        <v>0</v>
      </c>
      <c r="E36" s="35">
        <f>'Annual CF'!E86</f>
        <v>0</v>
      </c>
      <c r="F36" s="35">
        <f>'Annual CF'!F86</f>
        <v>0</v>
      </c>
      <c r="G36" s="35">
        <f>'Annual CF'!G86</f>
        <v>0</v>
      </c>
      <c r="H36" s="35">
        <f>'Annual CF'!H86</f>
        <v>0</v>
      </c>
      <c r="I36" s="35">
        <f>'Annual CF'!I86</f>
        <v>0</v>
      </c>
      <c r="J36" s="35">
        <f>'Annual CF'!J86</f>
        <v>0</v>
      </c>
      <c r="K36" s="35">
        <f>'Annual CF'!K86</f>
        <v>0</v>
      </c>
      <c r="L36" s="36">
        <f>'Annual CF'!L86</f>
        <v>0</v>
      </c>
    </row>
    <row r="37" ht="15.75" customHeight="1">
      <c r="B37" s="43" t="s">
        <v>58</v>
      </c>
      <c r="C37" s="44">
        <f>'Annual CF'!C80</f>
        <v>-48228.67842</v>
      </c>
      <c r="D37" s="45">
        <f>'Annual CF'!D80</f>
        <v>-100841.7822</v>
      </c>
      <c r="E37" s="45">
        <f>'Annual CF'!E80</f>
        <v>-153454.8859</v>
      </c>
      <c r="F37" s="45">
        <f>'Annual CF'!F80</f>
        <v>-206067.9896</v>
      </c>
      <c r="G37" s="45">
        <f>'Annual CF'!G80</f>
        <v>-924642.0991</v>
      </c>
      <c r="H37" s="45">
        <f>'Annual CF'!H80</f>
        <v>-924642.0991</v>
      </c>
      <c r="I37" s="45">
        <f>'Annual CF'!I80</f>
        <v>-924642.0991</v>
      </c>
      <c r="J37" s="45">
        <f>'Annual CF'!J80</f>
        <v>-924642.0991</v>
      </c>
      <c r="K37" s="45">
        <f>'Annual CF'!K80</f>
        <v>-924642.0991</v>
      </c>
      <c r="L37" s="46">
        <f>'Annual CF'!L80</f>
        <v>-924642.0991</v>
      </c>
    </row>
    <row r="38" ht="15.75" customHeight="1"/>
    <row r="39" ht="15.75" customHeight="1">
      <c r="A39" s="5" t="s">
        <v>59</v>
      </c>
      <c r="B39" s="2"/>
      <c r="C39" s="3"/>
      <c r="E39" s="5" t="s">
        <v>60</v>
      </c>
      <c r="F39" s="3"/>
    </row>
    <row r="40" ht="15.75" customHeight="1">
      <c r="B40" s="6" t="s">
        <v>61</v>
      </c>
      <c r="C40" s="47" t="str">
        <f>'Equity Waterfall'!N72</f>
        <v>-</v>
      </c>
      <c r="E40" s="6" t="s">
        <v>33</v>
      </c>
      <c r="F40" s="7">
        <f>Inputs!C60</f>
        <v>0</v>
      </c>
    </row>
    <row r="41" ht="15.75" customHeight="1">
      <c r="B41" s="6" t="s">
        <v>62</v>
      </c>
      <c r="C41" s="13">
        <f>'Equity Waterfall'!N73</f>
        <v>0</v>
      </c>
      <c r="E41" s="6" t="s">
        <v>63</v>
      </c>
      <c r="F41" s="48" t="str">
        <f>TEXT(Inputs!C61,"0.0%")&amp;" / "&amp;Inputs!C62&amp;"yr / Yr "&amp;Inputs!C63</f>
        <v>5.0% / 25yr / Yr 5</v>
      </c>
    </row>
    <row r="42" ht="15.75" customHeight="1">
      <c r="B42" s="6" t="s">
        <v>64</v>
      </c>
      <c r="C42" s="14">
        <f>'Equity Waterfall'!N53</f>
        <v>0</v>
      </c>
      <c r="E42" s="6" t="s">
        <v>35</v>
      </c>
      <c r="F42" s="7">
        <f>Inputs!C69</f>
        <v>750000</v>
      </c>
    </row>
    <row r="43" ht="15.75" customHeight="1">
      <c r="B43" s="6" t="s">
        <v>65</v>
      </c>
      <c r="C43" s="7">
        <f>'Equity Waterfall'!N51</f>
        <v>0</v>
      </c>
      <c r="E43" s="6" t="s">
        <v>63</v>
      </c>
      <c r="F43" s="48" t="str">
        <f>TEXT(Inputs!C70,"0.0%")&amp;" / "&amp;Inputs!C71&amp;"yr / Yr "&amp;Inputs!C72</f>
        <v>5.0% / 25yr / Yr 5</v>
      </c>
    </row>
    <row r="44" ht="15.75" customHeight="1">
      <c r="B44" s="18" t="s">
        <v>66</v>
      </c>
      <c r="C44" s="20">
        <f>'Equity Waterfall'!N52</f>
        <v>0</v>
      </c>
      <c r="E44" s="6" t="s">
        <v>67</v>
      </c>
      <c r="F44" s="7">
        <f>Inputs!C84</f>
        <v>0</v>
      </c>
    </row>
    <row r="45" ht="15.75" customHeight="1">
      <c r="E45" s="18" t="s">
        <v>68</v>
      </c>
      <c r="F45" s="49" t="str">
        <f>TEXT(Inputs!C85,"0.0%")&amp;" / "&amp;Inputs!C86&amp;"yr / "&amp;Inputs!C87&amp;"yr"</f>
        <v>7.0% / 25yr / 7yr</v>
      </c>
    </row>
    <row r="46" ht="15.75" customHeight="1"/>
    <row r="47" ht="15.75" customHeight="1">
      <c r="A47" s="50" t="s">
        <v>69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3"/>
    </row>
    <row r="48" ht="15.75" customHeight="1">
      <c r="A48" s="51" t="s">
        <v>70</v>
      </c>
    </row>
    <row r="49" ht="15.75" customHeight="1">
      <c r="A49" s="51" t="s">
        <v>71</v>
      </c>
    </row>
    <row r="50" ht="15.75" customHeight="1">
      <c r="A50" s="51" t="s">
        <v>72</v>
      </c>
    </row>
    <row r="51" ht="15.75" customHeight="1">
      <c r="A51" s="51" t="str">
        <f>"• Equity waterfall: Preferred Return → GP Catch-Up → "&amp;TEXT(Inputs!C132,"0%")&amp;"/"&amp;TEXT(Inputs!D132,"0%")&amp;" Residual → "&amp;TEXT(Inputs!C133,"0%")&amp;"/"&amp;TEXT(Inputs!D133,"0%")&amp;" above "&amp;TEXT(Inputs!C126,"0%")&amp;" IRR hurdle"</f>
        <v>• Equity waterfall: Preferred Return → GP Catch-Up → 70%/30% Residual → 50%/50% above 15% IRR hurdle</v>
      </c>
    </row>
    <row r="52" ht="15.75" customHeight="1">
      <c r="A52" s="51" t="s">
        <v>73</v>
      </c>
    </row>
    <row r="53" ht="15.75" customHeight="1">
      <c r="A53" s="51" t="s">
        <v>74</v>
      </c>
    </row>
    <row r="54" ht="15.75" customHeight="1">
      <c r="A54" s="51" t="s">
        <v>75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L1"/>
    <mergeCell ref="A2:L2"/>
    <mergeCell ref="A4:C4"/>
    <mergeCell ref="E4:F4"/>
    <mergeCell ref="E5:F5"/>
    <mergeCell ref="E10:F10"/>
    <mergeCell ref="E16:F16"/>
    <mergeCell ref="A48:L48"/>
    <mergeCell ref="A49:L49"/>
    <mergeCell ref="A50:L50"/>
    <mergeCell ref="A51:L51"/>
    <mergeCell ref="A52:L52"/>
    <mergeCell ref="A53:L53"/>
    <mergeCell ref="A54:L54"/>
    <mergeCell ref="A16:C16"/>
    <mergeCell ref="B23:C23"/>
    <mergeCell ref="E25:F25"/>
    <mergeCell ref="A29:L29"/>
    <mergeCell ref="A39:C39"/>
    <mergeCell ref="E39:F39"/>
    <mergeCell ref="A47:L47"/>
  </mergeCells>
  <conditionalFormatting sqref="F26:F27">
    <cfRule type="containsText" dxfId="0" priority="1" operator="containsText" text="PASS">
      <formula>NOT(ISERROR(SEARCH(("PASS"),(F26))))</formula>
    </cfRule>
  </conditionalFormatting>
  <conditionalFormatting sqref="F26:F27">
    <cfRule type="containsText" dxfId="1" priority="2" operator="containsText" text="FAIL">
      <formula>NOT(ISERROR(SEARCH(("FAIL"),(F26))))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6.43"/>
    <col customWidth="1" min="2" max="2" width="40.57"/>
    <col customWidth="1" min="3" max="3" width="27.29"/>
    <col customWidth="1" min="4" max="4" width="21.43"/>
    <col customWidth="1" min="5" max="5" width="21.0"/>
    <col customWidth="1" min="6" max="6" width="18.71"/>
    <col customWidth="1" min="7" max="26" width="8.71"/>
  </cols>
  <sheetData>
    <row r="1" ht="30.0" customHeight="1">
      <c r="A1" s="52" t="s">
        <v>76</v>
      </c>
      <c r="B1" s="2"/>
      <c r="C1" s="2"/>
      <c r="D1" s="2"/>
      <c r="E1" s="2"/>
      <c r="F1" s="3"/>
    </row>
    <row r="2" ht="15.75" customHeight="1">
      <c r="A2" s="53" t="s">
        <v>77</v>
      </c>
      <c r="B2" s="2"/>
      <c r="C2" s="2"/>
      <c r="D2" s="2"/>
      <c r="E2" s="2"/>
      <c r="F2" s="3"/>
    </row>
    <row r="3">
      <c r="A3" s="54"/>
      <c r="B3" s="54"/>
      <c r="C3" s="54"/>
      <c r="D3" s="54"/>
      <c r="E3" s="54"/>
      <c r="F3" s="54"/>
    </row>
    <row r="4" ht="18.0" customHeight="1">
      <c r="A4" s="55" t="s">
        <v>78</v>
      </c>
      <c r="B4" s="2"/>
      <c r="C4" s="2"/>
      <c r="D4" s="2"/>
      <c r="E4" s="2"/>
      <c r="F4" s="3"/>
    </row>
    <row r="5" ht="15.75" customHeight="1">
      <c r="A5" s="54"/>
      <c r="B5" s="56" t="s">
        <v>79</v>
      </c>
      <c r="C5" s="57"/>
      <c r="D5" s="54"/>
      <c r="E5" s="54"/>
      <c r="F5" s="54"/>
    </row>
    <row r="6" ht="15.75" customHeight="1">
      <c r="A6" s="54"/>
      <c r="B6" s="56" t="s">
        <v>80</v>
      </c>
      <c r="C6" s="57"/>
      <c r="D6" s="54"/>
      <c r="E6" s="54"/>
      <c r="F6" s="54"/>
    </row>
    <row r="7" ht="15.75" customHeight="1">
      <c r="A7" s="54"/>
      <c r="B7" s="56" t="s">
        <v>81</v>
      </c>
      <c r="C7" s="57"/>
      <c r="D7" s="54"/>
      <c r="E7" s="54"/>
      <c r="F7" s="54"/>
    </row>
    <row r="8" ht="15.75" customHeight="1">
      <c r="A8" s="54"/>
      <c r="B8" s="56" t="s">
        <v>82</v>
      </c>
      <c r="C8" s="57"/>
      <c r="D8" s="54"/>
      <c r="E8" s="54"/>
      <c r="F8" s="54"/>
    </row>
    <row r="9" ht="15.75" customHeight="1">
      <c r="A9" s="54"/>
      <c r="B9" s="56" t="s">
        <v>83</v>
      </c>
      <c r="C9" s="58"/>
      <c r="D9" s="54"/>
      <c r="E9" s="54"/>
      <c r="F9" s="54"/>
    </row>
    <row r="10" ht="15.75" customHeight="1">
      <c r="A10" s="54"/>
      <c r="B10" s="56" t="s">
        <v>84</v>
      </c>
      <c r="C10" s="59"/>
      <c r="D10" s="60" t="s">
        <v>85</v>
      </c>
      <c r="E10" s="54"/>
      <c r="F10" s="54"/>
    </row>
    <row r="11" ht="15.75" customHeight="1">
      <c r="A11" s="54"/>
      <c r="B11" s="61" t="s">
        <v>86</v>
      </c>
      <c r="C11" s="62"/>
      <c r="D11" s="63">
        <f>C10*C11</f>
        <v>0</v>
      </c>
      <c r="E11" s="54"/>
      <c r="F11" s="54"/>
    </row>
    <row r="12" ht="15.75" customHeight="1">
      <c r="A12" s="54"/>
      <c r="B12" s="61" t="s">
        <v>87</v>
      </c>
      <c r="C12" s="64" t="str">
        <f>D12/C10</f>
        <v>#DIV/0!</v>
      </c>
      <c r="D12" s="65"/>
      <c r="E12" s="54"/>
      <c r="F12" s="54"/>
    </row>
    <row r="13" ht="15.75" customHeight="1">
      <c r="A13" s="54"/>
      <c r="B13" s="61" t="s">
        <v>88</v>
      </c>
      <c r="C13" s="66"/>
      <c r="D13" s="67">
        <f>C10*C13</f>
        <v>0</v>
      </c>
      <c r="E13" s="54"/>
      <c r="F13" s="54"/>
    </row>
    <row r="14" ht="15.75" customHeight="1">
      <c r="A14" s="54"/>
      <c r="B14" s="56" t="s">
        <v>89</v>
      </c>
      <c r="C14" s="68"/>
      <c r="D14" s="54"/>
      <c r="E14" s="54"/>
      <c r="F14" s="54"/>
    </row>
    <row r="15" ht="15.75" customHeight="1">
      <c r="A15" s="54"/>
      <c r="B15" s="56" t="s">
        <v>90</v>
      </c>
      <c r="C15" s="69">
        <v>10.0</v>
      </c>
      <c r="D15" s="54"/>
      <c r="E15" s="54"/>
      <c r="F15" s="54"/>
    </row>
    <row r="16" ht="15.75" customHeight="1">
      <c r="A16" s="54"/>
      <c r="B16" s="56" t="s">
        <v>91</v>
      </c>
      <c r="C16" s="69">
        <v>5.0</v>
      </c>
      <c r="D16" s="54"/>
      <c r="E16" s="54"/>
      <c r="F16" s="54"/>
    </row>
    <row r="17">
      <c r="A17" s="54"/>
      <c r="B17" s="54"/>
      <c r="C17" s="54"/>
      <c r="D17" s="54"/>
      <c r="E17" s="54"/>
      <c r="F17" s="54"/>
    </row>
    <row r="18" ht="18.0" customHeight="1">
      <c r="A18" s="70" t="s">
        <v>92</v>
      </c>
      <c r="B18" s="70"/>
      <c r="C18" s="71" t="s">
        <v>93</v>
      </c>
      <c r="D18" s="71" t="s">
        <v>94</v>
      </c>
      <c r="E18" s="71" t="s">
        <v>95</v>
      </c>
      <c r="F18" s="70"/>
    </row>
    <row r="19" ht="15.0" customHeight="1">
      <c r="A19" s="54"/>
      <c r="B19" s="72" t="s">
        <v>96</v>
      </c>
    </row>
    <row r="20" ht="15.75" customHeight="1">
      <c r="A20" s="54"/>
      <c r="B20" s="56" t="s">
        <v>97</v>
      </c>
      <c r="C20" s="73"/>
      <c r="D20" s="74">
        <v>0.1</v>
      </c>
      <c r="E20" s="75">
        <f>C20*(1+D20)</f>
        <v>0</v>
      </c>
      <c r="F20" s="54"/>
    </row>
    <row r="21" ht="15.75" customHeight="1">
      <c r="A21" s="54"/>
      <c r="B21" s="56" t="s">
        <v>98</v>
      </c>
      <c r="C21" s="76"/>
      <c r="D21" s="77"/>
      <c r="E21" s="78" t="str">
        <f t="shared" ref="E21:E22" si="1">C21</f>
        <v/>
      </c>
      <c r="F21" s="54"/>
    </row>
    <row r="22" ht="15.75" customHeight="1">
      <c r="A22" s="54"/>
      <c r="B22" s="56" t="s">
        <v>99</v>
      </c>
      <c r="C22" s="76"/>
      <c r="D22" s="79"/>
      <c r="E22" s="78" t="str">
        <f t="shared" si="1"/>
        <v/>
      </c>
      <c r="F22" s="54"/>
    </row>
    <row r="23" ht="15.75" customHeight="1">
      <c r="A23" s="54"/>
      <c r="B23" s="56" t="s">
        <v>100</v>
      </c>
      <c r="C23" s="73"/>
      <c r="D23" s="80">
        <v>0.05</v>
      </c>
      <c r="E23" s="81">
        <f t="shared" ref="E23:E27" si="2">C23*(1+D23)</f>
        <v>0</v>
      </c>
      <c r="F23" s="54"/>
    </row>
    <row r="24" ht="15.75" customHeight="1">
      <c r="A24" s="54"/>
      <c r="B24" s="56" t="s">
        <v>101</v>
      </c>
      <c r="C24" s="73"/>
      <c r="D24" s="74">
        <v>0.05</v>
      </c>
      <c r="E24" s="81">
        <f t="shared" si="2"/>
        <v>0</v>
      </c>
      <c r="F24" s="54"/>
    </row>
    <row r="25" ht="15.75" customHeight="1">
      <c r="A25" s="54"/>
      <c r="B25" s="56" t="s">
        <v>102</v>
      </c>
      <c r="C25" s="82"/>
      <c r="D25" s="74">
        <v>0.05</v>
      </c>
      <c r="E25" s="81">
        <f t="shared" si="2"/>
        <v>0</v>
      </c>
      <c r="F25" s="54"/>
    </row>
    <row r="26" ht="15.75" customHeight="1">
      <c r="A26" s="54"/>
      <c r="B26" s="61" t="s">
        <v>103</v>
      </c>
      <c r="C26" s="82"/>
      <c r="D26" s="74">
        <v>0.05</v>
      </c>
      <c r="E26" s="81">
        <f t="shared" si="2"/>
        <v>0</v>
      </c>
      <c r="F26" s="54"/>
    </row>
    <row r="27" ht="15.75" customHeight="1">
      <c r="A27" s="54"/>
      <c r="B27" s="61" t="s">
        <v>104</v>
      </c>
      <c r="C27" s="73"/>
      <c r="D27" s="83">
        <v>0.05</v>
      </c>
      <c r="E27" s="84">
        <f t="shared" si="2"/>
        <v>0</v>
      </c>
      <c r="F27" s="54"/>
    </row>
    <row r="28" ht="15.75" customHeight="1">
      <c r="A28" s="54"/>
      <c r="B28" s="85" t="s">
        <v>105</v>
      </c>
      <c r="C28" s="86">
        <v>0.05</v>
      </c>
      <c r="D28" s="54"/>
      <c r="E28" s="87"/>
      <c r="F28" s="54"/>
    </row>
    <row r="29" ht="15.75" customHeight="1">
      <c r="A29" s="54"/>
      <c r="B29" s="85" t="s">
        <v>106</v>
      </c>
      <c r="C29" s="88">
        <v>1.0</v>
      </c>
      <c r="D29" s="54"/>
      <c r="E29" s="89"/>
      <c r="F29" s="54"/>
    </row>
    <row r="30" ht="15.75" customHeight="1">
      <c r="A30" s="54"/>
      <c r="B30" s="54"/>
      <c r="C30" s="54"/>
      <c r="D30" s="54"/>
      <c r="E30" s="54"/>
      <c r="F30" s="54"/>
    </row>
    <row r="31" ht="18.0" customHeight="1">
      <c r="A31" s="70" t="s">
        <v>107</v>
      </c>
      <c r="B31" s="70"/>
      <c r="C31" s="71" t="s">
        <v>93</v>
      </c>
      <c r="D31" s="71" t="s">
        <v>94</v>
      </c>
      <c r="E31" s="71" t="s">
        <v>95</v>
      </c>
      <c r="F31" s="70"/>
    </row>
    <row r="32" ht="15.75" customHeight="1">
      <c r="A32" s="54"/>
      <c r="B32" s="56" t="s">
        <v>108</v>
      </c>
      <c r="C32" s="90"/>
      <c r="D32" s="80">
        <v>0.04</v>
      </c>
      <c r="E32" s="75">
        <f t="shared" ref="E32:E33" si="3">C32*(1+D32)</f>
        <v>0</v>
      </c>
      <c r="F32" s="54"/>
    </row>
    <row r="33" ht="15.75" customHeight="1">
      <c r="A33" s="54"/>
      <c r="B33" s="56" t="s">
        <v>109</v>
      </c>
      <c r="C33" s="73"/>
      <c r="D33" s="83">
        <v>0.04</v>
      </c>
      <c r="E33" s="81">
        <f t="shared" si="3"/>
        <v>0</v>
      </c>
      <c r="F33" s="54"/>
    </row>
    <row r="34" ht="15.75" customHeight="1">
      <c r="A34" s="54"/>
      <c r="B34" s="56" t="s">
        <v>110</v>
      </c>
      <c r="C34" s="91"/>
      <c r="D34" s="54"/>
      <c r="E34" s="92" t="str">
        <f>C34</f>
        <v/>
      </c>
      <c r="F34" s="54"/>
    </row>
    <row r="35" ht="15.75" customHeight="1">
      <c r="A35" s="54"/>
      <c r="B35" s="56" t="s">
        <v>111</v>
      </c>
      <c r="C35" s="73"/>
      <c r="D35" s="83">
        <v>0.04</v>
      </c>
      <c r="E35" s="81">
        <f t="shared" ref="E35:E46" si="4">C35*(1+D35)</f>
        <v>0</v>
      </c>
      <c r="F35" s="54"/>
    </row>
    <row r="36" ht="15.75" customHeight="1">
      <c r="A36" s="54"/>
      <c r="B36" s="56" t="s">
        <v>112</v>
      </c>
      <c r="C36" s="73"/>
      <c r="D36" s="83">
        <v>0.04</v>
      </c>
      <c r="E36" s="81">
        <f t="shared" si="4"/>
        <v>0</v>
      </c>
      <c r="F36" s="54"/>
    </row>
    <row r="37" ht="15.75" customHeight="1">
      <c r="A37" s="54"/>
      <c r="B37" s="56" t="s">
        <v>113</v>
      </c>
      <c r="C37" s="73"/>
      <c r="D37" s="83">
        <v>0.04</v>
      </c>
      <c r="E37" s="81">
        <f t="shared" si="4"/>
        <v>0</v>
      </c>
      <c r="F37" s="54"/>
    </row>
    <row r="38" ht="15.75" customHeight="1">
      <c r="A38" s="54"/>
      <c r="B38" s="56" t="s">
        <v>114</v>
      </c>
      <c r="C38" s="73"/>
      <c r="D38" s="83">
        <v>0.04</v>
      </c>
      <c r="E38" s="81">
        <f t="shared" si="4"/>
        <v>0</v>
      </c>
      <c r="F38" s="54"/>
    </row>
    <row r="39" ht="15.75" customHeight="1">
      <c r="A39" s="54"/>
      <c r="B39" s="56" t="s">
        <v>115</v>
      </c>
      <c r="C39" s="73"/>
      <c r="D39" s="83">
        <v>0.04</v>
      </c>
      <c r="E39" s="81">
        <f t="shared" si="4"/>
        <v>0</v>
      </c>
      <c r="F39" s="54"/>
    </row>
    <row r="40" ht="15.75" customHeight="1">
      <c r="A40" s="54"/>
      <c r="B40" s="56" t="s">
        <v>116</v>
      </c>
      <c r="C40" s="73"/>
      <c r="D40" s="83">
        <v>0.04</v>
      </c>
      <c r="E40" s="81">
        <f t="shared" si="4"/>
        <v>0</v>
      </c>
      <c r="F40" s="54"/>
    </row>
    <row r="41" ht="15.75" customHeight="1">
      <c r="A41" s="54"/>
      <c r="B41" s="61" t="s">
        <v>117</v>
      </c>
      <c r="C41" s="73"/>
      <c r="D41" s="83">
        <v>0.04</v>
      </c>
      <c r="E41" s="81">
        <f t="shared" si="4"/>
        <v>0</v>
      </c>
      <c r="F41" s="54"/>
    </row>
    <row r="42" ht="15.75" customHeight="1">
      <c r="A42" s="54"/>
      <c r="B42" s="61" t="s">
        <v>118</v>
      </c>
      <c r="C42" s="73"/>
      <c r="D42" s="83">
        <v>0.04</v>
      </c>
      <c r="E42" s="81">
        <f t="shared" si="4"/>
        <v>0</v>
      </c>
      <c r="F42" s="54"/>
    </row>
    <row r="43" ht="15.75" customHeight="1">
      <c r="A43" s="54"/>
      <c r="B43" s="61" t="s">
        <v>119</v>
      </c>
      <c r="C43" s="73"/>
      <c r="D43" s="83">
        <v>0.04</v>
      </c>
      <c r="E43" s="81">
        <f t="shared" si="4"/>
        <v>0</v>
      </c>
      <c r="F43" s="54"/>
    </row>
    <row r="44" ht="15.75" customHeight="1">
      <c r="A44" s="54"/>
      <c r="B44" s="61" t="s">
        <v>120</v>
      </c>
      <c r="C44" s="82"/>
      <c r="D44" s="74">
        <v>0.02</v>
      </c>
      <c r="E44" s="81">
        <f t="shared" si="4"/>
        <v>0</v>
      </c>
      <c r="F44" s="54"/>
    </row>
    <row r="45" ht="15.75" customHeight="1">
      <c r="A45" s="54"/>
      <c r="B45" s="61" t="s">
        <v>121</v>
      </c>
      <c r="C45" s="82"/>
      <c r="D45" s="74">
        <v>0.02</v>
      </c>
      <c r="E45" s="81">
        <f t="shared" si="4"/>
        <v>0</v>
      </c>
      <c r="F45" s="54"/>
    </row>
    <row r="46" ht="15.75" customHeight="1">
      <c r="A46" s="54"/>
      <c r="B46" s="61" t="s">
        <v>122</v>
      </c>
      <c r="C46" s="82"/>
      <c r="D46" s="83">
        <v>0.02</v>
      </c>
      <c r="E46" s="81">
        <f t="shared" si="4"/>
        <v>0</v>
      </c>
      <c r="F46" s="54"/>
    </row>
    <row r="47" ht="15.75" customHeight="1">
      <c r="A47" s="54"/>
      <c r="B47" s="85" t="s">
        <v>123</v>
      </c>
      <c r="C47" s="93">
        <v>0.03</v>
      </c>
      <c r="D47" s="54"/>
      <c r="E47" s="79"/>
      <c r="F47" s="54"/>
    </row>
    <row r="48" ht="15.75" customHeight="1">
      <c r="A48" s="54"/>
      <c r="B48" s="85" t="s">
        <v>124</v>
      </c>
      <c r="C48" s="88">
        <v>1.0</v>
      </c>
      <c r="D48" s="54"/>
      <c r="E48" s="89"/>
      <c r="F48" s="54"/>
    </row>
    <row r="49" ht="15.75" customHeight="1">
      <c r="A49" s="54"/>
      <c r="B49" s="54"/>
      <c r="C49" s="54"/>
      <c r="D49" s="54"/>
      <c r="E49" s="54"/>
      <c r="F49" s="54"/>
    </row>
    <row r="50" ht="18.0" customHeight="1">
      <c r="A50" s="70" t="s">
        <v>125</v>
      </c>
      <c r="B50" s="70"/>
      <c r="C50" s="94" t="s">
        <v>126</v>
      </c>
      <c r="D50" s="94" t="s">
        <v>127</v>
      </c>
      <c r="E50" s="70"/>
      <c r="F50" s="70"/>
    </row>
    <row r="51" ht="15.75" customHeight="1">
      <c r="A51" s="54"/>
      <c r="B51" s="56" t="s">
        <v>128</v>
      </c>
      <c r="C51" s="95"/>
      <c r="D51" s="96">
        <v>1.0</v>
      </c>
      <c r="E51" s="54"/>
      <c r="F51" s="54"/>
    </row>
    <row r="52" ht="15.75" customHeight="1">
      <c r="A52" s="54"/>
      <c r="B52" s="56" t="s">
        <v>129</v>
      </c>
      <c r="C52" s="97"/>
      <c r="D52" s="96">
        <v>4.0</v>
      </c>
      <c r="E52" s="54"/>
      <c r="F52" s="54"/>
    </row>
    <row r="53" ht="15.75" customHeight="1">
      <c r="A53" s="54"/>
      <c r="B53" s="56" t="s">
        <v>130</v>
      </c>
      <c r="C53" s="97"/>
      <c r="D53" s="96">
        <v>7.0</v>
      </c>
      <c r="E53" s="54"/>
      <c r="F53" s="54"/>
    </row>
    <row r="54" ht="15.75" customHeight="1">
      <c r="A54" s="54"/>
      <c r="B54" s="56" t="s">
        <v>131</v>
      </c>
      <c r="C54" s="97"/>
      <c r="D54" s="96">
        <v>9.0</v>
      </c>
      <c r="E54" s="54"/>
      <c r="F54" s="54"/>
    </row>
    <row r="55" ht="15.75" customHeight="1">
      <c r="A55" s="54"/>
      <c r="B55" s="56" t="s">
        <v>132</v>
      </c>
      <c r="C55" s="97"/>
      <c r="D55" s="96">
        <v>11.0</v>
      </c>
      <c r="E55" s="54"/>
      <c r="F55" s="54"/>
    </row>
    <row r="56" ht="15.75" customHeight="1">
      <c r="A56" s="54"/>
      <c r="B56" s="56" t="s">
        <v>133</v>
      </c>
      <c r="C56" s="97"/>
      <c r="D56" s="88">
        <v>13.0</v>
      </c>
      <c r="E56" s="54"/>
      <c r="F56" s="54"/>
    </row>
    <row r="57" ht="15.75" customHeight="1">
      <c r="A57" s="54"/>
      <c r="B57" s="54"/>
      <c r="C57" s="54"/>
      <c r="D57" s="54"/>
      <c r="E57" s="54"/>
      <c r="F57" s="54"/>
    </row>
    <row r="58" ht="18.0" customHeight="1">
      <c r="A58" s="55" t="s">
        <v>134</v>
      </c>
      <c r="B58" s="2"/>
      <c r="C58" s="2"/>
      <c r="D58" s="2"/>
      <c r="E58" s="2"/>
      <c r="F58" s="3"/>
    </row>
    <row r="59" ht="15.0" customHeight="1">
      <c r="A59" s="54"/>
      <c r="B59" s="98" t="s">
        <v>135</v>
      </c>
      <c r="C59" s="2"/>
      <c r="D59" s="2"/>
      <c r="E59" s="3"/>
      <c r="F59" s="54"/>
    </row>
    <row r="60" ht="15.75" customHeight="1">
      <c r="A60" s="54"/>
      <c r="B60" s="56" t="s">
        <v>136</v>
      </c>
      <c r="C60" s="99">
        <f>D98</f>
        <v>0</v>
      </c>
      <c r="D60" s="54"/>
      <c r="E60" s="54"/>
      <c r="F60" s="54"/>
    </row>
    <row r="61" ht="15.75" customHeight="1">
      <c r="A61" s="54"/>
      <c r="B61" s="56" t="s">
        <v>137</v>
      </c>
      <c r="C61" s="100">
        <v>0.05</v>
      </c>
      <c r="D61" s="54"/>
      <c r="E61" s="54"/>
      <c r="F61" s="54"/>
    </row>
    <row r="62" ht="15.75" customHeight="1">
      <c r="A62" s="54"/>
      <c r="B62" s="56" t="s">
        <v>138</v>
      </c>
      <c r="C62" s="101">
        <v>25.0</v>
      </c>
      <c r="D62" s="54"/>
      <c r="E62" s="54"/>
      <c r="F62" s="54"/>
    </row>
    <row r="63" ht="15.75" customHeight="1">
      <c r="A63" s="54"/>
      <c r="B63" s="56" t="s">
        <v>139</v>
      </c>
      <c r="C63" s="102">
        <f>C16</f>
        <v>5</v>
      </c>
      <c r="D63" s="54"/>
      <c r="E63" s="54"/>
      <c r="F63" s="54"/>
    </row>
    <row r="64" ht="15.75" customHeight="1">
      <c r="A64" s="54"/>
      <c r="B64" s="56" t="s">
        <v>140</v>
      </c>
      <c r="C64" s="101">
        <v>0.0</v>
      </c>
      <c r="D64" s="54"/>
      <c r="E64" s="54"/>
      <c r="F64" s="54"/>
    </row>
    <row r="65" ht="15.75" customHeight="1">
      <c r="A65" s="54"/>
      <c r="B65" s="56" t="s">
        <v>141</v>
      </c>
      <c r="C65" s="103">
        <v>1.0</v>
      </c>
      <c r="D65" s="54"/>
      <c r="E65" s="54"/>
      <c r="F65" s="54"/>
    </row>
    <row r="66" ht="15.75" customHeight="1">
      <c r="A66" s="54"/>
      <c r="B66" s="61" t="s">
        <v>142</v>
      </c>
      <c r="C66" s="101">
        <v>9.0</v>
      </c>
      <c r="D66" s="54"/>
      <c r="E66" s="54"/>
      <c r="F66" s="54"/>
    </row>
    <row r="67" ht="15.75" customHeight="1">
      <c r="A67" s="54"/>
      <c r="B67" s="54"/>
      <c r="C67" s="54"/>
      <c r="D67" s="54"/>
      <c r="E67" s="54"/>
      <c r="F67" s="54"/>
    </row>
    <row r="68" ht="15.0" customHeight="1">
      <c r="A68" s="54"/>
      <c r="B68" s="98" t="s">
        <v>143</v>
      </c>
      <c r="C68" s="2"/>
      <c r="D68" s="2"/>
      <c r="E68" s="3"/>
      <c r="F68" s="54"/>
    </row>
    <row r="69" ht="15.75" customHeight="1">
      <c r="A69" s="54"/>
      <c r="B69" s="56" t="s">
        <v>144</v>
      </c>
      <c r="C69" s="99">
        <f>E98</f>
        <v>750000</v>
      </c>
      <c r="D69" s="54"/>
      <c r="E69" s="54"/>
      <c r="F69" s="54"/>
    </row>
    <row r="70" ht="15.75" customHeight="1">
      <c r="A70" s="54"/>
      <c r="B70" s="56" t="s">
        <v>145</v>
      </c>
      <c r="C70" s="100">
        <v>0.05</v>
      </c>
      <c r="D70" s="54"/>
      <c r="E70" s="54"/>
      <c r="F70" s="54"/>
    </row>
    <row r="71" ht="15.75" customHeight="1">
      <c r="A71" s="54"/>
      <c r="B71" s="56" t="s">
        <v>146</v>
      </c>
      <c r="C71" s="101">
        <v>25.0</v>
      </c>
      <c r="D71" s="54"/>
      <c r="E71" s="54"/>
      <c r="F71" s="54"/>
    </row>
    <row r="72" ht="15.75" customHeight="1">
      <c r="A72" s="54"/>
      <c r="B72" s="56" t="s">
        <v>147</v>
      </c>
      <c r="C72" s="102">
        <f>C16</f>
        <v>5</v>
      </c>
      <c r="D72" s="54"/>
      <c r="E72" s="54"/>
      <c r="F72" s="54"/>
    </row>
    <row r="73" ht="15.75" customHeight="1">
      <c r="A73" s="54"/>
      <c r="B73" s="56" t="s">
        <v>148</v>
      </c>
      <c r="C73" s="101">
        <v>0.0</v>
      </c>
      <c r="D73" s="54"/>
      <c r="E73" s="54"/>
      <c r="F73" s="54"/>
    </row>
    <row r="74" ht="15.75" customHeight="1">
      <c r="A74" s="54"/>
      <c r="B74" s="56" t="s">
        <v>149</v>
      </c>
      <c r="C74" s="103">
        <v>1.0</v>
      </c>
      <c r="D74" s="54"/>
      <c r="E74" s="54"/>
      <c r="F74" s="54"/>
    </row>
    <row r="75" ht="15.75" customHeight="1">
      <c r="A75" s="54"/>
      <c r="B75" s="61" t="s">
        <v>150</v>
      </c>
      <c r="C75" s="101">
        <v>1.0</v>
      </c>
      <c r="D75" s="54"/>
      <c r="E75" s="54"/>
      <c r="F75" s="54"/>
    </row>
    <row r="76" ht="15.75" customHeight="1">
      <c r="A76" s="54"/>
      <c r="B76" s="54"/>
      <c r="C76" s="54"/>
      <c r="D76" s="54"/>
      <c r="E76" s="54"/>
      <c r="F76" s="54"/>
    </row>
    <row r="77" ht="15.0" customHeight="1">
      <c r="A77" s="54"/>
      <c r="B77" s="98" t="s">
        <v>151</v>
      </c>
      <c r="C77" s="2"/>
      <c r="D77" s="2"/>
      <c r="E77" s="3"/>
      <c r="F77" s="54"/>
    </row>
    <row r="78" ht="15.0" customHeight="1">
      <c r="A78" s="54"/>
      <c r="B78" s="61" t="s">
        <v>152</v>
      </c>
      <c r="C78" s="93">
        <v>0.09</v>
      </c>
      <c r="D78" s="54"/>
      <c r="E78" s="54"/>
      <c r="F78" s="54"/>
    </row>
    <row r="79" ht="15.0" customHeight="1">
      <c r="A79" s="54"/>
      <c r="B79" s="104" t="s">
        <v>153</v>
      </c>
      <c r="C79" s="105">
        <v>0.75</v>
      </c>
      <c r="D79" s="54"/>
      <c r="E79" s="54"/>
      <c r="F79" s="54"/>
    </row>
    <row r="80" ht="15.0" customHeight="1">
      <c r="A80" s="54"/>
      <c r="B80" s="104" t="s">
        <v>154</v>
      </c>
      <c r="C80" s="105">
        <v>0.02</v>
      </c>
      <c r="D80" s="54"/>
      <c r="E80" s="54"/>
      <c r="F80" s="54"/>
    </row>
    <row r="81" ht="15.0" customHeight="1">
      <c r="A81" s="54"/>
      <c r="B81" s="104" t="str">
        <f>"  Refi Year NOI (Year "&amp;C16&amp;")"</f>
        <v>  Refi Year NOI (Year 5)</v>
      </c>
      <c r="C81" s="106">
        <f t="array" ref="C81">SUMPRODUCT(('Monthly CF'!$C$5:$DR$5=C16)*'Monthly CF'!$C$37:$DR$37)</f>
        <v>0</v>
      </c>
      <c r="D81" s="54"/>
      <c r="E81" s="54"/>
      <c r="F81" s="54"/>
    </row>
    <row r="82" ht="15.0" customHeight="1">
      <c r="A82" s="54"/>
      <c r="B82" s="104" t="s">
        <v>155</v>
      </c>
      <c r="C82" s="81">
        <f>C81/C78</f>
        <v>0</v>
      </c>
      <c r="D82" s="54"/>
      <c r="E82" s="54"/>
      <c r="F82" s="54"/>
    </row>
    <row r="83" ht="15.0" customHeight="1">
      <c r="A83" s="54"/>
      <c r="B83" s="104" t="s">
        <v>156</v>
      </c>
      <c r="C83" s="84">
        <f>C82*C80</f>
        <v>0</v>
      </c>
      <c r="D83" s="54"/>
      <c r="E83" s="54"/>
      <c r="F83" s="54"/>
    </row>
    <row r="84" ht="15.75" customHeight="1">
      <c r="A84" s="54"/>
      <c r="B84" s="56" t="s">
        <v>157</v>
      </c>
      <c r="C84" s="107">
        <f>C82*C79</f>
        <v>0</v>
      </c>
      <c r="D84" s="54"/>
      <c r="E84" s="54"/>
      <c r="F84" s="54"/>
    </row>
    <row r="85" ht="15.75" customHeight="1">
      <c r="A85" s="54"/>
      <c r="B85" s="56" t="s">
        <v>158</v>
      </c>
      <c r="C85" s="100">
        <v>0.07</v>
      </c>
      <c r="D85" s="54"/>
      <c r="E85" s="54"/>
      <c r="F85" s="54"/>
    </row>
    <row r="86" ht="15.75" customHeight="1">
      <c r="A86" s="54"/>
      <c r="B86" s="56" t="s">
        <v>159</v>
      </c>
      <c r="C86" s="101">
        <v>25.0</v>
      </c>
      <c r="D86" s="54"/>
      <c r="E86" s="54"/>
      <c r="F86" s="54"/>
    </row>
    <row r="87" ht="15.75" customHeight="1">
      <c r="A87" s="54"/>
      <c r="B87" s="56" t="s">
        <v>160</v>
      </c>
      <c r="C87" s="101">
        <v>7.0</v>
      </c>
      <c r="D87" s="54"/>
      <c r="E87" s="54"/>
      <c r="F87" s="54"/>
    </row>
    <row r="88" ht="15.75" customHeight="1">
      <c r="A88" s="54"/>
      <c r="B88" s="56" t="s">
        <v>161</v>
      </c>
      <c r="C88" s="101">
        <v>0.0</v>
      </c>
      <c r="D88" s="54"/>
      <c r="E88" s="54"/>
      <c r="F88" s="54"/>
    </row>
    <row r="89" ht="15.75" customHeight="1">
      <c r="A89" s="54"/>
      <c r="B89" s="54"/>
      <c r="C89" s="54"/>
      <c r="D89" s="54"/>
      <c r="E89" s="54"/>
      <c r="F89" s="54"/>
    </row>
    <row r="90" ht="15.75" customHeight="1">
      <c r="A90" s="54"/>
      <c r="B90" s="108" t="s">
        <v>162</v>
      </c>
      <c r="C90" s="109"/>
      <c r="D90" s="109"/>
      <c r="E90" s="109"/>
      <c r="F90" s="109"/>
    </row>
    <row r="91" ht="15.75" customHeight="1">
      <c r="A91" s="54"/>
      <c r="B91" s="110" t="s">
        <v>163</v>
      </c>
      <c r="C91" s="111" t="s">
        <v>164</v>
      </c>
      <c r="D91" s="111" t="s">
        <v>165</v>
      </c>
      <c r="E91" s="111" t="s">
        <v>166</v>
      </c>
      <c r="F91" s="112" t="s">
        <v>167</v>
      </c>
    </row>
    <row r="92" ht="15.75" customHeight="1">
      <c r="A92" s="54"/>
      <c r="B92" s="104" t="s">
        <v>3</v>
      </c>
      <c r="C92" s="113" t="str">
        <f>C10</f>
        <v/>
      </c>
      <c r="D92" s="106">
        <f>$D$11</f>
        <v>0</v>
      </c>
      <c r="E92" s="114">
        <v>750000.0</v>
      </c>
      <c r="F92" s="115">
        <f t="shared" ref="F92:F97" si="5">C92-D92-E92</f>
        <v>-750000</v>
      </c>
    </row>
    <row r="93" ht="15.75" customHeight="1">
      <c r="A93" s="54"/>
      <c r="B93" s="104" t="s">
        <v>22</v>
      </c>
      <c r="C93" s="113">
        <f>C102</f>
        <v>0</v>
      </c>
      <c r="D93" s="114">
        <v>0.0</v>
      </c>
      <c r="E93" s="114">
        <v>0.0</v>
      </c>
      <c r="F93" s="115">
        <f t="shared" si="5"/>
        <v>0</v>
      </c>
    </row>
    <row r="94" ht="15.75" customHeight="1">
      <c r="A94" s="54"/>
      <c r="B94" s="104" t="s">
        <v>168</v>
      </c>
      <c r="C94" s="113">
        <f>C10*C110</f>
        <v>0</v>
      </c>
      <c r="D94" s="114">
        <v>0.0</v>
      </c>
      <c r="E94" s="114">
        <v>0.0</v>
      </c>
      <c r="F94" s="115">
        <f t="shared" si="5"/>
        <v>0</v>
      </c>
    </row>
    <row r="95" ht="15.75" customHeight="1">
      <c r="A95" s="54"/>
      <c r="B95" s="104" t="s">
        <v>169</v>
      </c>
      <c r="C95" s="113" t="str">
        <f t="shared" ref="C95:C96" si="6">D12</f>
        <v/>
      </c>
      <c r="D95" s="114">
        <v>0.0</v>
      </c>
      <c r="E95" s="114">
        <v>0.0</v>
      </c>
      <c r="F95" s="115">
        <f t="shared" si="5"/>
        <v>0</v>
      </c>
    </row>
    <row r="96" ht="15.75" customHeight="1">
      <c r="A96" s="54"/>
      <c r="B96" s="104" t="s">
        <v>170</v>
      </c>
      <c r="C96" s="113">
        <f t="shared" si="6"/>
        <v>0</v>
      </c>
      <c r="D96" s="114">
        <v>0.0</v>
      </c>
      <c r="E96" s="114">
        <v>0.0</v>
      </c>
      <c r="F96" s="115">
        <f t="shared" si="5"/>
        <v>0</v>
      </c>
    </row>
    <row r="97" ht="15.75" customHeight="1">
      <c r="A97" s="54"/>
      <c r="B97" s="104" t="s">
        <v>171</v>
      </c>
      <c r="C97" s="113">
        <f>C103</f>
        <v>5000</v>
      </c>
      <c r="D97" s="114">
        <v>0.0</v>
      </c>
      <c r="E97" s="114">
        <v>0.0</v>
      </c>
      <c r="F97" s="115">
        <f t="shared" si="5"/>
        <v>5000</v>
      </c>
    </row>
    <row r="98" ht="15.75" customHeight="1">
      <c r="A98" s="54"/>
      <c r="B98" s="116" t="s">
        <v>172</v>
      </c>
      <c r="C98" s="117">
        <f t="shared" ref="C98:F98" si="7">SUM(C92:C97)</f>
        <v>5000</v>
      </c>
      <c r="D98" s="117">
        <f t="shared" si="7"/>
        <v>0</v>
      </c>
      <c r="E98" s="117">
        <f t="shared" si="7"/>
        <v>750000</v>
      </c>
      <c r="F98" s="118">
        <f t="shared" si="7"/>
        <v>-745000</v>
      </c>
    </row>
    <row r="99" ht="15.75" customHeight="1">
      <c r="A99" s="54"/>
      <c r="B99" s="54"/>
      <c r="C99" s="54"/>
      <c r="D99" s="54"/>
      <c r="E99" s="54"/>
      <c r="F99" s="54"/>
    </row>
    <row r="100" ht="15.75" customHeight="1">
      <c r="A100" s="54"/>
      <c r="B100" s="54"/>
      <c r="C100" s="54"/>
      <c r="D100" s="54"/>
      <c r="E100" s="54"/>
      <c r="F100" s="54"/>
    </row>
    <row r="101" ht="18.0" customHeight="1">
      <c r="A101" s="55" t="s">
        <v>173</v>
      </c>
      <c r="B101" s="2"/>
      <c r="C101" s="2"/>
      <c r="D101" s="2"/>
      <c r="E101" s="2"/>
      <c r="F101" s="3"/>
    </row>
    <row r="102" ht="15.75" customHeight="1">
      <c r="A102" s="54"/>
      <c r="B102" s="56" t="s">
        <v>22</v>
      </c>
      <c r="C102" s="119">
        <f>C10*D102</f>
        <v>0</v>
      </c>
      <c r="D102" s="120">
        <v>0.02</v>
      </c>
      <c r="E102" s="54"/>
      <c r="F102" s="54"/>
    </row>
    <row r="103" ht="15.75" customHeight="1">
      <c r="A103" s="54"/>
      <c r="B103" s="56" t="s">
        <v>171</v>
      </c>
      <c r="C103" s="121">
        <v>5000.0</v>
      </c>
      <c r="D103" s="54"/>
      <c r="E103" s="54"/>
      <c r="F103" s="54"/>
    </row>
    <row r="104" ht="15.75" customHeight="1">
      <c r="A104" s="54"/>
      <c r="B104" s="56" t="s">
        <v>174</v>
      </c>
      <c r="C104" s="122">
        <f>F98</f>
        <v>-745000</v>
      </c>
      <c r="D104" s="54"/>
      <c r="E104" s="54"/>
      <c r="F104" s="54"/>
    </row>
    <row r="105" ht="15.75" customHeight="1">
      <c r="A105" s="54"/>
      <c r="B105" s="61" t="s">
        <v>175</v>
      </c>
      <c r="C105" s="123">
        <v>85000.0</v>
      </c>
      <c r="D105" s="54"/>
      <c r="E105" s="54"/>
      <c r="F105" s="54"/>
    </row>
    <row r="106" ht="15.75" customHeight="1">
      <c r="A106" s="54"/>
      <c r="B106" s="61" t="s">
        <v>176</v>
      </c>
      <c r="C106" s="81">
        <f>C104-C105</f>
        <v>-830000</v>
      </c>
      <c r="D106" s="54"/>
      <c r="E106" s="54"/>
      <c r="F106" s="54"/>
    </row>
    <row r="107" ht="15.75" customHeight="1">
      <c r="A107" s="54"/>
      <c r="B107" s="56" t="s">
        <v>177</v>
      </c>
      <c r="C107" s="124">
        <f>C105/C104</f>
        <v>-0.1140939597</v>
      </c>
      <c r="D107" s="54"/>
      <c r="E107" s="54"/>
      <c r="F107" s="54"/>
    </row>
    <row r="108" ht="15.75" customHeight="1">
      <c r="A108" s="54"/>
      <c r="B108" s="56" t="s">
        <v>178</v>
      </c>
      <c r="C108" s="124">
        <f>C106/C104</f>
        <v>1.11409396</v>
      </c>
      <c r="D108" s="54"/>
      <c r="E108" s="54"/>
      <c r="F108" s="54"/>
    </row>
    <row r="109" ht="15.75" customHeight="1">
      <c r="A109" s="54"/>
      <c r="B109" s="56" t="s">
        <v>179</v>
      </c>
      <c r="C109" s="100">
        <v>0.02</v>
      </c>
      <c r="D109" s="54"/>
      <c r="E109" s="54"/>
      <c r="F109" s="54"/>
    </row>
    <row r="110" ht="15.75" customHeight="1">
      <c r="A110" s="54"/>
      <c r="B110" s="56" t="s">
        <v>180</v>
      </c>
      <c r="C110" s="100">
        <v>0.01</v>
      </c>
      <c r="D110" s="54"/>
      <c r="E110" s="54"/>
      <c r="F110" s="54"/>
    </row>
    <row r="111" ht="15.75" customHeight="1">
      <c r="A111" s="54"/>
      <c r="B111" s="54"/>
      <c r="C111" s="54"/>
      <c r="D111" s="54"/>
      <c r="E111" s="54"/>
      <c r="F111" s="54"/>
    </row>
    <row r="112" ht="15.75" customHeight="1">
      <c r="A112" s="125" t="s">
        <v>181</v>
      </c>
      <c r="B112" s="2"/>
      <c r="C112" s="2"/>
      <c r="D112" s="2"/>
      <c r="E112" s="2"/>
      <c r="F112" s="3"/>
    </row>
    <row r="113" ht="15.75" customHeight="1">
      <c r="A113" s="126"/>
      <c r="B113" s="61" t="s">
        <v>182</v>
      </c>
      <c r="C113" s="93">
        <v>0.09</v>
      </c>
      <c r="D113" s="54"/>
      <c r="E113" s="54"/>
      <c r="F113" s="54"/>
    </row>
    <row r="114" ht="15.75" customHeight="1">
      <c r="A114" s="126"/>
      <c r="B114" s="104" t="s">
        <v>183</v>
      </c>
      <c r="C114" s="120">
        <v>0.03</v>
      </c>
      <c r="D114" s="54"/>
      <c r="E114" s="54"/>
      <c r="F114" s="54"/>
    </row>
    <row r="115" ht="15.75" customHeight="1">
      <c r="A115" s="126"/>
      <c r="B115" s="54"/>
      <c r="C115" s="54"/>
      <c r="D115" s="54"/>
      <c r="E115" s="54"/>
      <c r="F115" s="54"/>
    </row>
    <row r="116" ht="15.75" customHeight="1">
      <c r="A116" s="126"/>
      <c r="B116" s="127" t="s">
        <v>184</v>
      </c>
      <c r="C116" s="127"/>
      <c r="D116" s="54"/>
      <c r="E116" s="54"/>
      <c r="F116" s="54"/>
    </row>
    <row r="117" ht="15.75" customHeight="1">
      <c r="A117" s="126"/>
      <c r="B117" s="104" t="str">
        <f>"  Sale Year NOI (Year "&amp;C15&amp;")"</f>
        <v>  Sale Year NOI (Year 10)</v>
      </c>
      <c r="C117" s="106">
        <f t="array" ref="C117">SUMPRODUCT(('Monthly CF'!$C$5:$DR$5=C15)*'Monthly CF'!$C$37:$DR$37)</f>
        <v>0</v>
      </c>
      <c r="D117" s="54"/>
      <c r="E117" s="54"/>
      <c r="F117" s="54"/>
    </row>
    <row r="118" ht="15.75" customHeight="1">
      <c r="A118" s="126"/>
      <c r="B118" s="104" t="s">
        <v>185</v>
      </c>
      <c r="C118" s="81">
        <f>C117/C113</f>
        <v>0</v>
      </c>
      <c r="D118" s="54"/>
      <c r="E118" s="54"/>
      <c r="F118" s="54"/>
    </row>
    <row r="119" ht="15.75" customHeight="1">
      <c r="A119" s="126"/>
      <c r="B119" s="104" t="s">
        <v>186</v>
      </c>
      <c r="C119" s="81">
        <f>C118*C114</f>
        <v>0</v>
      </c>
      <c r="D119" s="54"/>
      <c r="E119" s="54"/>
      <c r="F119" s="54"/>
    </row>
    <row r="120" ht="15.75" customHeight="1">
      <c r="A120" s="126"/>
      <c r="B120" s="128" t="s">
        <v>34</v>
      </c>
      <c r="C120" s="129">
        <f>C118-C119</f>
        <v>0</v>
      </c>
      <c r="D120" s="54"/>
      <c r="E120" s="54"/>
      <c r="F120" s="54"/>
    </row>
    <row r="121" ht="15.75" customHeight="1">
      <c r="A121" s="54"/>
      <c r="B121" s="54"/>
      <c r="C121" s="54"/>
      <c r="D121" s="54"/>
      <c r="E121" s="54"/>
      <c r="F121" s="54"/>
    </row>
    <row r="122" ht="15.75" customHeight="1">
      <c r="A122" s="116" t="s">
        <v>187</v>
      </c>
      <c r="B122" s="116" t="s">
        <v>187</v>
      </c>
      <c r="C122" s="130"/>
      <c r="D122" s="131"/>
      <c r="F122" s="54"/>
    </row>
    <row r="123" ht="15.75" customHeight="1">
      <c r="A123" s="54"/>
      <c r="B123" s="104" t="s">
        <v>188</v>
      </c>
      <c r="C123" s="105">
        <v>0.08</v>
      </c>
      <c r="F123" s="54"/>
    </row>
    <row r="124" ht="15.75" customHeight="1">
      <c r="A124" s="54"/>
      <c r="B124" s="104" t="s">
        <v>189</v>
      </c>
      <c r="C124" s="105">
        <v>0.5</v>
      </c>
      <c r="F124" s="54"/>
    </row>
    <row r="125" ht="15.75" customHeight="1">
      <c r="A125" s="54"/>
      <c r="B125" s="104" t="s">
        <v>190</v>
      </c>
      <c r="C125" s="105">
        <v>0.2</v>
      </c>
      <c r="F125" s="54"/>
    </row>
    <row r="126" ht="15.75" customHeight="1">
      <c r="A126" s="54"/>
      <c r="B126" s="104" t="s">
        <v>191</v>
      </c>
      <c r="C126" s="120">
        <v>0.15</v>
      </c>
      <c r="F126" s="54"/>
    </row>
    <row r="127" ht="15.75" customHeight="1">
      <c r="A127" s="54"/>
      <c r="B127" s="132"/>
      <c r="F127" s="54"/>
    </row>
    <row r="128" ht="15.75" customHeight="1">
      <c r="A128" s="54"/>
      <c r="B128" s="127" t="s">
        <v>192</v>
      </c>
      <c r="C128" s="133" t="s">
        <v>193</v>
      </c>
      <c r="D128" s="133" t="s">
        <v>194</v>
      </c>
      <c r="F128" s="54"/>
    </row>
    <row r="129" ht="15.75" customHeight="1">
      <c r="A129" s="54"/>
      <c r="B129" s="134" t="s">
        <v>195</v>
      </c>
      <c r="C129" s="74">
        <v>1.0</v>
      </c>
      <c r="D129" s="135">
        <f t="shared" ref="D129:D130" si="8">1-C129</f>
        <v>0</v>
      </c>
      <c r="F129" s="54"/>
    </row>
    <row r="130" ht="15.75" customHeight="1">
      <c r="A130" s="54"/>
      <c r="B130" s="104" t="s">
        <v>196</v>
      </c>
      <c r="C130" s="74">
        <v>1.0</v>
      </c>
      <c r="D130" s="135">
        <f t="shared" si="8"/>
        <v>0</v>
      </c>
      <c r="F130" s="54"/>
    </row>
    <row r="131" ht="15.75" customHeight="1">
      <c r="A131" s="54"/>
      <c r="B131" s="104" t="s">
        <v>197</v>
      </c>
      <c r="C131" s="136">
        <f>1-C124</f>
        <v>0.5</v>
      </c>
      <c r="D131" s="137">
        <f>C124</f>
        <v>0.5</v>
      </c>
      <c r="F131" s="54"/>
    </row>
    <row r="132" ht="15.75" customHeight="1">
      <c r="A132" s="54"/>
      <c r="B132" s="104" t="s">
        <v>198</v>
      </c>
      <c r="C132" s="74">
        <v>0.7</v>
      </c>
      <c r="D132" s="135">
        <f t="shared" ref="D132:D133" si="9">1-C132</f>
        <v>0.3</v>
      </c>
      <c r="F132" s="54"/>
    </row>
    <row r="133" ht="15.75" customHeight="1">
      <c r="A133" s="54"/>
      <c r="B133" s="104" t="s">
        <v>199</v>
      </c>
      <c r="C133" s="74">
        <v>0.5</v>
      </c>
      <c r="D133" s="135">
        <f t="shared" si="9"/>
        <v>0.5</v>
      </c>
      <c r="F133" s="54"/>
    </row>
    <row r="134" ht="15.75" customHeight="1">
      <c r="A134" s="54"/>
      <c r="B134" s="132"/>
      <c r="C134" s="138"/>
      <c r="D134" s="138"/>
      <c r="F134" s="54"/>
    </row>
    <row r="135" ht="15.75" customHeight="1">
      <c r="A135" s="54"/>
      <c r="B135" s="127" t="s">
        <v>200</v>
      </c>
      <c r="C135" s="139"/>
      <c r="D135" s="139"/>
      <c r="F135" s="54"/>
    </row>
    <row r="136" ht="15.75" customHeight="1">
      <c r="A136" s="54"/>
      <c r="B136" s="140" t="s">
        <v>201</v>
      </c>
      <c r="F136" s="54"/>
    </row>
    <row r="137" ht="15.0" customHeight="1">
      <c r="A137" s="54"/>
      <c r="B137" s="141" t="s">
        <v>202</v>
      </c>
      <c r="F137" s="54"/>
    </row>
    <row r="138" ht="15.0" customHeight="1">
      <c r="A138" s="54"/>
      <c r="B138" s="142" t="s">
        <v>203</v>
      </c>
      <c r="F138" s="54"/>
    </row>
    <row r="139" ht="15.0" customHeight="1">
      <c r="A139" s="54"/>
      <c r="F139" s="54"/>
    </row>
    <row r="140" ht="15.0" customHeight="1">
      <c r="A140" s="54"/>
      <c r="F140" s="54"/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77:E77"/>
    <mergeCell ref="A101:F101"/>
    <mergeCell ref="A112:F112"/>
    <mergeCell ref="A1:F1"/>
    <mergeCell ref="A2:F2"/>
    <mergeCell ref="A4:F4"/>
    <mergeCell ref="B19:F19"/>
    <mergeCell ref="A58:F58"/>
    <mergeCell ref="B59:E59"/>
    <mergeCell ref="B68:E68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1.57"/>
    <col customWidth="1" min="2" max="26" width="8.71"/>
  </cols>
  <sheetData>
    <row r="1">
      <c r="A1" s="143" t="s">
        <v>204</v>
      </c>
    </row>
    <row r="3">
      <c r="A3" s="54" t="s">
        <v>205</v>
      </c>
    </row>
    <row r="4">
      <c r="A4" s="54" t="s">
        <v>206</v>
      </c>
    </row>
    <row r="5">
      <c r="A5" s="54" t="s">
        <v>207</v>
      </c>
    </row>
    <row r="7">
      <c r="A7" s="54" t="s">
        <v>208</v>
      </c>
    </row>
    <row r="9">
      <c r="A9" s="144" t="s">
        <v>209</v>
      </c>
    </row>
    <row r="10">
      <c r="A10" s="145" t="s">
        <v>210</v>
      </c>
    </row>
    <row r="11">
      <c r="A11" s="144" t="s">
        <v>209</v>
      </c>
    </row>
    <row r="13">
      <c r="A13" s="54" t="s">
        <v>211</v>
      </c>
    </row>
    <row r="15">
      <c r="A15" s="54" t="s">
        <v>212</v>
      </c>
    </row>
    <row r="16">
      <c r="A16" s="54" t="s">
        <v>213</v>
      </c>
    </row>
    <row r="17">
      <c r="A17" s="54" t="s">
        <v>214</v>
      </c>
    </row>
    <row r="18">
      <c r="A18" s="54" t="s">
        <v>215</v>
      </c>
    </row>
    <row r="19">
      <c r="A19" s="54" t="s">
        <v>216</v>
      </c>
    </row>
    <row r="20">
      <c r="A20" s="54" t="s">
        <v>217</v>
      </c>
    </row>
    <row r="21" ht="15.75" customHeight="1">
      <c r="A21" s="54" t="s">
        <v>218</v>
      </c>
    </row>
    <row r="22" ht="15.75" customHeight="1">
      <c r="A22" s="54" t="s">
        <v>219</v>
      </c>
    </row>
    <row r="23" ht="15.75" customHeight="1">
      <c r="A23" s="54" t="s">
        <v>220</v>
      </c>
    </row>
    <row r="24" ht="15.75" customHeight="1">
      <c r="A24" s="54" t="s">
        <v>221</v>
      </c>
    </row>
    <row r="25" ht="15.75" customHeight="1">
      <c r="A25" s="54" t="s">
        <v>222</v>
      </c>
    </row>
    <row r="26" ht="15.75" customHeight="1">
      <c r="A26" s="54" t="s">
        <v>223</v>
      </c>
    </row>
    <row r="27" ht="15.75" customHeight="1"/>
    <row r="28" ht="15.75" customHeight="1"/>
    <row r="29" ht="15.75" customHeight="1">
      <c r="A29" s="144" t="s">
        <v>209</v>
      </c>
    </row>
    <row r="30" ht="15.75" customHeight="1">
      <c r="A30" s="145" t="s">
        <v>224</v>
      </c>
    </row>
    <row r="31" ht="15.75" customHeight="1">
      <c r="A31" s="144" t="s">
        <v>209</v>
      </c>
    </row>
    <row r="32" ht="15.75" customHeight="1"/>
    <row r="33" ht="15.75" customHeight="1">
      <c r="A33" s="54" t="s">
        <v>225</v>
      </c>
    </row>
    <row r="34" ht="15.75" customHeight="1">
      <c r="A34" s="54" t="s">
        <v>226</v>
      </c>
    </row>
    <row r="35" ht="15.75" customHeight="1"/>
    <row r="36" ht="15.75" customHeight="1">
      <c r="A36" s="54" t="s">
        <v>227</v>
      </c>
    </row>
    <row r="37" ht="15.75" customHeight="1">
      <c r="A37" s="54" t="s">
        <v>228</v>
      </c>
    </row>
    <row r="38" ht="15.75" customHeight="1">
      <c r="A38" s="54" t="s">
        <v>229</v>
      </c>
    </row>
    <row r="39" ht="15.75" customHeight="1">
      <c r="A39" s="54" t="s">
        <v>230</v>
      </c>
    </row>
    <row r="40" ht="15.75" customHeight="1">
      <c r="A40" s="54" t="s">
        <v>230</v>
      </c>
    </row>
    <row r="41" ht="15.75" customHeight="1"/>
    <row r="42" ht="15.75" customHeight="1">
      <c r="A42" s="144" t="s">
        <v>209</v>
      </c>
    </row>
    <row r="43" ht="15.75" customHeight="1">
      <c r="A43" s="145" t="s">
        <v>231</v>
      </c>
    </row>
    <row r="44" ht="15.75" customHeight="1">
      <c r="A44" s="144" t="s">
        <v>209</v>
      </c>
    </row>
    <row r="45" ht="15.75" customHeight="1"/>
    <row r="46" ht="15.75" customHeight="1">
      <c r="A46" s="54" t="s">
        <v>232</v>
      </c>
    </row>
    <row r="47" ht="15.75" customHeight="1">
      <c r="A47" s="54" t="s">
        <v>233</v>
      </c>
    </row>
    <row r="48" ht="15.75" customHeight="1"/>
    <row r="49" ht="15.75" customHeight="1">
      <c r="A49" s="54" t="s">
        <v>234</v>
      </c>
    </row>
    <row r="50" ht="15.75" customHeight="1">
      <c r="A50" s="54" t="s">
        <v>235</v>
      </c>
    </row>
    <row r="51" ht="15.75" customHeight="1">
      <c r="A51" s="54" t="s">
        <v>236</v>
      </c>
    </row>
    <row r="52" ht="15.75" customHeight="1">
      <c r="A52" s="54" t="s">
        <v>237</v>
      </c>
    </row>
    <row r="53" ht="15.75" customHeight="1">
      <c r="A53" s="54" t="s">
        <v>238</v>
      </c>
    </row>
    <row r="54" ht="15.75" customHeight="1">
      <c r="A54" s="54" t="s">
        <v>239</v>
      </c>
    </row>
    <row r="55" ht="15.75" customHeight="1">
      <c r="A55" s="54" t="s">
        <v>240</v>
      </c>
    </row>
    <row r="56" ht="15.75" customHeight="1">
      <c r="A56" s="54" t="s">
        <v>241</v>
      </c>
    </row>
    <row r="57" ht="15.75" customHeight="1">
      <c r="A57" s="54" t="s">
        <v>242</v>
      </c>
    </row>
    <row r="58" ht="15.75" customHeight="1"/>
    <row r="59" ht="15.75" customHeight="1">
      <c r="A59" s="144" t="s">
        <v>209</v>
      </c>
    </row>
    <row r="60" ht="15.75" customHeight="1">
      <c r="A60" s="145" t="s">
        <v>243</v>
      </c>
    </row>
    <row r="61" ht="15.75" customHeight="1">
      <c r="A61" s="144" t="s">
        <v>209</v>
      </c>
    </row>
    <row r="62" ht="15.75" customHeight="1"/>
    <row r="63" ht="15.75" customHeight="1">
      <c r="A63" s="54" t="s">
        <v>244</v>
      </c>
    </row>
    <row r="64" ht="15.75" customHeight="1">
      <c r="A64" s="54" t="s">
        <v>245</v>
      </c>
    </row>
    <row r="65" ht="15.75" customHeight="1"/>
    <row r="66" ht="15.75" customHeight="1">
      <c r="A66" s="54" t="s">
        <v>246</v>
      </c>
    </row>
    <row r="67" ht="15.75" customHeight="1">
      <c r="A67" s="54" t="s">
        <v>247</v>
      </c>
    </row>
    <row r="68" ht="15.75" customHeight="1">
      <c r="A68" s="54" t="s">
        <v>248</v>
      </c>
    </row>
    <row r="69" ht="15.75" customHeight="1"/>
    <row r="70" ht="15.75" customHeight="1"/>
    <row r="71" ht="15.75" customHeight="1">
      <c r="A71" s="144" t="s">
        <v>209</v>
      </c>
    </row>
    <row r="72" ht="15.75" customHeight="1">
      <c r="A72" s="145" t="s">
        <v>249</v>
      </c>
    </row>
    <row r="73" ht="15.75" customHeight="1">
      <c r="A73" s="144" t="s">
        <v>209</v>
      </c>
    </row>
    <row r="74" ht="15.75" customHeight="1"/>
    <row r="75" ht="15.75" customHeight="1">
      <c r="A75" s="54" t="s">
        <v>250</v>
      </c>
    </row>
    <row r="76" ht="15.75" customHeight="1">
      <c r="A76" s="54" t="s">
        <v>251</v>
      </c>
    </row>
    <row r="77" ht="15.75" customHeight="1"/>
    <row r="78" ht="15.75" customHeight="1">
      <c r="A78" s="146" t="s">
        <v>252</v>
      </c>
    </row>
    <row r="79" ht="15.75" customHeight="1">
      <c r="A79" s="54" t="s">
        <v>253</v>
      </c>
    </row>
    <row r="80" ht="15.75" customHeight="1">
      <c r="A80" s="54" t="s">
        <v>254</v>
      </c>
    </row>
    <row r="81" ht="15.75" customHeight="1">
      <c r="A81" s="54" t="s">
        <v>255</v>
      </c>
    </row>
    <row r="82" ht="15.75" customHeight="1">
      <c r="A82" s="54" t="s">
        <v>256</v>
      </c>
    </row>
    <row r="83" ht="15.75" customHeight="1">
      <c r="A83" s="54" t="s">
        <v>257</v>
      </c>
    </row>
    <row r="84" ht="15.75" customHeight="1"/>
    <row r="85" ht="15.75" customHeight="1">
      <c r="A85" s="146" t="s">
        <v>258</v>
      </c>
    </row>
    <row r="86" ht="15.75" customHeight="1">
      <c r="A86" s="54" t="s">
        <v>259</v>
      </c>
    </row>
    <row r="87" ht="15.75" customHeight="1"/>
    <row r="88" ht="15.75" customHeight="1">
      <c r="A88" s="146" t="s">
        <v>260</v>
      </c>
    </row>
    <row r="89" ht="15.75" customHeight="1">
      <c r="A89" s="54" t="s">
        <v>261</v>
      </c>
    </row>
    <row r="90" ht="15.75" customHeight="1">
      <c r="A90" s="54" t="s">
        <v>262</v>
      </c>
    </row>
    <row r="91" ht="15.75" customHeight="1">
      <c r="A91" s="54" t="s">
        <v>263</v>
      </c>
    </row>
    <row r="92" ht="15.75" customHeight="1"/>
    <row r="93" ht="15.75" customHeight="1">
      <c r="A93" s="144" t="s">
        <v>209</v>
      </c>
    </row>
    <row r="94" ht="15.75" customHeight="1">
      <c r="A94" s="145" t="s">
        <v>264</v>
      </c>
    </row>
    <row r="95" ht="15.75" customHeight="1">
      <c r="A95" s="144" t="s">
        <v>209</v>
      </c>
    </row>
    <row r="96" ht="15.75" customHeight="1"/>
    <row r="97" ht="15.75" customHeight="1">
      <c r="A97" s="54" t="s">
        <v>265</v>
      </c>
    </row>
    <row r="98" ht="15.75" customHeight="1">
      <c r="A98" s="54" t="s">
        <v>266</v>
      </c>
    </row>
    <row r="99" ht="15.75" customHeight="1">
      <c r="A99" s="54" t="s">
        <v>267</v>
      </c>
    </row>
    <row r="100" ht="15.75" customHeight="1"/>
    <row r="101" ht="15.75" customHeight="1">
      <c r="A101" s="54" t="s">
        <v>268</v>
      </c>
    </row>
    <row r="102" ht="15.75" customHeight="1">
      <c r="A102" s="54" t="s">
        <v>269</v>
      </c>
    </row>
    <row r="103" ht="15.75" customHeight="1">
      <c r="A103" s="54" t="s">
        <v>270</v>
      </c>
    </row>
    <row r="104" ht="15.75" customHeight="1">
      <c r="A104" s="72" t="s">
        <v>271</v>
      </c>
    </row>
    <row r="105" ht="15.75" customHeight="1">
      <c r="A105" s="72" t="s">
        <v>272</v>
      </c>
    </row>
    <row r="106" ht="15.75" customHeight="1">
      <c r="A106" s="54" t="s">
        <v>273</v>
      </c>
    </row>
    <row r="107" ht="15.75" customHeight="1">
      <c r="A107" s="54" t="s">
        <v>274</v>
      </c>
    </row>
    <row r="108" ht="15.75" customHeight="1"/>
    <row r="109" ht="15.75" customHeight="1"/>
    <row r="110" ht="15.75" customHeight="1">
      <c r="A110" s="144" t="s">
        <v>209</v>
      </c>
    </row>
    <row r="111" ht="15.75" customHeight="1">
      <c r="A111" s="145" t="s">
        <v>275</v>
      </c>
    </row>
    <row r="112" ht="15.75" customHeight="1">
      <c r="A112" s="144" t="s">
        <v>209</v>
      </c>
    </row>
    <row r="113" ht="15.75" customHeight="1"/>
    <row r="114" ht="15.75" customHeight="1">
      <c r="A114" s="54" t="s">
        <v>276</v>
      </c>
    </row>
    <row r="115" ht="15.75" customHeight="1"/>
    <row r="116" ht="15.75" customHeight="1">
      <c r="A116" s="54" t="s">
        <v>277</v>
      </c>
    </row>
    <row r="117" ht="15.75" customHeight="1">
      <c r="A117" s="54" t="s">
        <v>278</v>
      </c>
    </row>
    <row r="118" ht="15.75" customHeight="1"/>
    <row r="119" ht="15.75" customHeight="1">
      <c r="A119" s="144" t="s">
        <v>209</v>
      </c>
    </row>
    <row r="120" ht="15.75" customHeight="1">
      <c r="A120" s="145" t="s">
        <v>279</v>
      </c>
    </row>
    <row r="121" ht="15.75" customHeight="1">
      <c r="A121" s="144" t="s">
        <v>209</v>
      </c>
    </row>
    <row r="122" ht="15.75" customHeight="1"/>
    <row r="123" ht="15.75" customHeight="1">
      <c r="A123" s="54" t="s">
        <v>280</v>
      </c>
    </row>
    <row r="124" ht="15.75" customHeight="1">
      <c r="A124" s="54" t="s">
        <v>281</v>
      </c>
    </row>
    <row r="125" ht="15.75" customHeight="1"/>
    <row r="126" ht="15.75" customHeight="1">
      <c r="A126" s="54" t="s">
        <v>282</v>
      </c>
    </row>
    <row r="127" ht="15.75" customHeight="1">
      <c r="A127" s="54" t="s">
        <v>283</v>
      </c>
    </row>
    <row r="128" ht="15.75" customHeight="1">
      <c r="A128" s="54" t="s">
        <v>284</v>
      </c>
    </row>
    <row r="129" ht="15.75" customHeight="1">
      <c r="A129" s="54" t="s">
        <v>285</v>
      </c>
    </row>
    <row r="130" ht="15.75" customHeight="1"/>
    <row r="131" ht="15.75" customHeight="1">
      <c r="A131" s="146" t="s">
        <v>286</v>
      </c>
    </row>
    <row r="132" ht="15.75" customHeight="1">
      <c r="A132" s="54" t="s">
        <v>287</v>
      </c>
    </row>
    <row r="133" ht="15.75" customHeight="1">
      <c r="A133" s="54" t="s">
        <v>288</v>
      </c>
    </row>
    <row r="134" ht="15.75" customHeight="1">
      <c r="A134" s="54" t="s">
        <v>289</v>
      </c>
    </row>
    <row r="135" ht="15.75" customHeight="1">
      <c r="A135" s="54" t="s">
        <v>290</v>
      </c>
    </row>
    <row r="136" ht="15.75" customHeight="1">
      <c r="A136" s="54" t="s">
        <v>291</v>
      </c>
    </row>
    <row r="137" ht="15.75" customHeight="1"/>
    <row r="138" ht="15.75" customHeight="1">
      <c r="A138" s="144" t="s">
        <v>209</v>
      </c>
    </row>
    <row r="139" ht="15.75" hidden="1" customHeight="1">
      <c r="A139" s="145" t="s">
        <v>292</v>
      </c>
    </row>
    <row r="140" ht="15.75" hidden="1" customHeight="1">
      <c r="A140" s="144" t="s">
        <v>209</v>
      </c>
    </row>
    <row r="141" ht="15.75" hidden="1" customHeight="1"/>
    <row r="142" ht="15.75" hidden="1" customHeight="1">
      <c r="A142" s="54" t="s">
        <v>293</v>
      </c>
    </row>
    <row r="143" ht="15.75" hidden="1" customHeight="1">
      <c r="A143" s="54" t="s">
        <v>294</v>
      </c>
    </row>
    <row r="144" ht="15.75" hidden="1" customHeight="1">
      <c r="A144" s="54" t="s">
        <v>295</v>
      </c>
    </row>
    <row r="145" ht="15.75" hidden="1" customHeight="1">
      <c r="A145" s="54" t="s">
        <v>296</v>
      </c>
    </row>
    <row r="146" ht="15.75" hidden="1" customHeight="1">
      <c r="A146" s="54" t="s">
        <v>297</v>
      </c>
    </row>
    <row r="147" ht="15.75" hidden="1" customHeight="1">
      <c r="A147" s="54" t="s">
        <v>298</v>
      </c>
    </row>
    <row r="148" ht="15.75" hidden="1" customHeight="1">
      <c r="A148" s="54" t="s">
        <v>299</v>
      </c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4.0"/>
    <col customWidth="1" min="3" max="3" width="12.57"/>
    <col customWidth="1" min="4" max="122" width="12.0"/>
    <col customWidth="1" min="123" max="123" width="8.71"/>
  </cols>
  <sheetData>
    <row r="1" ht="27.75" customHeight="1">
      <c r="A1" s="5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3"/>
    </row>
    <row r="2" ht="13.5" customHeight="1">
      <c r="A2" s="53" t="s">
        <v>301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3"/>
    </row>
    <row r="3" ht="13.5" customHeight="1">
      <c r="A3" s="54"/>
      <c r="B3" s="147" t="s">
        <v>302</v>
      </c>
      <c r="C3" s="148">
        <f t="shared" ref="C3:DR3" si="1">COLUMN()-2</f>
        <v>1</v>
      </c>
      <c r="D3" s="148">
        <f t="shared" si="1"/>
        <v>2</v>
      </c>
      <c r="E3" s="148">
        <f t="shared" si="1"/>
        <v>3</v>
      </c>
      <c r="F3" s="148">
        <f t="shared" si="1"/>
        <v>4</v>
      </c>
      <c r="G3" s="148">
        <f t="shared" si="1"/>
        <v>5</v>
      </c>
      <c r="H3" s="148">
        <f t="shared" si="1"/>
        <v>6</v>
      </c>
      <c r="I3" s="148">
        <f t="shared" si="1"/>
        <v>7</v>
      </c>
      <c r="J3" s="148">
        <f t="shared" si="1"/>
        <v>8</v>
      </c>
      <c r="K3" s="148">
        <f t="shared" si="1"/>
        <v>9</v>
      </c>
      <c r="L3" s="148">
        <f t="shared" si="1"/>
        <v>10</v>
      </c>
      <c r="M3" s="148">
        <f t="shared" si="1"/>
        <v>11</v>
      </c>
      <c r="N3" s="148">
        <f t="shared" si="1"/>
        <v>12</v>
      </c>
      <c r="O3" s="148">
        <f t="shared" si="1"/>
        <v>13</v>
      </c>
      <c r="P3" s="148">
        <f t="shared" si="1"/>
        <v>14</v>
      </c>
      <c r="Q3" s="148">
        <f t="shared" si="1"/>
        <v>15</v>
      </c>
      <c r="R3" s="148">
        <f t="shared" si="1"/>
        <v>16</v>
      </c>
      <c r="S3" s="148">
        <f t="shared" si="1"/>
        <v>17</v>
      </c>
      <c r="T3" s="148">
        <f t="shared" si="1"/>
        <v>18</v>
      </c>
      <c r="U3" s="148">
        <f t="shared" si="1"/>
        <v>19</v>
      </c>
      <c r="V3" s="148">
        <f t="shared" si="1"/>
        <v>20</v>
      </c>
      <c r="W3" s="148">
        <f t="shared" si="1"/>
        <v>21</v>
      </c>
      <c r="X3" s="148">
        <f t="shared" si="1"/>
        <v>22</v>
      </c>
      <c r="Y3" s="148">
        <f t="shared" si="1"/>
        <v>23</v>
      </c>
      <c r="Z3" s="148">
        <f t="shared" si="1"/>
        <v>24</v>
      </c>
      <c r="AA3" s="148">
        <f t="shared" si="1"/>
        <v>25</v>
      </c>
      <c r="AB3" s="148">
        <f t="shared" si="1"/>
        <v>26</v>
      </c>
      <c r="AC3" s="148">
        <f t="shared" si="1"/>
        <v>27</v>
      </c>
      <c r="AD3" s="148">
        <f t="shared" si="1"/>
        <v>28</v>
      </c>
      <c r="AE3" s="148">
        <f t="shared" si="1"/>
        <v>29</v>
      </c>
      <c r="AF3" s="148">
        <f t="shared" si="1"/>
        <v>30</v>
      </c>
      <c r="AG3" s="148">
        <f t="shared" si="1"/>
        <v>31</v>
      </c>
      <c r="AH3" s="148">
        <f t="shared" si="1"/>
        <v>32</v>
      </c>
      <c r="AI3" s="148">
        <f t="shared" si="1"/>
        <v>33</v>
      </c>
      <c r="AJ3" s="148">
        <f t="shared" si="1"/>
        <v>34</v>
      </c>
      <c r="AK3" s="148">
        <f t="shared" si="1"/>
        <v>35</v>
      </c>
      <c r="AL3" s="148">
        <f t="shared" si="1"/>
        <v>36</v>
      </c>
      <c r="AM3" s="148">
        <f t="shared" si="1"/>
        <v>37</v>
      </c>
      <c r="AN3" s="148">
        <f t="shared" si="1"/>
        <v>38</v>
      </c>
      <c r="AO3" s="148">
        <f t="shared" si="1"/>
        <v>39</v>
      </c>
      <c r="AP3" s="148">
        <f t="shared" si="1"/>
        <v>40</v>
      </c>
      <c r="AQ3" s="148">
        <f t="shared" si="1"/>
        <v>41</v>
      </c>
      <c r="AR3" s="148">
        <f t="shared" si="1"/>
        <v>42</v>
      </c>
      <c r="AS3" s="148">
        <f t="shared" si="1"/>
        <v>43</v>
      </c>
      <c r="AT3" s="148">
        <f t="shared" si="1"/>
        <v>44</v>
      </c>
      <c r="AU3" s="148">
        <f t="shared" si="1"/>
        <v>45</v>
      </c>
      <c r="AV3" s="148">
        <f t="shared" si="1"/>
        <v>46</v>
      </c>
      <c r="AW3" s="148">
        <f t="shared" si="1"/>
        <v>47</v>
      </c>
      <c r="AX3" s="148">
        <f t="shared" si="1"/>
        <v>48</v>
      </c>
      <c r="AY3" s="148">
        <f t="shared" si="1"/>
        <v>49</v>
      </c>
      <c r="AZ3" s="148">
        <f t="shared" si="1"/>
        <v>50</v>
      </c>
      <c r="BA3" s="148">
        <f t="shared" si="1"/>
        <v>51</v>
      </c>
      <c r="BB3" s="148">
        <f t="shared" si="1"/>
        <v>52</v>
      </c>
      <c r="BC3" s="148">
        <f t="shared" si="1"/>
        <v>53</v>
      </c>
      <c r="BD3" s="148">
        <f t="shared" si="1"/>
        <v>54</v>
      </c>
      <c r="BE3" s="148">
        <f t="shared" si="1"/>
        <v>55</v>
      </c>
      <c r="BF3" s="148">
        <f t="shared" si="1"/>
        <v>56</v>
      </c>
      <c r="BG3" s="148">
        <f t="shared" si="1"/>
        <v>57</v>
      </c>
      <c r="BH3" s="148">
        <f t="shared" si="1"/>
        <v>58</v>
      </c>
      <c r="BI3" s="148">
        <f t="shared" si="1"/>
        <v>59</v>
      </c>
      <c r="BJ3" s="148">
        <f t="shared" si="1"/>
        <v>60</v>
      </c>
      <c r="BK3" s="148">
        <f t="shared" si="1"/>
        <v>61</v>
      </c>
      <c r="BL3" s="148">
        <f t="shared" si="1"/>
        <v>62</v>
      </c>
      <c r="BM3" s="148">
        <f t="shared" si="1"/>
        <v>63</v>
      </c>
      <c r="BN3" s="148">
        <f t="shared" si="1"/>
        <v>64</v>
      </c>
      <c r="BO3" s="148">
        <f t="shared" si="1"/>
        <v>65</v>
      </c>
      <c r="BP3" s="148">
        <f t="shared" si="1"/>
        <v>66</v>
      </c>
      <c r="BQ3" s="148">
        <f t="shared" si="1"/>
        <v>67</v>
      </c>
      <c r="BR3" s="148">
        <f t="shared" si="1"/>
        <v>68</v>
      </c>
      <c r="BS3" s="148">
        <f t="shared" si="1"/>
        <v>69</v>
      </c>
      <c r="BT3" s="148">
        <f t="shared" si="1"/>
        <v>70</v>
      </c>
      <c r="BU3" s="148">
        <f t="shared" si="1"/>
        <v>71</v>
      </c>
      <c r="BV3" s="148">
        <f t="shared" si="1"/>
        <v>72</v>
      </c>
      <c r="BW3" s="148">
        <f t="shared" si="1"/>
        <v>73</v>
      </c>
      <c r="BX3" s="148">
        <f t="shared" si="1"/>
        <v>74</v>
      </c>
      <c r="BY3" s="148">
        <f t="shared" si="1"/>
        <v>75</v>
      </c>
      <c r="BZ3" s="148">
        <f t="shared" si="1"/>
        <v>76</v>
      </c>
      <c r="CA3" s="148">
        <f t="shared" si="1"/>
        <v>77</v>
      </c>
      <c r="CB3" s="148">
        <f t="shared" si="1"/>
        <v>78</v>
      </c>
      <c r="CC3" s="148">
        <f t="shared" si="1"/>
        <v>79</v>
      </c>
      <c r="CD3" s="148">
        <f t="shared" si="1"/>
        <v>80</v>
      </c>
      <c r="CE3" s="148">
        <f t="shared" si="1"/>
        <v>81</v>
      </c>
      <c r="CF3" s="148">
        <f t="shared" si="1"/>
        <v>82</v>
      </c>
      <c r="CG3" s="148">
        <f t="shared" si="1"/>
        <v>83</v>
      </c>
      <c r="CH3" s="148">
        <f t="shared" si="1"/>
        <v>84</v>
      </c>
      <c r="CI3" s="148">
        <f t="shared" si="1"/>
        <v>85</v>
      </c>
      <c r="CJ3" s="148">
        <f t="shared" si="1"/>
        <v>86</v>
      </c>
      <c r="CK3" s="148">
        <f t="shared" si="1"/>
        <v>87</v>
      </c>
      <c r="CL3" s="148">
        <f t="shared" si="1"/>
        <v>88</v>
      </c>
      <c r="CM3" s="148">
        <f t="shared" si="1"/>
        <v>89</v>
      </c>
      <c r="CN3" s="148">
        <f t="shared" si="1"/>
        <v>90</v>
      </c>
      <c r="CO3" s="148">
        <f t="shared" si="1"/>
        <v>91</v>
      </c>
      <c r="CP3" s="148">
        <f t="shared" si="1"/>
        <v>92</v>
      </c>
      <c r="CQ3" s="148">
        <f t="shared" si="1"/>
        <v>93</v>
      </c>
      <c r="CR3" s="148">
        <f t="shared" si="1"/>
        <v>94</v>
      </c>
      <c r="CS3" s="148">
        <f t="shared" si="1"/>
        <v>95</v>
      </c>
      <c r="CT3" s="148">
        <f t="shared" si="1"/>
        <v>96</v>
      </c>
      <c r="CU3" s="148">
        <f t="shared" si="1"/>
        <v>97</v>
      </c>
      <c r="CV3" s="148">
        <f t="shared" si="1"/>
        <v>98</v>
      </c>
      <c r="CW3" s="148">
        <f t="shared" si="1"/>
        <v>99</v>
      </c>
      <c r="CX3" s="148">
        <f t="shared" si="1"/>
        <v>100</v>
      </c>
      <c r="CY3" s="148">
        <f t="shared" si="1"/>
        <v>101</v>
      </c>
      <c r="CZ3" s="148">
        <f t="shared" si="1"/>
        <v>102</v>
      </c>
      <c r="DA3" s="148">
        <f t="shared" si="1"/>
        <v>103</v>
      </c>
      <c r="DB3" s="148">
        <f t="shared" si="1"/>
        <v>104</v>
      </c>
      <c r="DC3" s="148">
        <f t="shared" si="1"/>
        <v>105</v>
      </c>
      <c r="DD3" s="148">
        <f t="shared" si="1"/>
        <v>106</v>
      </c>
      <c r="DE3" s="148">
        <f t="shared" si="1"/>
        <v>107</v>
      </c>
      <c r="DF3" s="148">
        <f t="shared" si="1"/>
        <v>108</v>
      </c>
      <c r="DG3" s="148">
        <f t="shared" si="1"/>
        <v>109</v>
      </c>
      <c r="DH3" s="148">
        <f t="shared" si="1"/>
        <v>110</v>
      </c>
      <c r="DI3" s="148">
        <f t="shared" si="1"/>
        <v>111</v>
      </c>
      <c r="DJ3" s="148">
        <f t="shared" si="1"/>
        <v>112</v>
      </c>
      <c r="DK3" s="148">
        <f t="shared" si="1"/>
        <v>113</v>
      </c>
      <c r="DL3" s="148">
        <f t="shared" si="1"/>
        <v>114</v>
      </c>
      <c r="DM3" s="148">
        <f t="shared" si="1"/>
        <v>115</v>
      </c>
      <c r="DN3" s="148">
        <f t="shared" si="1"/>
        <v>116</v>
      </c>
      <c r="DO3" s="148">
        <f t="shared" si="1"/>
        <v>117</v>
      </c>
      <c r="DP3" s="148">
        <f t="shared" si="1"/>
        <v>118</v>
      </c>
      <c r="DQ3" s="148">
        <f t="shared" si="1"/>
        <v>119</v>
      </c>
      <c r="DR3" s="148">
        <f t="shared" si="1"/>
        <v>120</v>
      </c>
      <c r="DS3" s="54"/>
    </row>
    <row r="4" ht="13.5" customHeight="1">
      <c r="A4" s="54"/>
      <c r="B4" s="147" t="s">
        <v>303</v>
      </c>
      <c r="C4" s="148">
        <f t="shared" ref="C4:DR4" si="2">INT((C3-1)/3)+1</f>
        <v>1</v>
      </c>
      <c r="D4" s="148">
        <f t="shared" si="2"/>
        <v>1</v>
      </c>
      <c r="E4" s="148">
        <f t="shared" si="2"/>
        <v>1</v>
      </c>
      <c r="F4" s="148">
        <f t="shared" si="2"/>
        <v>2</v>
      </c>
      <c r="G4" s="148">
        <f t="shared" si="2"/>
        <v>2</v>
      </c>
      <c r="H4" s="148">
        <f t="shared" si="2"/>
        <v>2</v>
      </c>
      <c r="I4" s="148">
        <f t="shared" si="2"/>
        <v>3</v>
      </c>
      <c r="J4" s="148">
        <f t="shared" si="2"/>
        <v>3</v>
      </c>
      <c r="K4" s="148">
        <f t="shared" si="2"/>
        <v>3</v>
      </c>
      <c r="L4" s="148">
        <f t="shared" si="2"/>
        <v>4</v>
      </c>
      <c r="M4" s="148">
        <f t="shared" si="2"/>
        <v>4</v>
      </c>
      <c r="N4" s="148">
        <f t="shared" si="2"/>
        <v>4</v>
      </c>
      <c r="O4" s="148">
        <f t="shared" si="2"/>
        <v>5</v>
      </c>
      <c r="P4" s="148">
        <f t="shared" si="2"/>
        <v>5</v>
      </c>
      <c r="Q4" s="148">
        <f t="shared" si="2"/>
        <v>5</v>
      </c>
      <c r="R4" s="148">
        <f t="shared" si="2"/>
        <v>6</v>
      </c>
      <c r="S4" s="148">
        <f t="shared" si="2"/>
        <v>6</v>
      </c>
      <c r="T4" s="148">
        <f t="shared" si="2"/>
        <v>6</v>
      </c>
      <c r="U4" s="148">
        <f t="shared" si="2"/>
        <v>7</v>
      </c>
      <c r="V4" s="148">
        <f t="shared" si="2"/>
        <v>7</v>
      </c>
      <c r="W4" s="148">
        <f t="shared" si="2"/>
        <v>7</v>
      </c>
      <c r="X4" s="148">
        <f t="shared" si="2"/>
        <v>8</v>
      </c>
      <c r="Y4" s="148">
        <f t="shared" si="2"/>
        <v>8</v>
      </c>
      <c r="Z4" s="148">
        <f t="shared" si="2"/>
        <v>8</v>
      </c>
      <c r="AA4" s="148">
        <f t="shared" si="2"/>
        <v>9</v>
      </c>
      <c r="AB4" s="148">
        <f t="shared" si="2"/>
        <v>9</v>
      </c>
      <c r="AC4" s="148">
        <f t="shared" si="2"/>
        <v>9</v>
      </c>
      <c r="AD4" s="148">
        <f t="shared" si="2"/>
        <v>10</v>
      </c>
      <c r="AE4" s="148">
        <f t="shared" si="2"/>
        <v>10</v>
      </c>
      <c r="AF4" s="148">
        <f t="shared" si="2"/>
        <v>10</v>
      </c>
      <c r="AG4" s="148">
        <f t="shared" si="2"/>
        <v>11</v>
      </c>
      <c r="AH4" s="148">
        <f t="shared" si="2"/>
        <v>11</v>
      </c>
      <c r="AI4" s="148">
        <f t="shared" si="2"/>
        <v>11</v>
      </c>
      <c r="AJ4" s="148">
        <f t="shared" si="2"/>
        <v>12</v>
      </c>
      <c r="AK4" s="148">
        <f t="shared" si="2"/>
        <v>12</v>
      </c>
      <c r="AL4" s="148">
        <f t="shared" si="2"/>
        <v>12</v>
      </c>
      <c r="AM4" s="148">
        <f t="shared" si="2"/>
        <v>13</v>
      </c>
      <c r="AN4" s="148">
        <f t="shared" si="2"/>
        <v>13</v>
      </c>
      <c r="AO4" s="148">
        <f t="shared" si="2"/>
        <v>13</v>
      </c>
      <c r="AP4" s="148">
        <f t="shared" si="2"/>
        <v>14</v>
      </c>
      <c r="AQ4" s="148">
        <f t="shared" si="2"/>
        <v>14</v>
      </c>
      <c r="AR4" s="148">
        <f t="shared" si="2"/>
        <v>14</v>
      </c>
      <c r="AS4" s="148">
        <f t="shared" si="2"/>
        <v>15</v>
      </c>
      <c r="AT4" s="148">
        <f t="shared" si="2"/>
        <v>15</v>
      </c>
      <c r="AU4" s="148">
        <f t="shared" si="2"/>
        <v>15</v>
      </c>
      <c r="AV4" s="148">
        <f t="shared" si="2"/>
        <v>16</v>
      </c>
      <c r="AW4" s="148">
        <f t="shared" si="2"/>
        <v>16</v>
      </c>
      <c r="AX4" s="148">
        <f t="shared" si="2"/>
        <v>16</v>
      </c>
      <c r="AY4" s="148">
        <f t="shared" si="2"/>
        <v>17</v>
      </c>
      <c r="AZ4" s="148">
        <f t="shared" si="2"/>
        <v>17</v>
      </c>
      <c r="BA4" s="148">
        <f t="shared" si="2"/>
        <v>17</v>
      </c>
      <c r="BB4" s="148">
        <f t="shared" si="2"/>
        <v>18</v>
      </c>
      <c r="BC4" s="148">
        <f t="shared" si="2"/>
        <v>18</v>
      </c>
      <c r="BD4" s="148">
        <f t="shared" si="2"/>
        <v>18</v>
      </c>
      <c r="BE4" s="148">
        <f t="shared" si="2"/>
        <v>19</v>
      </c>
      <c r="BF4" s="148">
        <f t="shared" si="2"/>
        <v>19</v>
      </c>
      <c r="BG4" s="148">
        <f t="shared" si="2"/>
        <v>19</v>
      </c>
      <c r="BH4" s="148">
        <f t="shared" si="2"/>
        <v>20</v>
      </c>
      <c r="BI4" s="148">
        <f t="shared" si="2"/>
        <v>20</v>
      </c>
      <c r="BJ4" s="148">
        <f t="shared" si="2"/>
        <v>20</v>
      </c>
      <c r="BK4" s="148">
        <f t="shared" si="2"/>
        <v>21</v>
      </c>
      <c r="BL4" s="148">
        <f t="shared" si="2"/>
        <v>21</v>
      </c>
      <c r="BM4" s="148">
        <f t="shared" si="2"/>
        <v>21</v>
      </c>
      <c r="BN4" s="148">
        <f t="shared" si="2"/>
        <v>22</v>
      </c>
      <c r="BO4" s="148">
        <f t="shared" si="2"/>
        <v>22</v>
      </c>
      <c r="BP4" s="148">
        <f t="shared" si="2"/>
        <v>22</v>
      </c>
      <c r="BQ4" s="148">
        <f t="shared" si="2"/>
        <v>23</v>
      </c>
      <c r="BR4" s="148">
        <f t="shared" si="2"/>
        <v>23</v>
      </c>
      <c r="BS4" s="148">
        <f t="shared" si="2"/>
        <v>23</v>
      </c>
      <c r="BT4" s="148">
        <f t="shared" si="2"/>
        <v>24</v>
      </c>
      <c r="BU4" s="148">
        <f t="shared" si="2"/>
        <v>24</v>
      </c>
      <c r="BV4" s="148">
        <f t="shared" si="2"/>
        <v>24</v>
      </c>
      <c r="BW4" s="148">
        <f t="shared" si="2"/>
        <v>25</v>
      </c>
      <c r="BX4" s="148">
        <f t="shared" si="2"/>
        <v>25</v>
      </c>
      <c r="BY4" s="148">
        <f t="shared" si="2"/>
        <v>25</v>
      </c>
      <c r="BZ4" s="148">
        <f t="shared" si="2"/>
        <v>26</v>
      </c>
      <c r="CA4" s="148">
        <f t="shared" si="2"/>
        <v>26</v>
      </c>
      <c r="CB4" s="148">
        <f t="shared" si="2"/>
        <v>26</v>
      </c>
      <c r="CC4" s="148">
        <f t="shared" si="2"/>
        <v>27</v>
      </c>
      <c r="CD4" s="148">
        <f t="shared" si="2"/>
        <v>27</v>
      </c>
      <c r="CE4" s="148">
        <f t="shared" si="2"/>
        <v>27</v>
      </c>
      <c r="CF4" s="148">
        <f t="shared" si="2"/>
        <v>28</v>
      </c>
      <c r="CG4" s="148">
        <f t="shared" si="2"/>
        <v>28</v>
      </c>
      <c r="CH4" s="148">
        <f t="shared" si="2"/>
        <v>28</v>
      </c>
      <c r="CI4" s="148">
        <f t="shared" si="2"/>
        <v>29</v>
      </c>
      <c r="CJ4" s="148">
        <f t="shared" si="2"/>
        <v>29</v>
      </c>
      <c r="CK4" s="148">
        <f t="shared" si="2"/>
        <v>29</v>
      </c>
      <c r="CL4" s="148">
        <f t="shared" si="2"/>
        <v>30</v>
      </c>
      <c r="CM4" s="148">
        <f t="shared" si="2"/>
        <v>30</v>
      </c>
      <c r="CN4" s="148">
        <f t="shared" si="2"/>
        <v>30</v>
      </c>
      <c r="CO4" s="148">
        <f t="shared" si="2"/>
        <v>31</v>
      </c>
      <c r="CP4" s="148">
        <f t="shared" si="2"/>
        <v>31</v>
      </c>
      <c r="CQ4" s="148">
        <f t="shared" si="2"/>
        <v>31</v>
      </c>
      <c r="CR4" s="148">
        <f t="shared" si="2"/>
        <v>32</v>
      </c>
      <c r="CS4" s="148">
        <f t="shared" si="2"/>
        <v>32</v>
      </c>
      <c r="CT4" s="148">
        <f t="shared" si="2"/>
        <v>32</v>
      </c>
      <c r="CU4" s="148">
        <f t="shared" si="2"/>
        <v>33</v>
      </c>
      <c r="CV4" s="148">
        <f t="shared" si="2"/>
        <v>33</v>
      </c>
      <c r="CW4" s="148">
        <f t="shared" si="2"/>
        <v>33</v>
      </c>
      <c r="CX4" s="148">
        <f t="shared" si="2"/>
        <v>34</v>
      </c>
      <c r="CY4" s="148">
        <f t="shared" si="2"/>
        <v>34</v>
      </c>
      <c r="CZ4" s="148">
        <f t="shared" si="2"/>
        <v>34</v>
      </c>
      <c r="DA4" s="148">
        <f t="shared" si="2"/>
        <v>35</v>
      </c>
      <c r="DB4" s="148">
        <f t="shared" si="2"/>
        <v>35</v>
      </c>
      <c r="DC4" s="148">
        <f t="shared" si="2"/>
        <v>35</v>
      </c>
      <c r="DD4" s="148">
        <f t="shared" si="2"/>
        <v>36</v>
      </c>
      <c r="DE4" s="148">
        <f t="shared" si="2"/>
        <v>36</v>
      </c>
      <c r="DF4" s="148">
        <f t="shared" si="2"/>
        <v>36</v>
      </c>
      <c r="DG4" s="148">
        <f t="shared" si="2"/>
        <v>37</v>
      </c>
      <c r="DH4" s="148">
        <f t="shared" si="2"/>
        <v>37</v>
      </c>
      <c r="DI4" s="148">
        <f t="shared" si="2"/>
        <v>37</v>
      </c>
      <c r="DJ4" s="148">
        <f t="shared" si="2"/>
        <v>38</v>
      </c>
      <c r="DK4" s="148">
        <f t="shared" si="2"/>
        <v>38</v>
      </c>
      <c r="DL4" s="148">
        <f t="shared" si="2"/>
        <v>38</v>
      </c>
      <c r="DM4" s="148">
        <f t="shared" si="2"/>
        <v>39</v>
      </c>
      <c r="DN4" s="148">
        <f t="shared" si="2"/>
        <v>39</v>
      </c>
      <c r="DO4" s="148">
        <f t="shared" si="2"/>
        <v>39</v>
      </c>
      <c r="DP4" s="148">
        <f t="shared" si="2"/>
        <v>40</v>
      </c>
      <c r="DQ4" s="148">
        <f t="shared" si="2"/>
        <v>40</v>
      </c>
      <c r="DR4" s="148">
        <f t="shared" si="2"/>
        <v>40</v>
      </c>
      <c r="DS4" s="54"/>
    </row>
    <row r="5" ht="13.5" customHeight="1">
      <c r="A5" s="54"/>
      <c r="B5" s="149" t="s">
        <v>304</v>
      </c>
      <c r="C5" s="148">
        <f t="shared" ref="C5:DR5" si="3">INT((C3-1)/12)+1</f>
        <v>1</v>
      </c>
      <c r="D5" s="150">
        <f t="shared" si="3"/>
        <v>1</v>
      </c>
      <c r="E5" s="150">
        <f t="shared" si="3"/>
        <v>1</v>
      </c>
      <c r="F5" s="150">
        <f t="shared" si="3"/>
        <v>1</v>
      </c>
      <c r="G5" s="150">
        <f t="shared" si="3"/>
        <v>1</v>
      </c>
      <c r="H5" s="150">
        <f t="shared" si="3"/>
        <v>1</v>
      </c>
      <c r="I5" s="150">
        <f t="shared" si="3"/>
        <v>1</v>
      </c>
      <c r="J5" s="150">
        <f t="shared" si="3"/>
        <v>1</v>
      </c>
      <c r="K5" s="150">
        <f t="shared" si="3"/>
        <v>1</v>
      </c>
      <c r="L5" s="150">
        <f t="shared" si="3"/>
        <v>1</v>
      </c>
      <c r="M5" s="150">
        <f t="shared" si="3"/>
        <v>1</v>
      </c>
      <c r="N5" s="150">
        <f t="shared" si="3"/>
        <v>1</v>
      </c>
      <c r="O5" s="150">
        <f t="shared" si="3"/>
        <v>2</v>
      </c>
      <c r="P5" s="150">
        <f t="shared" si="3"/>
        <v>2</v>
      </c>
      <c r="Q5" s="150">
        <f t="shared" si="3"/>
        <v>2</v>
      </c>
      <c r="R5" s="150">
        <f t="shared" si="3"/>
        <v>2</v>
      </c>
      <c r="S5" s="150">
        <f t="shared" si="3"/>
        <v>2</v>
      </c>
      <c r="T5" s="150">
        <f t="shared" si="3"/>
        <v>2</v>
      </c>
      <c r="U5" s="150">
        <f t="shared" si="3"/>
        <v>2</v>
      </c>
      <c r="V5" s="150">
        <f t="shared" si="3"/>
        <v>2</v>
      </c>
      <c r="W5" s="150">
        <f t="shared" si="3"/>
        <v>2</v>
      </c>
      <c r="X5" s="150">
        <f t="shared" si="3"/>
        <v>2</v>
      </c>
      <c r="Y5" s="150">
        <f t="shared" si="3"/>
        <v>2</v>
      </c>
      <c r="Z5" s="150">
        <f t="shared" si="3"/>
        <v>2</v>
      </c>
      <c r="AA5" s="150">
        <f t="shared" si="3"/>
        <v>3</v>
      </c>
      <c r="AB5" s="150">
        <f t="shared" si="3"/>
        <v>3</v>
      </c>
      <c r="AC5" s="150">
        <f t="shared" si="3"/>
        <v>3</v>
      </c>
      <c r="AD5" s="150">
        <f t="shared" si="3"/>
        <v>3</v>
      </c>
      <c r="AE5" s="150">
        <f t="shared" si="3"/>
        <v>3</v>
      </c>
      <c r="AF5" s="150">
        <f t="shared" si="3"/>
        <v>3</v>
      </c>
      <c r="AG5" s="150">
        <f t="shared" si="3"/>
        <v>3</v>
      </c>
      <c r="AH5" s="150">
        <f t="shared" si="3"/>
        <v>3</v>
      </c>
      <c r="AI5" s="150">
        <f t="shared" si="3"/>
        <v>3</v>
      </c>
      <c r="AJ5" s="150">
        <f t="shared" si="3"/>
        <v>3</v>
      </c>
      <c r="AK5" s="150">
        <f t="shared" si="3"/>
        <v>3</v>
      </c>
      <c r="AL5" s="150">
        <f t="shared" si="3"/>
        <v>3</v>
      </c>
      <c r="AM5" s="150">
        <f t="shared" si="3"/>
        <v>4</v>
      </c>
      <c r="AN5" s="150">
        <f t="shared" si="3"/>
        <v>4</v>
      </c>
      <c r="AO5" s="150">
        <f t="shared" si="3"/>
        <v>4</v>
      </c>
      <c r="AP5" s="150">
        <f t="shared" si="3"/>
        <v>4</v>
      </c>
      <c r="AQ5" s="150">
        <f t="shared" si="3"/>
        <v>4</v>
      </c>
      <c r="AR5" s="150">
        <f t="shared" si="3"/>
        <v>4</v>
      </c>
      <c r="AS5" s="150">
        <f t="shared" si="3"/>
        <v>4</v>
      </c>
      <c r="AT5" s="150">
        <f t="shared" si="3"/>
        <v>4</v>
      </c>
      <c r="AU5" s="150">
        <f t="shared" si="3"/>
        <v>4</v>
      </c>
      <c r="AV5" s="150">
        <f t="shared" si="3"/>
        <v>4</v>
      </c>
      <c r="AW5" s="150">
        <f t="shared" si="3"/>
        <v>4</v>
      </c>
      <c r="AX5" s="150">
        <f t="shared" si="3"/>
        <v>4</v>
      </c>
      <c r="AY5" s="150">
        <f t="shared" si="3"/>
        <v>5</v>
      </c>
      <c r="AZ5" s="150">
        <f t="shared" si="3"/>
        <v>5</v>
      </c>
      <c r="BA5" s="150">
        <f t="shared" si="3"/>
        <v>5</v>
      </c>
      <c r="BB5" s="150">
        <f t="shared" si="3"/>
        <v>5</v>
      </c>
      <c r="BC5" s="150">
        <f t="shared" si="3"/>
        <v>5</v>
      </c>
      <c r="BD5" s="150">
        <f t="shared" si="3"/>
        <v>5</v>
      </c>
      <c r="BE5" s="150">
        <f t="shared" si="3"/>
        <v>5</v>
      </c>
      <c r="BF5" s="150">
        <f t="shared" si="3"/>
        <v>5</v>
      </c>
      <c r="BG5" s="150">
        <f t="shared" si="3"/>
        <v>5</v>
      </c>
      <c r="BH5" s="150">
        <f t="shared" si="3"/>
        <v>5</v>
      </c>
      <c r="BI5" s="150">
        <f t="shared" si="3"/>
        <v>5</v>
      </c>
      <c r="BJ5" s="150">
        <f t="shared" si="3"/>
        <v>5</v>
      </c>
      <c r="BK5" s="150">
        <f t="shared" si="3"/>
        <v>6</v>
      </c>
      <c r="BL5" s="150">
        <f t="shared" si="3"/>
        <v>6</v>
      </c>
      <c r="BM5" s="150">
        <f t="shared" si="3"/>
        <v>6</v>
      </c>
      <c r="BN5" s="150">
        <f t="shared" si="3"/>
        <v>6</v>
      </c>
      <c r="BO5" s="150">
        <f t="shared" si="3"/>
        <v>6</v>
      </c>
      <c r="BP5" s="150">
        <f t="shared" si="3"/>
        <v>6</v>
      </c>
      <c r="BQ5" s="150">
        <f t="shared" si="3"/>
        <v>6</v>
      </c>
      <c r="BR5" s="150">
        <f t="shared" si="3"/>
        <v>6</v>
      </c>
      <c r="BS5" s="150">
        <f t="shared" si="3"/>
        <v>6</v>
      </c>
      <c r="BT5" s="150">
        <f t="shared" si="3"/>
        <v>6</v>
      </c>
      <c r="BU5" s="150">
        <f t="shared" si="3"/>
        <v>6</v>
      </c>
      <c r="BV5" s="150">
        <f t="shared" si="3"/>
        <v>6</v>
      </c>
      <c r="BW5" s="150">
        <f t="shared" si="3"/>
        <v>7</v>
      </c>
      <c r="BX5" s="150">
        <f t="shared" si="3"/>
        <v>7</v>
      </c>
      <c r="BY5" s="150">
        <f t="shared" si="3"/>
        <v>7</v>
      </c>
      <c r="BZ5" s="150">
        <f t="shared" si="3"/>
        <v>7</v>
      </c>
      <c r="CA5" s="150">
        <f t="shared" si="3"/>
        <v>7</v>
      </c>
      <c r="CB5" s="150">
        <f t="shared" si="3"/>
        <v>7</v>
      </c>
      <c r="CC5" s="150">
        <f t="shared" si="3"/>
        <v>7</v>
      </c>
      <c r="CD5" s="150">
        <f t="shared" si="3"/>
        <v>7</v>
      </c>
      <c r="CE5" s="150">
        <f t="shared" si="3"/>
        <v>7</v>
      </c>
      <c r="CF5" s="150">
        <f t="shared" si="3"/>
        <v>7</v>
      </c>
      <c r="CG5" s="150">
        <f t="shared" si="3"/>
        <v>7</v>
      </c>
      <c r="CH5" s="150">
        <f t="shared" si="3"/>
        <v>7</v>
      </c>
      <c r="CI5" s="150">
        <f t="shared" si="3"/>
        <v>8</v>
      </c>
      <c r="CJ5" s="150">
        <f t="shared" si="3"/>
        <v>8</v>
      </c>
      <c r="CK5" s="150">
        <f t="shared" si="3"/>
        <v>8</v>
      </c>
      <c r="CL5" s="150">
        <f t="shared" si="3"/>
        <v>8</v>
      </c>
      <c r="CM5" s="150">
        <f t="shared" si="3"/>
        <v>8</v>
      </c>
      <c r="CN5" s="150">
        <f t="shared" si="3"/>
        <v>8</v>
      </c>
      <c r="CO5" s="150">
        <f t="shared" si="3"/>
        <v>8</v>
      </c>
      <c r="CP5" s="150">
        <f t="shared" si="3"/>
        <v>8</v>
      </c>
      <c r="CQ5" s="150">
        <f t="shared" si="3"/>
        <v>8</v>
      </c>
      <c r="CR5" s="150">
        <f t="shared" si="3"/>
        <v>8</v>
      </c>
      <c r="CS5" s="150">
        <f t="shared" si="3"/>
        <v>8</v>
      </c>
      <c r="CT5" s="150">
        <f t="shared" si="3"/>
        <v>8</v>
      </c>
      <c r="CU5" s="150">
        <f t="shared" si="3"/>
        <v>9</v>
      </c>
      <c r="CV5" s="150">
        <f t="shared" si="3"/>
        <v>9</v>
      </c>
      <c r="CW5" s="150">
        <f t="shared" si="3"/>
        <v>9</v>
      </c>
      <c r="CX5" s="150">
        <f t="shared" si="3"/>
        <v>9</v>
      </c>
      <c r="CY5" s="150">
        <f t="shared" si="3"/>
        <v>9</v>
      </c>
      <c r="CZ5" s="150">
        <f t="shared" si="3"/>
        <v>9</v>
      </c>
      <c r="DA5" s="150">
        <f t="shared" si="3"/>
        <v>9</v>
      </c>
      <c r="DB5" s="150">
        <f t="shared" si="3"/>
        <v>9</v>
      </c>
      <c r="DC5" s="150">
        <f t="shared" si="3"/>
        <v>9</v>
      </c>
      <c r="DD5" s="150">
        <f t="shared" si="3"/>
        <v>9</v>
      </c>
      <c r="DE5" s="150">
        <f t="shared" si="3"/>
        <v>9</v>
      </c>
      <c r="DF5" s="150">
        <f t="shared" si="3"/>
        <v>9</v>
      </c>
      <c r="DG5" s="150">
        <f t="shared" si="3"/>
        <v>10</v>
      </c>
      <c r="DH5" s="150">
        <f t="shared" si="3"/>
        <v>10</v>
      </c>
      <c r="DI5" s="150">
        <f t="shared" si="3"/>
        <v>10</v>
      </c>
      <c r="DJ5" s="150">
        <f t="shared" si="3"/>
        <v>10</v>
      </c>
      <c r="DK5" s="150">
        <f t="shared" si="3"/>
        <v>10</v>
      </c>
      <c r="DL5" s="150">
        <f t="shared" si="3"/>
        <v>10</v>
      </c>
      <c r="DM5" s="150">
        <f t="shared" si="3"/>
        <v>10</v>
      </c>
      <c r="DN5" s="150">
        <f t="shared" si="3"/>
        <v>10</v>
      </c>
      <c r="DO5" s="150">
        <f t="shared" si="3"/>
        <v>10</v>
      </c>
      <c r="DP5" s="150">
        <f t="shared" si="3"/>
        <v>10</v>
      </c>
      <c r="DQ5" s="150">
        <f t="shared" si="3"/>
        <v>10</v>
      </c>
      <c r="DR5" s="150">
        <f t="shared" si="3"/>
        <v>10</v>
      </c>
      <c r="DS5" s="54"/>
    </row>
    <row r="6" ht="25.5" customHeight="1">
      <c r="A6" s="54"/>
      <c r="B6" s="54"/>
      <c r="C6" s="151">
        <f>EOMONTH(Inputs!$C$14,COLUMN()-3)</f>
        <v>1</v>
      </c>
      <c r="D6" s="151">
        <f>EOMONTH(Inputs!$C$14,COLUMN()-3)</f>
        <v>32</v>
      </c>
      <c r="E6" s="151">
        <f>EOMONTH(Inputs!$C$14,COLUMN()-3)</f>
        <v>60</v>
      </c>
      <c r="F6" s="151">
        <f>EOMONTH(Inputs!$C$14,COLUMN()-3)</f>
        <v>91</v>
      </c>
      <c r="G6" s="151">
        <f>EOMONTH(Inputs!$C$14,COLUMN()-3)</f>
        <v>121</v>
      </c>
      <c r="H6" s="151">
        <f>EOMONTH(Inputs!$C$14,COLUMN()-3)</f>
        <v>152</v>
      </c>
      <c r="I6" s="151">
        <f>EOMONTH(Inputs!$C$14,COLUMN()-3)</f>
        <v>182</v>
      </c>
      <c r="J6" s="151">
        <f>EOMONTH(Inputs!$C$14,COLUMN()-3)</f>
        <v>213</v>
      </c>
      <c r="K6" s="151">
        <f>EOMONTH(Inputs!$C$14,COLUMN()-3)</f>
        <v>244</v>
      </c>
      <c r="L6" s="151">
        <f>EOMONTH(Inputs!$C$14,COLUMN()-3)</f>
        <v>274</v>
      </c>
      <c r="M6" s="151">
        <f>EOMONTH(Inputs!$C$14,COLUMN()-3)</f>
        <v>305</v>
      </c>
      <c r="N6" s="151">
        <f>EOMONTH(Inputs!$C$14,COLUMN()-3)</f>
        <v>335</v>
      </c>
      <c r="O6" s="151">
        <f>EOMONTH(Inputs!$C$14,COLUMN()-3)</f>
        <v>366</v>
      </c>
      <c r="P6" s="151">
        <f>EOMONTH(Inputs!$C$14,COLUMN()-3)</f>
        <v>397</v>
      </c>
      <c r="Q6" s="151">
        <f>EOMONTH(Inputs!$C$14,COLUMN()-3)</f>
        <v>425</v>
      </c>
      <c r="R6" s="151">
        <f>EOMONTH(Inputs!$C$14,COLUMN()-3)</f>
        <v>456</v>
      </c>
      <c r="S6" s="151">
        <f>EOMONTH(Inputs!$C$14,COLUMN()-3)</f>
        <v>486</v>
      </c>
      <c r="T6" s="151">
        <f>EOMONTH(Inputs!$C$14,COLUMN()-3)</f>
        <v>517</v>
      </c>
      <c r="U6" s="151">
        <f>EOMONTH(Inputs!$C$14,COLUMN()-3)</f>
        <v>547</v>
      </c>
      <c r="V6" s="151">
        <f>EOMONTH(Inputs!$C$14,COLUMN()-3)</f>
        <v>578</v>
      </c>
      <c r="W6" s="151">
        <f>EOMONTH(Inputs!$C$14,COLUMN()-3)</f>
        <v>609</v>
      </c>
      <c r="X6" s="151">
        <f>EOMONTH(Inputs!$C$14,COLUMN()-3)</f>
        <v>639</v>
      </c>
      <c r="Y6" s="151">
        <f>EOMONTH(Inputs!$C$14,COLUMN()-3)</f>
        <v>670</v>
      </c>
      <c r="Z6" s="151">
        <f>EOMONTH(Inputs!$C$14,COLUMN()-3)</f>
        <v>700</v>
      </c>
      <c r="AA6" s="151">
        <f>EOMONTH(Inputs!$C$14,COLUMN()-3)</f>
        <v>731</v>
      </c>
      <c r="AB6" s="151">
        <f>EOMONTH(Inputs!$C$14,COLUMN()-3)</f>
        <v>762</v>
      </c>
      <c r="AC6" s="151">
        <f>EOMONTH(Inputs!$C$14,COLUMN()-3)</f>
        <v>790</v>
      </c>
      <c r="AD6" s="151">
        <f>EOMONTH(Inputs!$C$14,COLUMN()-3)</f>
        <v>821</v>
      </c>
      <c r="AE6" s="151">
        <f>EOMONTH(Inputs!$C$14,COLUMN()-3)</f>
        <v>851</v>
      </c>
      <c r="AF6" s="151">
        <f>EOMONTH(Inputs!$C$14,COLUMN()-3)</f>
        <v>882</v>
      </c>
      <c r="AG6" s="151">
        <f>EOMONTH(Inputs!$C$14,COLUMN()-3)</f>
        <v>912</v>
      </c>
      <c r="AH6" s="151">
        <f>EOMONTH(Inputs!$C$14,COLUMN()-3)</f>
        <v>943</v>
      </c>
      <c r="AI6" s="151">
        <f>EOMONTH(Inputs!$C$14,COLUMN()-3)</f>
        <v>974</v>
      </c>
      <c r="AJ6" s="151">
        <f>EOMONTH(Inputs!$C$14,COLUMN()-3)</f>
        <v>1004</v>
      </c>
      <c r="AK6" s="151">
        <f>EOMONTH(Inputs!$C$14,COLUMN()-3)</f>
        <v>1035</v>
      </c>
      <c r="AL6" s="151">
        <f>EOMONTH(Inputs!$C$14,COLUMN()-3)</f>
        <v>1065</v>
      </c>
      <c r="AM6" s="151">
        <f>EOMONTH(Inputs!$C$14,COLUMN()-3)</f>
        <v>1096</v>
      </c>
      <c r="AN6" s="151">
        <f>EOMONTH(Inputs!$C$14,COLUMN()-3)</f>
        <v>1127</v>
      </c>
      <c r="AO6" s="151">
        <f>EOMONTH(Inputs!$C$14,COLUMN()-3)</f>
        <v>1155</v>
      </c>
      <c r="AP6" s="151">
        <f>EOMONTH(Inputs!$C$14,COLUMN()-3)</f>
        <v>1186</v>
      </c>
      <c r="AQ6" s="151">
        <f>EOMONTH(Inputs!$C$14,COLUMN()-3)</f>
        <v>1216</v>
      </c>
      <c r="AR6" s="151">
        <f>EOMONTH(Inputs!$C$14,COLUMN()-3)</f>
        <v>1247</v>
      </c>
      <c r="AS6" s="151">
        <f>EOMONTH(Inputs!$C$14,COLUMN()-3)</f>
        <v>1277</v>
      </c>
      <c r="AT6" s="151">
        <f>EOMONTH(Inputs!$C$14,COLUMN()-3)</f>
        <v>1308</v>
      </c>
      <c r="AU6" s="151">
        <f>EOMONTH(Inputs!$C$14,COLUMN()-3)</f>
        <v>1339</v>
      </c>
      <c r="AV6" s="151">
        <f>EOMONTH(Inputs!$C$14,COLUMN()-3)</f>
        <v>1369</v>
      </c>
      <c r="AW6" s="151">
        <f>EOMONTH(Inputs!$C$14,COLUMN()-3)</f>
        <v>1400</v>
      </c>
      <c r="AX6" s="151">
        <f>EOMONTH(Inputs!$C$14,COLUMN()-3)</f>
        <v>1430</v>
      </c>
      <c r="AY6" s="151">
        <f>EOMONTH(Inputs!$C$14,COLUMN()-3)</f>
        <v>1461</v>
      </c>
      <c r="AZ6" s="151">
        <f>EOMONTH(Inputs!$C$14,COLUMN()-3)</f>
        <v>1492</v>
      </c>
      <c r="BA6" s="151">
        <f>EOMONTH(Inputs!$C$14,COLUMN()-3)</f>
        <v>1521</v>
      </c>
      <c r="BB6" s="151">
        <f>EOMONTH(Inputs!$C$14,COLUMN()-3)</f>
        <v>1552</v>
      </c>
      <c r="BC6" s="151">
        <f>EOMONTH(Inputs!$C$14,COLUMN()-3)</f>
        <v>1582</v>
      </c>
      <c r="BD6" s="151">
        <f>EOMONTH(Inputs!$C$14,COLUMN()-3)</f>
        <v>1613</v>
      </c>
      <c r="BE6" s="151">
        <f>EOMONTH(Inputs!$C$14,COLUMN()-3)</f>
        <v>1643</v>
      </c>
      <c r="BF6" s="151">
        <f>EOMONTH(Inputs!$C$14,COLUMN()-3)</f>
        <v>1674</v>
      </c>
      <c r="BG6" s="151">
        <f>EOMONTH(Inputs!$C$14,COLUMN()-3)</f>
        <v>1705</v>
      </c>
      <c r="BH6" s="151">
        <f>EOMONTH(Inputs!$C$14,COLUMN()-3)</f>
        <v>1735</v>
      </c>
      <c r="BI6" s="151">
        <f>EOMONTH(Inputs!$C$14,COLUMN()-3)</f>
        <v>1766</v>
      </c>
      <c r="BJ6" s="151">
        <f>EOMONTH(Inputs!$C$14,COLUMN()-3)</f>
        <v>1796</v>
      </c>
      <c r="BK6" s="151">
        <f>EOMONTH(Inputs!$C$14,COLUMN()-3)</f>
        <v>1827</v>
      </c>
      <c r="BL6" s="151">
        <f>EOMONTH(Inputs!$C$14,COLUMN()-3)</f>
        <v>1858</v>
      </c>
      <c r="BM6" s="151">
        <f>EOMONTH(Inputs!$C$14,COLUMN()-3)</f>
        <v>1886</v>
      </c>
      <c r="BN6" s="151">
        <f>EOMONTH(Inputs!$C$14,COLUMN()-3)</f>
        <v>1917</v>
      </c>
      <c r="BO6" s="151">
        <f>EOMONTH(Inputs!$C$14,COLUMN()-3)</f>
        <v>1947</v>
      </c>
      <c r="BP6" s="151">
        <f>EOMONTH(Inputs!$C$14,COLUMN()-3)</f>
        <v>1978</v>
      </c>
      <c r="BQ6" s="151">
        <f>EOMONTH(Inputs!$C$14,COLUMN()-3)</f>
        <v>2008</v>
      </c>
      <c r="BR6" s="151">
        <f>EOMONTH(Inputs!$C$14,COLUMN()-3)</f>
        <v>2039</v>
      </c>
      <c r="BS6" s="151">
        <f>EOMONTH(Inputs!$C$14,COLUMN()-3)</f>
        <v>2070</v>
      </c>
      <c r="BT6" s="151">
        <f>EOMONTH(Inputs!$C$14,COLUMN()-3)</f>
        <v>2100</v>
      </c>
      <c r="BU6" s="151">
        <f>EOMONTH(Inputs!$C$14,COLUMN()-3)</f>
        <v>2131</v>
      </c>
      <c r="BV6" s="151">
        <f>EOMONTH(Inputs!$C$14,COLUMN()-3)</f>
        <v>2161</v>
      </c>
      <c r="BW6" s="151">
        <f>EOMONTH(Inputs!$C$14,COLUMN()-3)</f>
        <v>2192</v>
      </c>
      <c r="BX6" s="151">
        <f>EOMONTH(Inputs!$C$14,COLUMN()-3)</f>
        <v>2223</v>
      </c>
      <c r="BY6" s="151">
        <f>EOMONTH(Inputs!$C$14,COLUMN()-3)</f>
        <v>2251</v>
      </c>
      <c r="BZ6" s="151">
        <f>EOMONTH(Inputs!$C$14,COLUMN()-3)</f>
        <v>2282</v>
      </c>
      <c r="CA6" s="151">
        <f>EOMONTH(Inputs!$C$14,COLUMN()-3)</f>
        <v>2312</v>
      </c>
      <c r="CB6" s="151">
        <f>EOMONTH(Inputs!$C$14,COLUMN()-3)</f>
        <v>2343</v>
      </c>
      <c r="CC6" s="151">
        <f>EOMONTH(Inputs!$C$14,COLUMN()-3)</f>
        <v>2373</v>
      </c>
      <c r="CD6" s="151">
        <f>EOMONTH(Inputs!$C$14,COLUMN()-3)</f>
        <v>2404</v>
      </c>
      <c r="CE6" s="151">
        <f>EOMONTH(Inputs!$C$14,COLUMN()-3)</f>
        <v>2435</v>
      </c>
      <c r="CF6" s="151">
        <f>EOMONTH(Inputs!$C$14,COLUMN()-3)</f>
        <v>2465</v>
      </c>
      <c r="CG6" s="151">
        <f>EOMONTH(Inputs!$C$14,COLUMN()-3)</f>
        <v>2496</v>
      </c>
      <c r="CH6" s="151">
        <f>EOMONTH(Inputs!$C$14,COLUMN()-3)</f>
        <v>2526</v>
      </c>
      <c r="CI6" s="151">
        <f>EOMONTH(Inputs!$C$14,COLUMN()-3)</f>
        <v>2557</v>
      </c>
      <c r="CJ6" s="151">
        <f>EOMONTH(Inputs!$C$14,COLUMN()-3)</f>
        <v>2588</v>
      </c>
      <c r="CK6" s="151">
        <f>EOMONTH(Inputs!$C$14,COLUMN()-3)</f>
        <v>2616</v>
      </c>
      <c r="CL6" s="151">
        <f>EOMONTH(Inputs!$C$14,COLUMN()-3)</f>
        <v>2647</v>
      </c>
      <c r="CM6" s="151">
        <f>EOMONTH(Inputs!$C$14,COLUMN()-3)</f>
        <v>2677</v>
      </c>
      <c r="CN6" s="151">
        <f>EOMONTH(Inputs!$C$14,COLUMN()-3)</f>
        <v>2708</v>
      </c>
      <c r="CO6" s="151">
        <f>EOMONTH(Inputs!$C$14,COLUMN()-3)</f>
        <v>2738</v>
      </c>
      <c r="CP6" s="151">
        <f>EOMONTH(Inputs!$C$14,COLUMN()-3)</f>
        <v>2769</v>
      </c>
      <c r="CQ6" s="151">
        <f>EOMONTH(Inputs!$C$14,COLUMN()-3)</f>
        <v>2800</v>
      </c>
      <c r="CR6" s="151">
        <f>EOMONTH(Inputs!$C$14,COLUMN()-3)</f>
        <v>2830</v>
      </c>
      <c r="CS6" s="151">
        <f>EOMONTH(Inputs!$C$14,COLUMN()-3)</f>
        <v>2861</v>
      </c>
      <c r="CT6" s="151">
        <f>EOMONTH(Inputs!$C$14,COLUMN()-3)</f>
        <v>2891</v>
      </c>
      <c r="CU6" s="151">
        <f>EOMONTH(Inputs!$C$14,COLUMN()-3)</f>
        <v>2922</v>
      </c>
      <c r="CV6" s="151">
        <f>EOMONTH(Inputs!$C$14,COLUMN()-3)</f>
        <v>2953</v>
      </c>
      <c r="CW6" s="151">
        <f>EOMONTH(Inputs!$C$14,COLUMN()-3)</f>
        <v>2982</v>
      </c>
      <c r="CX6" s="151">
        <f>EOMONTH(Inputs!$C$14,COLUMN()-3)</f>
        <v>3013</v>
      </c>
      <c r="CY6" s="151">
        <f>EOMONTH(Inputs!$C$14,COLUMN()-3)</f>
        <v>3043</v>
      </c>
      <c r="CZ6" s="151">
        <f>EOMONTH(Inputs!$C$14,COLUMN()-3)</f>
        <v>3074</v>
      </c>
      <c r="DA6" s="151">
        <f>EOMONTH(Inputs!$C$14,COLUMN()-3)</f>
        <v>3104</v>
      </c>
      <c r="DB6" s="151">
        <f>EOMONTH(Inputs!$C$14,COLUMN()-3)</f>
        <v>3135</v>
      </c>
      <c r="DC6" s="151">
        <f>EOMONTH(Inputs!$C$14,COLUMN()-3)</f>
        <v>3166</v>
      </c>
      <c r="DD6" s="151">
        <f>EOMONTH(Inputs!$C$14,COLUMN()-3)</f>
        <v>3196</v>
      </c>
      <c r="DE6" s="151">
        <f>EOMONTH(Inputs!$C$14,COLUMN()-3)</f>
        <v>3227</v>
      </c>
      <c r="DF6" s="151">
        <f>EOMONTH(Inputs!$C$14,COLUMN()-3)</f>
        <v>3257</v>
      </c>
      <c r="DG6" s="151">
        <f>EOMONTH(Inputs!$C$14,COLUMN()-3)</f>
        <v>3288</v>
      </c>
      <c r="DH6" s="151">
        <f>EOMONTH(Inputs!$C$14,COLUMN()-3)</f>
        <v>3319</v>
      </c>
      <c r="DI6" s="151">
        <f>EOMONTH(Inputs!$C$14,COLUMN()-3)</f>
        <v>3347</v>
      </c>
      <c r="DJ6" s="151">
        <f>EOMONTH(Inputs!$C$14,COLUMN()-3)</f>
        <v>3378</v>
      </c>
      <c r="DK6" s="151">
        <f>EOMONTH(Inputs!$C$14,COLUMN()-3)</f>
        <v>3408</v>
      </c>
      <c r="DL6" s="151">
        <f>EOMONTH(Inputs!$C$14,COLUMN()-3)</f>
        <v>3439</v>
      </c>
      <c r="DM6" s="151">
        <f>EOMONTH(Inputs!$C$14,COLUMN()-3)</f>
        <v>3469</v>
      </c>
      <c r="DN6" s="151">
        <f>EOMONTH(Inputs!$C$14,COLUMN()-3)</f>
        <v>3500</v>
      </c>
      <c r="DO6" s="151">
        <f>EOMONTH(Inputs!$C$14,COLUMN()-3)</f>
        <v>3531</v>
      </c>
      <c r="DP6" s="151">
        <f>EOMONTH(Inputs!$C$14,COLUMN()-3)</f>
        <v>3561</v>
      </c>
      <c r="DQ6" s="151">
        <f>EOMONTH(Inputs!$C$14,COLUMN()-3)</f>
        <v>3592</v>
      </c>
      <c r="DR6" s="151">
        <f>EOMONTH(Inputs!$C$14,COLUMN()-3)</f>
        <v>3622</v>
      </c>
      <c r="DS6" s="54"/>
    </row>
    <row r="7" ht="16.5" customHeight="1">
      <c r="A7" s="54"/>
      <c r="B7" s="55" t="s">
        <v>305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3"/>
      <c r="DS7" s="54"/>
    </row>
    <row r="8" ht="15.0" customHeight="1">
      <c r="A8" s="54"/>
      <c r="B8" s="56" t="s">
        <v>97</v>
      </c>
      <c r="C8" s="152">
        <f>IF(AND(C$3&gt;=Inputs!$C$29,C$3&lt;=Inputs!$C$15*12),Inputs!$E$20/12*(1+Inputs!$C$28)^(C$5-1),0)</f>
        <v>0</v>
      </c>
      <c r="D8" s="153">
        <f>IF(AND(D$3&gt;=Inputs!$C$29,D$3&lt;=Inputs!$C$15*12),Inputs!$E$20/12*(1+Inputs!$C$28)^(D$5-1),0)</f>
        <v>0</v>
      </c>
      <c r="E8" s="153">
        <f>IF(AND(E$3&gt;=Inputs!$C$29,E$3&lt;=Inputs!$C$15*12),Inputs!$E$20/12*(1+Inputs!$C$28)^(E$5-1),0)</f>
        <v>0</v>
      </c>
      <c r="F8" s="153">
        <f>IF(AND(F$3&gt;=Inputs!$C$29,F$3&lt;=Inputs!$C$15*12),Inputs!$E$20/12*(1+Inputs!$C$28)^(F$5-1),0)</f>
        <v>0</v>
      </c>
      <c r="G8" s="153">
        <f>IF(AND(G$3&gt;=Inputs!$C$29,G$3&lt;=Inputs!$C$15*12),Inputs!$E$20/12*(1+Inputs!$C$28)^(G$5-1),0)</f>
        <v>0</v>
      </c>
      <c r="H8" s="153">
        <f>IF(AND(H$3&gt;=Inputs!$C$29,H$3&lt;=Inputs!$C$15*12),Inputs!$E$20/12*(1+Inputs!$C$28)^(H$5-1),0)</f>
        <v>0</v>
      </c>
      <c r="I8" s="153">
        <f>IF(AND(I$3&gt;=Inputs!$C$29,I$3&lt;=Inputs!$C$15*12),Inputs!$E$20/12*(1+Inputs!$C$28)^(I$5-1),0)</f>
        <v>0</v>
      </c>
      <c r="J8" s="153">
        <f>IF(AND(J$3&gt;=Inputs!$C$29,J$3&lt;=Inputs!$C$15*12),Inputs!$E$20/12*(1+Inputs!$C$28)^(J$5-1),0)</f>
        <v>0</v>
      </c>
      <c r="K8" s="153">
        <f>IF(AND(K$3&gt;=Inputs!$C$29,K$3&lt;=Inputs!$C$15*12),Inputs!$E$20/12*(1+Inputs!$C$28)^(K$5-1),0)</f>
        <v>0</v>
      </c>
      <c r="L8" s="153">
        <f>IF(AND(L$3&gt;=Inputs!$C$29,L$3&lt;=Inputs!$C$15*12),Inputs!$E$20/12*(1+Inputs!$C$28)^(L$5-1),0)</f>
        <v>0</v>
      </c>
      <c r="M8" s="153">
        <f>IF(AND(M$3&gt;=Inputs!$C$29,M$3&lt;=Inputs!$C$15*12),Inputs!$E$20/12*(1+Inputs!$C$28)^(M$5-1),0)</f>
        <v>0</v>
      </c>
      <c r="N8" s="153">
        <f>IF(AND(N$3&gt;=Inputs!$C$29,N$3&lt;=Inputs!$C$15*12),Inputs!$E$20/12*(1+Inputs!$C$28)^(N$5-1),0)</f>
        <v>0</v>
      </c>
      <c r="O8" s="153">
        <f>IF(AND(O$3&gt;=Inputs!$C$29,O$3&lt;=Inputs!$C$15*12),Inputs!$E$20/12*(1+Inputs!$C$28)^(O$5-1),0)</f>
        <v>0</v>
      </c>
      <c r="P8" s="153">
        <f>IF(AND(P$3&gt;=Inputs!$C$29,P$3&lt;=Inputs!$C$15*12),Inputs!$E$20/12*(1+Inputs!$C$28)^(P$5-1),0)</f>
        <v>0</v>
      </c>
      <c r="Q8" s="153">
        <f>IF(AND(Q$3&gt;=Inputs!$C$29,Q$3&lt;=Inputs!$C$15*12),Inputs!$E$20/12*(1+Inputs!$C$28)^(Q$5-1),0)</f>
        <v>0</v>
      </c>
      <c r="R8" s="153">
        <f>IF(AND(R$3&gt;=Inputs!$C$29,R$3&lt;=Inputs!$C$15*12),Inputs!$E$20/12*(1+Inputs!$C$28)^(R$5-1),0)</f>
        <v>0</v>
      </c>
      <c r="S8" s="153">
        <f>IF(AND(S$3&gt;=Inputs!$C$29,S$3&lt;=Inputs!$C$15*12),Inputs!$E$20/12*(1+Inputs!$C$28)^(S$5-1),0)</f>
        <v>0</v>
      </c>
      <c r="T8" s="153">
        <f>IF(AND(T$3&gt;=Inputs!$C$29,T$3&lt;=Inputs!$C$15*12),Inputs!$E$20/12*(1+Inputs!$C$28)^(T$5-1),0)</f>
        <v>0</v>
      </c>
      <c r="U8" s="153">
        <f>IF(AND(U$3&gt;=Inputs!$C$29,U$3&lt;=Inputs!$C$15*12),Inputs!$E$20/12*(1+Inputs!$C$28)^(U$5-1),0)</f>
        <v>0</v>
      </c>
      <c r="V8" s="153">
        <f>IF(AND(V$3&gt;=Inputs!$C$29,V$3&lt;=Inputs!$C$15*12),Inputs!$E$20/12*(1+Inputs!$C$28)^(V$5-1),0)</f>
        <v>0</v>
      </c>
      <c r="W8" s="153">
        <f>IF(AND(W$3&gt;=Inputs!$C$29,W$3&lt;=Inputs!$C$15*12),Inputs!$E$20/12*(1+Inputs!$C$28)^(W$5-1),0)</f>
        <v>0</v>
      </c>
      <c r="X8" s="153">
        <f>IF(AND(X$3&gt;=Inputs!$C$29,X$3&lt;=Inputs!$C$15*12),Inputs!$E$20/12*(1+Inputs!$C$28)^(X$5-1),0)</f>
        <v>0</v>
      </c>
      <c r="Y8" s="153">
        <f>IF(AND(Y$3&gt;=Inputs!$C$29,Y$3&lt;=Inputs!$C$15*12),Inputs!$E$20/12*(1+Inputs!$C$28)^(Y$5-1),0)</f>
        <v>0</v>
      </c>
      <c r="Z8" s="153">
        <f>IF(AND(Z$3&gt;=Inputs!$C$29,Z$3&lt;=Inputs!$C$15*12),Inputs!$E$20/12*(1+Inputs!$C$28)^(Z$5-1),0)</f>
        <v>0</v>
      </c>
      <c r="AA8" s="153">
        <f>IF(AND(AA$3&gt;=Inputs!$C$29,AA$3&lt;=Inputs!$C$15*12),Inputs!$E$20/12*(1+Inputs!$C$28)^(AA$5-1),0)</f>
        <v>0</v>
      </c>
      <c r="AB8" s="153">
        <f>IF(AND(AB$3&gt;=Inputs!$C$29,AB$3&lt;=Inputs!$C$15*12),Inputs!$E$20/12*(1+Inputs!$C$28)^(AB$5-1),0)</f>
        <v>0</v>
      </c>
      <c r="AC8" s="153">
        <f>IF(AND(AC$3&gt;=Inputs!$C$29,AC$3&lt;=Inputs!$C$15*12),Inputs!$E$20/12*(1+Inputs!$C$28)^(AC$5-1),0)</f>
        <v>0</v>
      </c>
      <c r="AD8" s="153">
        <f>IF(AND(AD$3&gt;=Inputs!$C$29,AD$3&lt;=Inputs!$C$15*12),Inputs!$E$20/12*(1+Inputs!$C$28)^(AD$5-1),0)</f>
        <v>0</v>
      </c>
      <c r="AE8" s="153">
        <f>IF(AND(AE$3&gt;=Inputs!$C$29,AE$3&lt;=Inputs!$C$15*12),Inputs!$E$20/12*(1+Inputs!$C$28)^(AE$5-1),0)</f>
        <v>0</v>
      </c>
      <c r="AF8" s="153">
        <f>IF(AND(AF$3&gt;=Inputs!$C$29,AF$3&lt;=Inputs!$C$15*12),Inputs!$E$20/12*(1+Inputs!$C$28)^(AF$5-1),0)</f>
        <v>0</v>
      </c>
      <c r="AG8" s="153">
        <f>IF(AND(AG$3&gt;=Inputs!$C$29,AG$3&lt;=Inputs!$C$15*12),Inputs!$E$20/12*(1+Inputs!$C$28)^(AG$5-1),0)</f>
        <v>0</v>
      </c>
      <c r="AH8" s="153">
        <f>IF(AND(AH$3&gt;=Inputs!$C$29,AH$3&lt;=Inputs!$C$15*12),Inputs!$E$20/12*(1+Inputs!$C$28)^(AH$5-1),0)</f>
        <v>0</v>
      </c>
      <c r="AI8" s="153">
        <f>IF(AND(AI$3&gt;=Inputs!$C$29,AI$3&lt;=Inputs!$C$15*12),Inputs!$E$20/12*(1+Inputs!$C$28)^(AI$5-1),0)</f>
        <v>0</v>
      </c>
      <c r="AJ8" s="153">
        <f>IF(AND(AJ$3&gt;=Inputs!$C$29,AJ$3&lt;=Inputs!$C$15*12),Inputs!$E$20/12*(1+Inputs!$C$28)^(AJ$5-1),0)</f>
        <v>0</v>
      </c>
      <c r="AK8" s="153">
        <f>IF(AND(AK$3&gt;=Inputs!$C$29,AK$3&lt;=Inputs!$C$15*12),Inputs!$E$20/12*(1+Inputs!$C$28)^(AK$5-1),0)</f>
        <v>0</v>
      </c>
      <c r="AL8" s="153">
        <f>IF(AND(AL$3&gt;=Inputs!$C$29,AL$3&lt;=Inputs!$C$15*12),Inputs!$E$20/12*(1+Inputs!$C$28)^(AL$5-1),0)</f>
        <v>0</v>
      </c>
      <c r="AM8" s="153">
        <f>IF(AND(AM$3&gt;=Inputs!$C$29,AM$3&lt;=Inputs!$C$15*12),Inputs!$E$20/12*(1+Inputs!$C$28)^(AM$5-1),0)</f>
        <v>0</v>
      </c>
      <c r="AN8" s="153">
        <f>IF(AND(AN$3&gt;=Inputs!$C$29,AN$3&lt;=Inputs!$C$15*12),Inputs!$E$20/12*(1+Inputs!$C$28)^(AN$5-1),0)</f>
        <v>0</v>
      </c>
      <c r="AO8" s="153">
        <f>IF(AND(AO$3&gt;=Inputs!$C$29,AO$3&lt;=Inputs!$C$15*12),Inputs!$E$20/12*(1+Inputs!$C$28)^(AO$5-1),0)</f>
        <v>0</v>
      </c>
      <c r="AP8" s="153">
        <f>IF(AND(AP$3&gt;=Inputs!$C$29,AP$3&lt;=Inputs!$C$15*12),Inputs!$E$20/12*(1+Inputs!$C$28)^(AP$5-1),0)</f>
        <v>0</v>
      </c>
      <c r="AQ8" s="153">
        <f>IF(AND(AQ$3&gt;=Inputs!$C$29,AQ$3&lt;=Inputs!$C$15*12),Inputs!$E$20/12*(1+Inputs!$C$28)^(AQ$5-1),0)</f>
        <v>0</v>
      </c>
      <c r="AR8" s="153">
        <f>IF(AND(AR$3&gt;=Inputs!$C$29,AR$3&lt;=Inputs!$C$15*12),Inputs!$E$20/12*(1+Inputs!$C$28)^(AR$5-1),0)</f>
        <v>0</v>
      </c>
      <c r="AS8" s="153">
        <f>IF(AND(AS$3&gt;=Inputs!$C$29,AS$3&lt;=Inputs!$C$15*12),Inputs!$E$20/12*(1+Inputs!$C$28)^(AS$5-1),0)</f>
        <v>0</v>
      </c>
      <c r="AT8" s="153">
        <f>IF(AND(AT$3&gt;=Inputs!$C$29,AT$3&lt;=Inputs!$C$15*12),Inputs!$E$20/12*(1+Inputs!$C$28)^(AT$5-1),0)</f>
        <v>0</v>
      </c>
      <c r="AU8" s="153">
        <f>IF(AND(AU$3&gt;=Inputs!$C$29,AU$3&lt;=Inputs!$C$15*12),Inputs!$E$20/12*(1+Inputs!$C$28)^(AU$5-1),0)</f>
        <v>0</v>
      </c>
      <c r="AV8" s="153">
        <f>IF(AND(AV$3&gt;=Inputs!$C$29,AV$3&lt;=Inputs!$C$15*12),Inputs!$E$20/12*(1+Inputs!$C$28)^(AV$5-1),0)</f>
        <v>0</v>
      </c>
      <c r="AW8" s="153">
        <f>IF(AND(AW$3&gt;=Inputs!$C$29,AW$3&lt;=Inputs!$C$15*12),Inputs!$E$20/12*(1+Inputs!$C$28)^(AW$5-1),0)</f>
        <v>0</v>
      </c>
      <c r="AX8" s="153">
        <f>IF(AND(AX$3&gt;=Inputs!$C$29,AX$3&lt;=Inputs!$C$15*12),Inputs!$E$20/12*(1+Inputs!$C$28)^(AX$5-1),0)</f>
        <v>0</v>
      </c>
      <c r="AY8" s="153">
        <f>IF(AND(AY$3&gt;=Inputs!$C$29,AY$3&lt;=Inputs!$C$15*12),Inputs!$E$20/12*(1+Inputs!$C$28)^(AY$5-1),0)</f>
        <v>0</v>
      </c>
      <c r="AZ8" s="153">
        <f>IF(AND(AZ$3&gt;=Inputs!$C$29,AZ$3&lt;=Inputs!$C$15*12),Inputs!$E$20/12*(1+Inputs!$C$28)^(AZ$5-1),0)</f>
        <v>0</v>
      </c>
      <c r="BA8" s="153">
        <f>IF(AND(BA$3&gt;=Inputs!$C$29,BA$3&lt;=Inputs!$C$15*12),Inputs!$E$20/12*(1+Inputs!$C$28)^(BA$5-1),0)</f>
        <v>0</v>
      </c>
      <c r="BB8" s="153">
        <f>IF(AND(BB$3&gt;=Inputs!$C$29,BB$3&lt;=Inputs!$C$15*12),Inputs!$E$20/12*(1+Inputs!$C$28)^(BB$5-1),0)</f>
        <v>0</v>
      </c>
      <c r="BC8" s="153">
        <f>IF(AND(BC$3&gt;=Inputs!$C$29,BC$3&lt;=Inputs!$C$15*12),Inputs!$E$20/12*(1+Inputs!$C$28)^(BC$5-1),0)</f>
        <v>0</v>
      </c>
      <c r="BD8" s="153">
        <f>IF(AND(BD$3&gt;=Inputs!$C$29,BD$3&lt;=Inputs!$C$15*12),Inputs!$E$20/12*(1+Inputs!$C$28)^(BD$5-1),0)</f>
        <v>0</v>
      </c>
      <c r="BE8" s="153">
        <f>IF(AND(BE$3&gt;=Inputs!$C$29,BE$3&lt;=Inputs!$C$15*12),Inputs!$E$20/12*(1+Inputs!$C$28)^(BE$5-1),0)</f>
        <v>0</v>
      </c>
      <c r="BF8" s="153">
        <f>IF(AND(BF$3&gt;=Inputs!$C$29,BF$3&lt;=Inputs!$C$15*12),Inputs!$E$20/12*(1+Inputs!$C$28)^(BF$5-1),0)</f>
        <v>0</v>
      </c>
      <c r="BG8" s="153">
        <f>IF(AND(BG$3&gt;=Inputs!$C$29,BG$3&lt;=Inputs!$C$15*12),Inputs!$E$20/12*(1+Inputs!$C$28)^(BG$5-1),0)</f>
        <v>0</v>
      </c>
      <c r="BH8" s="153">
        <f>IF(AND(BH$3&gt;=Inputs!$C$29,BH$3&lt;=Inputs!$C$15*12),Inputs!$E$20/12*(1+Inputs!$C$28)^(BH$5-1),0)</f>
        <v>0</v>
      </c>
      <c r="BI8" s="153">
        <f>IF(AND(BI$3&gt;=Inputs!$C$29,BI$3&lt;=Inputs!$C$15*12),Inputs!$E$20/12*(1+Inputs!$C$28)^(BI$5-1),0)</f>
        <v>0</v>
      </c>
      <c r="BJ8" s="153">
        <f>IF(AND(BJ$3&gt;=Inputs!$C$29,BJ$3&lt;=Inputs!$C$15*12),Inputs!$E$20/12*(1+Inputs!$C$28)^(BJ$5-1),0)</f>
        <v>0</v>
      </c>
      <c r="BK8" s="153">
        <f>IF(AND(BK$3&gt;=Inputs!$C$29,BK$3&lt;=Inputs!$C$15*12),Inputs!$E$20/12*(1+Inputs!$C$28)^(BK$5-1),0)</f>
        <v>0</v>
      </c>
      <c r="BL8" s="153">
        <f>IF(AND(BL$3&gt;=Inputs!$C$29,BL$3&lt;=Inputs!$C$15*12),Inputs!$E$20/12*(1+Inputs!$C$28)^(BL$5-1),0)</f>
        <v>0</v>
      </c>
      <c r="BM8" s="153">
        <f>IF(AND(BM$3&gt;=Inputs!$C$29,BM$3&lt;=Inputs!$C$15*12),Inputs!$E$20/12*(1+Inputs!$C$28)^(BM$5-1),0)</f>
        <v>0</v>
      </c>
      <c r="BN8" s="153">
        <f>IF(AND(BN$3&gt;=Inputs!$C$29,BN$3&lt;=Inputs!$C$15*12),Inputs!$E$20/12*(1+Inputs!$C$28)^(BN$5-1),0)</f>
        <v>0</v>
      </c>
      <c r="BO8" s="153">
        <f>IF(AND(BO$3&gt;=Inputs!$C$29,BO$3&lt;=Inputs!$C$15*12),Inputs!$E$20/12*(1+Inputs!$C$28)^(BO$5-1),0)</f>
        <v>0</v>
      </c>
      <c r="BP8" s="153">
        <f>IF(AND(BP$3&gt;=Inputs!$C$29,BP$3&lt;=Inputs!$C$15*12),Inputs!$E$20/12*(1+Inputs!$C$28)^(BP$5-1),0)</f>
        <v>0</v>
      </c>
      <c r="BQ8" s="153">
        <f>IF(AND(BQ$3&gt;=Inputs!$C$29,BQ$3&lt;=Inputs!$C$15*12),Inputs!$E$20/12*(1+Inputs!$C$28)^(BQ$5-1),0)</f>
        <v>0</v>
      </c>
      <c r="BR8" s="153">
        <f>IF(AND(BR$3&gt;=Inputs!$C$29,BR$3&lt;=Inputs!$C$15*12),Inputs!$E$20/12*(1+Inputs!$C$28)^(BR$5-1),0)</f>
        <v>0</v>
      </c>
      <c r="BS8" s="153">
        <f>IF(AND(BS$3&gt;=Inputs!$C$29,BS$3&lt;=Inputs!$C$15*12),Inputs!$E$20/12*(1+Inputs!$C$28)^(BS$5-1),0)</f>
        <v>0</v>
      </c>
      <c r="BT8" s="153">
        <f>IF(AND(BT$3&gt;=Inputs!$C$29,BT$3&lt;=Inputs!$C$15*12),Inputs!$E$20/12*(1+Inputs!$C$28)^(BT$5-1),0)</f>
        <v>0</v>
      </c>
      <c r="BU8" s="153">
        <f>IF(AND(BU$3&gt;=Inputs!$C$29,BU$3&lt;=Inputs!$C$15*12),Inputs!$E$20/12*(1+Inputs!$C$28)^(BU$5-1),0)</f>
        <v>0</v>
      </c>
      <c r="BV8" s="153">
        <f>IF(AND(BV$3&gt;=Inputs!$C$29,BV$3&lt;=Inputs!$C$15*12),Inputs!$E$20/12*(1+Inputs!$C$28)^(BV$5-1),0)</f>
        <v>0</v>
      </c>
      <c r="BW8" s="153">
        <f>IF(AND(BW$3&gt;=Inputs!$C$29,BW$3&lt;=Inputs!$C$15*12),Inputs!$E$20/12*(1+Inputs!$C$28)^(BW$5-1),0)</f>
        <v>0</v>
      </c>
      <c r="BX8" s="153">
        <f>IF(AND(BX$3&gt;=Inputs!$C$29,BX$3&lt;=Inputs!$C$15*12),Inputs!$E$20/12*(1+Inputs!$C$28)^(BX$5-1),0)</f>
        <v>0</v>
      </c>
      <c r="BY8" s="153">
        <f>IF(AND(BY$3&gt;=Inputs!$C$29,BY$3&lt;=Inputs!$C$15*12),Inputs!$E$20/12*(1+Inputs!$C$28)^(BY$5-1),0)</f>
        <v>0</v>
      </c>
      <c r="BZ8" s="153">
        <f>IF(AND(BZ$3&gt;=Inputs!$C$29,BZ$3&lt;=Inputs!$C$15*12),Inputs!$E$20/12*(1+Inputs!$C$28)^(BZ$5-1),0)</f>
        <v>0</v>
      </c>
      <c r="CA8" s="153">
        <f>IF(AND(CA$3&gt;=Inputs!$C$29,CA$3&lt;=Inputs!$C$15*12),Inputs!$E$20/12*(1+Inputs!$C$28)^(CA$5-1),0)</f>
        <v>0</v>
      </c>
      <c r="CB8" s="153">
        <f>IF(AND(CB$3&gt;=Inputs!$C$29,CB$3&lt;=Inputs!$C$15*12),Inputs!$E$20/12*(1+Inputs!$C$28)^(CB$5-1),0)</f>
        <v>0</v>
      </c>
      <c r="CC8" s="153">
        <f>IF(AND(CC$3&gt;=Inputs!$C$29,CC$3&lt;=Inputs!$C$15*12),Inputs!$E$20/12*(1+Inputs!$C$28)^(CC$5-1),0)</f>
        <v>0</v>
      </c>
      <c r="CD8" s="153">
        <f>IF(AND(CD$3&gt;=Inputs!$C$29,CD$3&lt;=Inputs!$C$15*12),Inputs!$E$20/12*(1+Inputs!$C$28)^(CD$5-1),0)</f>
        <v>0</v>
      </c>
      <c r="CE8" s="153">
        <f>IF(AND(CE$3&gt;=Inputs!$C$29,CE$3&lt;=Inputs!$C$15*12),Inputs!$E$20/12*(1+Inputs!$C$28)^(CE$5-1),0)</f>
        <v>0</v>
      </c>
      <c r="CF8" s="153">
        <f>IF(AND(CF$3&gt;=Inputs!$C$29,CF$3&lt;=Inputs!$C$15*12),Inputs!$E$20/12*(1+Inputs!$C$28)^(CF$5-1),0)</f>
        <v>0</v>
      </c>
      <c r="CG8" s="153">
        <f>IF(AND(CG$3&gt;=Inputs!$C$29,CG$3&lt;=Inputs!$C$15*12),Inputs!$E$20/12*(1+Inputs!$C$28)^(CG$5-1),0)</f>
        <v>0</v>
      </c>
      <c r="CH8" s="153">
        <f>IF(AND(CH$3&gt;=Inputs!$C$29,CH$3&lt;=Inputs!$C$15*12),Inputs!$E$20/12*(1+Inputs!$C$28)^(CH$5-1),0)</f>
        <v>0</v>
      </c>
      <c r="CI8" s="153">
        <f>IF(AND(CI$3&gt;=Inputs!$C$29,CI$3&lt;=Inputs!$C$15*12),Inputs!$E$20/12*(1+Inputs!$C$28)^(CI$5-1),0)</f>
        <v>0</v>
      </c>
      <c r="CJ8" s="153">
        <f>IF(AND(CJ$3&gt;=Inputs!$C$29,CJ$3&lt;=Inputs!$C$15*12),Inputs!$E$20/12*(1+Inputs!$C$28)^(CJ$5-1),0)</f>
        <v>0</v>
      </c>
      <c r="CK8" s="153">
        <f>IF(AND(CK$3&gt;=Inputs!$C$29,CK$3&lt;=Inputs!$C$15*12),Inputs!$E$20/12*(1+Inputs!$C$28)^(CK$5-1),0)</f>
        <v>0</v>
      </c>
      <c r="CL8" s="153">
        <f>IF(AND(CL$3&gt;=Inputs!$C$29,CL$3&lt;=Inputs!$C$15*12),Inputs!$E$20/12*(1+Inputs!$C$28)^(CL$5-1),0)</f>
        <v>0</v>
      </c>
      <c r="CM8" s="153">
        <f>IF(AND(CM$3&gt;=Inputs!$C$29,CM$3&lt;=Inputs!$C$15*12),Inputs!$E$20/12*(1+Inputs!$C$28)^(CM$5-1),0)</f>
        <v>0</v>
      </c>
      <c r="CN8" s="153">
        <f>IF(AND(CN$3&gt;=Inputs!$C$29,CN$3&lt;=Inputs!$C$15*12),Inputs!$E$20/12*(1+Inputs!$C$28)^(CN$5-1),0)</f>
        <v>0</v>
      </c>
      <c r="CO8" s="153">
        <f>IF(AND(CO$3&gt;=Inputs!$C$29,CO$3&lt;=Inputs!$C$15*12),Inputs!$E$20/12*(1+Inputs!$C$28)^(CO$5-1),0)</f>
        <v>0</v>
      </c>
      <c r="CP8" s="153">
        <f>IF(AND(CP$3&gt;=Inputs!$C$29,CP$3&lt;=Inputs!$C$15*12),Inputs!$E$20/12*(1+Inputs!$C$28)^(CP$5-1),0)</f>
        <v>0</v>
      </c>
      <c r="CQ8" s="153">
        <f>IF(AND(CQ$3&gt;=Inputs!$C$29,CQ$3&lt;=Inputs!$C$15*12),Inputs!$E$20/12*(1+Inputs!$C$28)^(CQ$5-1),0)</f>
        <v>0</v>
      </c>
      <c r="CR8" s="153">
        <f>IF(AND(CR$3&gt;=Inputs!$C$29,CR$3&lt;=Inputs!$C$15*12),Inputs!$E$20/12*(1+Inputs!$C$28)^(CR$5-1),0)</f>
        <v>0</v>
      </c>
      <c r="CS8" s="153">
        <f>IF(AND(CS$3&gt;=Inputs!$C$29,CS$3&lt;=Inputs!$C$15*12),Inputs!$E$20/12*(1+Inputs!$C$28)^(CS$5-1),0)</f>
        <v>0</v>
      </c>
      <c r="CT8" s="153">
        <f>IF(AND(CT$3&gt;=Inputs!$C$29,CT$3&lt;=Inputs!$C$15*12),Inputs!$E$20/12*(1+Inputs!$C$28)^(CT$5-1),0)</f>
        <v>0</v>
      </c>
      <c r="CU8" s="153">
        <f>IF(AND(CU$3&gt;=Inputs!$C$29,CU$3&lt;=Inputs!$C$15*12),Inputs!$E$20/12*(1+Inputs!$C$28)^(CU$5-1),0)</f>
        <v>0</v>
      </c>
      <c r="CV8" s="153">
        <f>IF(AND(CV$3&gt;=Inputs!$C$29,CV$3&lt;=Inputs!$C$15*12),Inputs!$E$20/12*(1+Inputs!$C$28)^(CV$5-1),0)</f>
        <v>0</v>
      </c>
      <c r="CW8" s="153">
        <f>IF(AND(CW$3&gt;=Inputs!$C$29,CW$3&lt;=Inputs!$C$15*12),Inputs!$E$20/12*(1+Inputs!$C$28)^(CW$5-1),0)</f>
        <v>0</v>
      </c>
      <c r="CX8" s="153">
        <f>IF(AND(CX$3&gt;=Inputs!$C$29,CX$3&lt;=Inputs!$C$15*12),Inputs!$E$20/12*(1+Inputs!$C$28)^(CX$5-1),0)</f>
        <v>0</v>
      </c>
      <c r="CY8" s="153">
        <f>IF(AND(CY$3&gt;=Inputs!$C$29,CY$3&lt;=Inputs!$C$15*12),Inputs!$E$20/12*(1+Inputs!$C$28)^(CY$5-1),0)</f>
        <v>0</v>
      </c>
      <c r="CZ8" s="153">
        <f>IF(AND(CZ$3&gt;=Inputs!$C$29,CZ$3&lt;=Inputs!$C$15*12),Inputs!$E$20/12*(1+Inputs!$C$28)^(CZ$5-1),0)</f>
        <v>0</v>
      </c>
      <c r="DA8" s="153">
        <f>IF(AND(DA$3&gt;=Inputs!$C$29,DA$3&lt;=Inputs!$C$15*12),Inputs!$E$20/12*(1+Inputs!$C$28)^(DA$5-1),0)</f>
        <v>0</v>
      </c>
      <c r="DB8" s="153">
        <f>IF(AND(DB$3&gt;=Inputs!$C$29,DB$3&lt;=Inputs!$C$15*12),Inputs!$E$20/12*(1+Inputs!$C$28)^(DB$5-1),0)</f>
        <v>0</v>
      </c>
      <c r="DC8" s="153">
        <f>IF(AND(DC$3&gt;=Inputs!$C$29,DC$3&lt;=Inputs!$C$15*12),Inputs!$E$20/12*(1+Inputs!$C$28)^(DC$5-1),0)</f>
        <v>0</v>
      </c>
      <c r="DD8" s="153">
        <f>IF(AND(DD$3&gt;=Inputs!$C$29,DD$3&lt;=Inputs!$C$15*12),Inputs!$E$20/12*(1+Inputs!$C$28)^(DD$5-1),0)</f>
        <v>0</v>
      </c>
      <c r="DE8" s="153">
        <f>IF(AND(DE$3&gt;=Inputs!$C$29,DE$3&lt;=Inputs!$C$15*12),Inputs!$E$20/12*(1+Inputs!$C$28)^(DE$5-1),0)</f>
        <v>0</v>
      </c>
      <c r="DF8" s="153">
        <f>IF(AND(DF$3&gt;=Inputs!$C$29,DF$3&lt;=Inputs!$C$15*12),Inputs!$E$20/12*(1+Inputs!$C$28)^(DF$5-1),0)</f>
        <v>0</v>
      </c>
      <c r="DG8" s="153">
        <f>IF(AND(DG$3&gt;=Inputs!$C$29,DG$3&lt;=Inputs!$C$15*12),Inputs!$E$20/12*(1+Inputs!$C$28)^(DG$5-1),0)</f>
        <v>0</v>
      </c>
      <c r="DH8" s="153">
        <f>IF(AND(DH$3&gt;=Inputs!$C$29,DH$3&lt;=Inputs!$C$15*12),Inputs!$E$20/12*(1+Inputs!$C$28)^(DH$5-1),0)</f>
        <v>0</v>
      </c>
      <c r="DI8" s="153">
        <f>IF(AND(DI$3&gt;=Inputs!$C$29,DI$3&lt;=Inputs!$C$15*12),Inputs!$E$20/12*(1+Inputs!$C$28)^(DI$5-1),0)</f>
        <v>0</v>
      </c>
      <c r="DJ8" s="153">
        <f>IF(AND(DJ$3&gt;=Inputs!$C$29,DJ$3&lt;=Inputs!$C$15*12),Inputs!$E$20/12*(1+Inputs!$C$28)^(DJ$5-1),0)</f>
        <v>0</v>
      </c>
      <c r="DK8" s="153">
        <f>IF(AND(DK$3&gt;=Inputs!$C$29,DK$3&lt;=Inputs!$C$15*12),Inputs!$E$20/12*(1+Inputs!$C$28)^(DK$5-1),0)</f>
        <v>0</v>
      </c>
      <c r="DL8" s="153">
        <f>IF(AND(DL$3&gt;=Inputs!$C$29,DL$3&lt;=Inputs!$C$15*12),Inputs!$E$20/12*(1+Inputs!$C$28)^(DL$5-1),0)</f>
        <v>0</v>
      </c>
      <c r="DM8" s="153">
        <f>IF(AND(DM$3&gt;=Inputs!$C$29,DM$3&lt;=Inputs!$C$15*12),Inputs!$E$20/12*(1+Inputs!$C$28)^(DM$5-1),0)</f>
        <v>0</v>
      </c>
      <c r="DN8" s="153">
        <f>IF(AND(DN$3&gt;=Inputs!$C$29,DN$3&lt;=Inputs!$C$15*12),Inputs!$E$20/12*(1+Inputs!$C$28)^(DN$5-1),0)</f>
        <v>0</v>
      </c>
      <c r="DO8" s="153">
        <f>IF(AND(DO$3&gt;=Inputs!$C$29,DO$3&lt;=Inputs!$C$15*12),Inputs!$E$20/12*(1+Inputs!$C$28)^(DO$5-1),0)</f>
        <v>0</v>
      </c>
      <c r="DP8" s="153">
        <f>IF(AND(DP$3&gt;=Inputs!$C$29,DP$3&lt;=Inputs!$C$15*12),Inputs!$E$20/12*(1+Inputs!$C$28)^(DP$5-1),0)</f>
        <v>0</v>
      </c>
      <c r="DQ8" s="153">
        <f>IF(AND(DQ$3&gt;=Inputs!$C$29,DQ$3&lt;=Inputs!$C$15*12),Inputs!$E$20/12*(1+Inputs!$C$28)^(DQ$5-1),0)</f>
        <v>0</v>
      </c>
      <c r="DR8" s="153">
        <f>IF(AND(DR$3&gt;=Inputs!$C$29,DR$3&lt;=Inputs!$C$15*12),Inputs!$E$20/12*(1+Inputs!$C$28)^(DR$5-1),0)</f>
        <v>0</v>
      </c>
      <c r="DS8" s="54"/>
    </row>
    <row r="9" ht="15.0" customHeight="1">
      <c r="A9" s="54"/>
      <c r="B9" s="56" t="s">
        <v>306</v>
      </c>
      <c r="C9" s="154">
        <f>IF(C$3&lt;=Inputs!$C$15*12,-C8*Inputs!$E$21,0)</f>
        <v>0</v>
      </c>
      <c r="D9" s="154">
        <f>IF(D$3&lt;=Inputs!$C$15*12,-D8*Inputs!$E$21,0)</f>
        <v>0</v>
      </c>
      <c r="E9" s="154">
        <f>IF(E$3&lt;=Inputs!$C$15*12,-E8*Inputs!$E$21,0)</f>
        <v>0</v>
      </c>
      <c r="F9" s="154">
        <f>IF(F$3&lt;=Inputs!$C$15*12,-F8*Inputs!$E$21,0)</f>
        <v>0</v>
      </c>
      <c r="G9" s="154">
        <f>IF(G$3&lt;=Inputs!$C$15*12,-G8*Inputs!$E$21,0)</f>
        <v>0</v>
      </c>
      <c r="H9" s="154">
        <f>IF(H$3&lt;=Inputs!$C$15*12,-H8*Inputs!$E$21,0)</f>
        <v>0</v>
      </c>
      <c r="I9" s="154">
        <f>IF(I$3&lt;=Inputs!$C$15*12,-I8*Inputs!$E$21,0)</f>
        <v>0</v>
      </c>
      <c r="J9" s="154">
        <f>IF(J$3&lt;=Inputs!$C$15*12,-J8*Inputs!$E$21,0)</f>
        <v>0</v>
      </c>
      <c r="K9" s="154">
        <f>IF(K$3&lt;=Inputs!$C$15*12,-K8*Inputs!$E$21,0)</f>
        <v>0</v>
      </c>
      <c r="L9" s="154">
        <f>IF(L$3&lt;=Inputs!$C$15*12,-L8*Inputs!$E$21,0)</f>
        <v>0</v>
      </c>
      <c r="M9" s="154">
        <f>IF(M$3&lt;=Inputs!$C$15*12,-M8*Inputs!$E$21,0)</f>
        <v>0</v>
      </c>
      <c r="N9" s="154">
        <f>IF(N$3&lt;=Inputs!$C$15*12,-N8*Inputs!$E$21,0)</f>
        <v>0</v>
      </c>
      <c r="O9" s="154">
        <f>IF(O$3&lt;=Inputs!$C$15*12,-O8*Inputs!$E$21,0)</f>
        <v>0</v>
      </c>
      <c r="P9" s="154">
        <f>IF(P$3&lt;=Inputs!$C$15*12,-P8*Inputs!$E$21,0)</f>
        <v>0</v>
      </c>
      <c r="Q9" s="154">
        <f>IF(Q$3&lt;=Inputs!$C$15*12,-Q8*Inputs!$E$21,0)</f>
        <v>0</v>
      </c>
      <c r="R9" s="154">
        <f>IF(R$3&lt;=Inputs!$C$15*12,-R8*Inputs!$E$21,0)</f>
        <v>0</v>
      </c>
      <c r="S9" s="154">
        <f>IF(S$3&lt;=Inputs!$C$15*12,-S8*Inputs!$E$21,0)</f>
        <v>0</v>
      </c>
      <c r="T9" s="154">
        <f>IF(T$3&lt;=Inputs!$C$15*12,-T8*Inputs!$E$21,0)</f>
        <v>0</v>
      </c>
      <c r="U9" s="154">
        <f>IF(U$3&lt;=Inputs!$C$15*12,-U8*Inputs!$E$21,0)</f>
        <v>0</v>
      </c>
      <c r="V9" s="154">
        <f>IF(V$3&lt;=Inputs!$C$15*12,-V8*Inputs!$E$21,0)</f>
        <v>0</v>
      </c>
      <c r="W9" s="154">
        <f>IF(W$3&lt;=Inputs!$C$15*12,-W8*Inputs!$E$21,0)</f>
        <v>0</v>
      </c>
      <c r="X9" s="154">
        <f>IF(X$3&lt;=Inputs!$C$15*12,-X8*Inputs!$E$21,0)</f>
        <v>0</v>
      </c>
      <c r="Y9" s="154">
        <f>IF(Y$3&lt;=Inputs!$C$15*12,-Y8*Inputs!$E$21,0)</f>
        <v>0</v>
      </c>
      <c r="Z9" s="154">
        <f>IF(Z$3&lt;=Inputs!$C$15*12,-Z8*Inputs!$E$21,0)</f>
        <v>0</v>
      </c>
      <c r="AA9" s="154">
        <f>IF(AA$3&lt;=Inputs!$C$15*12,-AA8*Inputs!$E$21,0)</f>
        <v>0</v>
      </c>
      <c r="AB9" s="154">
        <f>IF(AB$3&lt;=Inputs!$C$15*12,-AB8*Inputs!$E$21,0)</f>
        <v>0</v>
      </c>
      <c r="AC9" s="154">
        <f>IF(AC$3&lt;=Inputs!$C$15*12,-AC8*Inputs!$E$21,0)</f>
        <v>0</v>
      </c>
      <c r="AD9" s="154">
        <f>IF(AD$3&lt;=Inputs!$C$15*12,-AD8*Inputs!$E$21,0)</f>
        <v>0</v>
      </c>
      <c r="AE9" s="154">
        <f>IF(AE$3&lt;=Inputs!$C$15*12,-AE8*Inputs!$E$21,0)</f>
        <v>0</v>
      </c>
      <c r="AF9" s="154">
        <f>IF(AF$3&lt;=Inputs!$C$15*12,-AF8*Inputs!$E$21,0)</f>
        <v>0</v>
      </c>
      <c r="AG9" s="154">
        <f>IF(AG$3&lt;=Inputs!$C$15*12,-AG8*Inputs!$E$21,0)</f>
        <v>0</v>
      </c>
      <c r="AH9" s="154">
        <f>IF(AH$3&lt;=Inputs!$C$15*12,-AH8*Inputs!$E$21,0)</f>
        <v>0</v>
      </c>
      <c r="AI9" s="154">
        <f>IF(AI$3&lt;=Inputs!$C$15*12,-AI8*Inputs!$E$21,0)</f>
        <v>0</v>
      </c>
      <c r="AJ9" s="154">
        <f>IF(AJ$3&lt;=Inputs!$C$15*12,-AJ8*Inputs!$E$21,0)</f>
        <v>0</v>
      </c>
      <c r="AK9" s="154">
        <f>IF(AK$3&lt;=Inputs!$C$15*12,-AK8*Inputs!$E$21,0)</f>
        <v>0</v>
      </c>
      <c r="AL9" s="154">
        <f>IF(AL$3&lt;=Inputs!$C$15*12,-AL8*Inputs!$E$21,0)</f>
        <v>0</v>
      </c>
      <c r="AM9" s="154">
        <f>IF(AM$3&lt;=Inputs!$C$15*12,-AM8*Inputs!$E$21,0)</f>
        <v>0</v>
      </c>
      <c r="AN9" s="154">
        <f>IF(AN$3&lt;=Inputs!$C$15*12,-AN8*Inputs!$E$21,0)</f>
        <v>0</v>
      </c>
      <c r="AO9" s="154">
        <f>IF(AO$3&lt;=Inputs!$C$15*12,-AO8*Inputs!$E$21,0)</f>
        <v>0</v>
      </c>
      <c r="AP9" s="154">
        <f>IF(AP$3&lt;=Inputs!$C$15*12,-AP8*Inputs!$E$21,0)</f>
        <v>0</v>
      </c>
      <c r="AQ9" s="154">
        <f>IF(AQ$3&lt;=Inputs!$C$15*12,-AQ8*Inputs!$E$21,0)</f>
        <v>0</v>
      </c>
      <c r="AR9" s="154">
        <f>IF(AR$3&lt;=Inputs!$C$15*12,-AR8*Inputs!$E$21,0)</f>
        <v>0</v>
      </c>
      <c r="AS9" s="154">
        <f>IF(AS$3&lt;=Inputs!$C$15*12,-AS8*Inputs!$E$21,0)</f>
        <v>0</v>
      </c>
      <c r="AT9" s="154">
        <f>IF(AT$3&lt;=Inputs!$C$15*12,-AT8*Inputs!$E$21,0)</f>
        <v>0</v>
      </c>
      <c r="AU9" s="154">
        <f>IF(AU$3&lt;=Inputs!$C$15*12,-AU8*Inputs!$E$21,0)</f>
        <v>0</v>
      </c>
      <c r="AV9" s="154">
        <f>IF(AV$3&lt;=Inputs!$C$15*12,-AV8*Inputs!$E$21,0)</f>
        <v>0</v>
      </c>
      <c r="AW9" s="154">
        <f>IF(AW$3&lt;=Inputs!$C$15*12,-AW8*Inputs!$E$21,0)</f>
        <v>0</v>
      </c>
      <c r="AX9" s="154">
        <f>IF(AX$3&lt;=Inputs!$C$15*12,-AX8*Inputs!$E$21,0)</f>
        <v>0</v>
      </c>
      <c r="AY9" s="154">
        <f>IF(AY$3&lt;=Inputs!$C$15*12,-AY8*Inputs!$E$21,0)</f>
        <v>0</v>
      </c>
      <c r="AZ9" s="154">
        <f>IF(AZ$3&lt;=Inputs!$C$15*12,-AZ8*Inputs!$E$21,0)</f>
        <v>0</v>
      </c>
      <c r="BA9" s="154">
        <f>IF(BA$3&lt;=Inputs!$C$15*12,-BA8*Inputs!$E$21,0)</f>
        <v>0</v>
      </c>
      <c r="BB9" s="154">
        <f>IF(BB$3&lt;=Inputs!$C$15*12,-BB8*Inputs!$E$21,0)</f>
        <v>0</v>
      </c>
      <c r="BC9" s="154">
        <f>IF(BC$3&lt;=Inputs!$C$15*12,-BC8*Inputs!$E$21,0)</f>
        <v>0</v>
      </c>
      <c r="BD9" s="154">
        <f>IF(BD$3&lt;=Inputs!$C$15*12,-BD8*Inputs!$E$21,0)</f>
        <v>0</v>
      </c>
      <c r="BE9" s="154">
        <f>IF(BE$3&lt;=Inputs!$C$15*12,-BE8*Inputs!$E$21,0)</f>
        <v>0</v>
      </c>
      <c r="BF9" s="154">
        <f>IF(BF$3&lt;=Inputs!$C$15*12,-BF8*Inputs!$E$21,0)</f>
        <v>0</v>
      </c>
      <c r="BG9" s="154">
        <f>IF(BG$3&lt;=Inputs!$C$15*12,-BG8*Inputs!$E$21,0)</f>
        <v>0</v>
      </c>
      <c r="BH9" s="154">
        <f>IF(BH$3&lt;=Inputs!$C$15*12,-BH8*Inputs!$E$21,0)</f>
        <v>0</v>
      </c>
      <c r="BI9" s="154">
        <f>IF(BI$3&lt;=Inputs!$C$15*12,-BI8*Inputs!$E$21,0)</f>
        <v>0</v>
      </c>
      <c r="BJ9" s="154">
        <f>IF(BJ$3&lt;=Inputs!$C$15*12,-BJ8*Inputs!$E$21,0)</f>
        <v>0</v>
      </c>
      <c r="BK9" s="154">
        <f>IF(BK$3&lt;=Inputs!$C$15*12,-BK8*Inputs!$E$21,0)</f>
        <v>0</v>
      </c>
      <c r="BL9" s="154">
        <f>IF(BL$3&lt;=Inputs!$C$15*12,-BL8*Inputs!$E$21,0)</f>
        <v>0</v>
      </c>
      <c r="BM9" s="154">
        <f>IF(BM$3&lt;=Inputs!$C$15*12,-BM8*Inputs!$E$21,0)</f>
        <v>0</v>
      </c>
      <c r="BN9" s="154">
        <f>IF(BN$3&lt;=Inputs!$C$15*12,-BN8*Inputs!$E$21,0)</f>
        <v>0</v>
      </c>
      <c r="BO9" s="154">
        <f>IF(BO$3&lt;=Inputs!$C$15*12,-BO8*Inputs!$E$21,0)</f>
        <v>0</v>
      </c>
      <c r="BP9" s="154">
        <f>IF(BP$3&lt;=Inputs!$C$15*12,-BP8*Inputs!$E$21,0)</f>
        <v>0</v>
      </c>
      <c r="BQ9" s="154">
        <f>IF(BQ$3&lt;=Inputs!$C$15*12,-BQ8*Inputs!$E$21,0)</f>
        <v>0</v>
      </c>
      <c r="BR9" s="154">
        <f>IF(BR$3&lt;=Inputs!$C$15*12,-BR8*Inputs!$E$21,0)</f>
        <v>0</v>
      </c>
      <c r="BS9" s="154">
        <f>IF(BS$3&lt;=Inputs!$C$15*12,-BS8*Inputs!$E$21,0)</f>
        <v>0</v>
      </c>
      <c r="BT9" s="154">
        <f>IF(BT$3&lt;=Inputs!$C$15*12,-BT8*Inputs!$E$21,0)</f>
        <v>0</v>
      </c>
      <c r="BU9" s="154">
        <f>IF(BU$3&lt;=Inputs!$C$15*12,-BU8*Inputs!$E$21,0)</f>
        <v>0</v>
      </c>
      <c r="BV9" s="154">
        <f>IF(BV$3&lt;=Inputs!$C$15*12,-BV8*Inputs!$E$21,0)</f>
        <v>0</v>
      </c>
      <c r="BW9" s="154">
        <f>IF(BW$3&lt;=Inputs!$C$15*12,-BW8*Inputs!$E$21,0)</f>
        <v>0</v>
      </c>
      <c r="BX9" s="154">
        <f>IF(BX$3&lt;=Inputs!$C$15*12,-BX8*Inputs!$E$21,0)</f>
        <v>0</v>
      </c>
      <c r="BY9" s="154">
        <f>IF(BY$3&lt;=Inputs!$C$15*12,-BY8*Inputs!$E$21,0)</f>
        <v>0</v>
      </c>
      <c r="BZ9" s="154">
        <f>IF(BZ$3&lt;=Inputs!$C$15*12,-BZ8*Inputs!$E$21,0)</f>
        <v>0</v>
      </c>
      <c r="CA9" s="154">
        <f>IF(CA$3&lt;=Inputs!$C$15*12,-CA8*Inputs!$E$21,0)</f>
        <v>0</v>
      </c>
      <c r="CB9" s="154">
        <f>IF(CB$3&lt;=Inputs!$C$15*12,-CB8*Inputs!$E$21,0)</f>
        <v>0</v>
      </c>
      <c r="CC9" s="154">
        <f>IF(CC$3&lt;=Inputs!$C$15*12,-CC8*Inputs!$E$21,0)</f>
        <v>0</v>
      </c>
      <c r="CD9" s="154">
        <f>IF(CD$3&lt;=Inputs!$C$15*12,-CD8*Inputs!$E$21,0)</f>
        <v>0</v>
      </c>
      <c r="CE9" s="154">
        <f>IF(CE$3&lt;=Inputs!$C$15*12,-CE8*Inputs!$E$21,0)</f>
        <v>0</v>
      </c>
      <c r="CF9" s="154">
        <f>IF(CF$3&lt;=Inputs!$C$15*12,-CF8*Inputs!$E$21,0)</f>
        <v>0</v>
      </c>
      <c r="CG9" s="154">
        <f>IF(CG$3&lt;=Inputs!$C$15*12,-CG8*Inputs!$E$21,0)</f>
        <v>0</v>
      </c>
      <c r="CH9" s="154">
        <f>IF(CH$3&lt;=Inputs!$C$15*12,-CH8*Inputs!$E$21,0)</f>
        <v>0</v>
      </c>
      <c r="CI9" s="154">
        <f>IF(CI$3&lt;=Inputs!$C$15*12,-CI8*Inputs!$E$21,0)</f>
        <v>0</v>
      </c>
      <c r="CJ9" s="154">
        <f>IF(CJ$3&lt;=Inputs!$C$15*12,-CJ8*Inputs!$E$21,0)</f>
        <v>0</v>
      </c>
      <c r="CK9" s="154">
        <f>IF(CK$3&lt;=Inputs!$C$15*12,-CK8*Inputs!$E$21,0)</f>
        <v>0</v>
      </c>
      <c r="CL9" s="154">
        <f>IF(CL$3&lt;=Inputs!$C$15*12,-CL8*Inputs!$E$21,0)</f>
        <v>0</v>
      </c>
      <c r="CM9" s="154">
        <f>IF(CM$3&lt;=Inputs!$C$15*12,-CM8*Inputs!$E$21,0)</f>
        <v>0</v>
      </c>
      <c r="CN9" s="154">
        <f>IF(CN$3&lt;=Inputs!$C$15*12,-CN8*Inputs!$E$21,0)</f>
        <v>0</v>
      </c>
      <c r="CO9" s="154">
        <f>IF(CO$3&lt;=Inputs!$C$15*12,-CO8*Inputs!$E$21,0)</f>
        <v>0</v>
      </c>
      <c r="CP9" s="154">
        <f>IF(CP$3&lt;=Inputs!$C$15*12,-CP8*Inputs!$E$21,0)</f>
        <v>0</v>
      </c>
      <c r="CQ9" s="154">
        <f>IF(CQ$3&lt;=Inputs!$C$15*12,-CQ8*Inputs!$E$21,0)</f>
        <v>0</v>
      </c>
      <c r="CR9" s="154">
        <f>IF(CR$3&lt;=Inputs!$C$15*12,-CR8*Inputs!$E$21,0)</f>
        <v>0</v>
      </c>
      <c r="CS9" s="154">
        <f>IF(CS$3&lt;=Inputs!$C$15*12,-CS8*Inputs!$E$21,0)</f>
        <v>0</v>
      </c>
      <c r="CT9" s="154">
        <f>IF(CT$3&lt;=Inputs!$C$15*12,-CT8*Inputs!$E$21,0)</f>
        <v>0</v>
      </c>
      <c r="CU9" s="154">
        <f>IF(CU$3&lt;=Inputs!$C$15*12,-CU8*Inputs!$E$21,0)</f>
        <v>0</v>
      </c>
      <c r="CV9" s="154">
        <f>IF(CV$3&lt;=Inputs!$C$15*12,-CV8*Inputs!$E$21,0)</f>
        <v>0</v>
      </c>
      <c r="CW9" s="154">
        <f>IF(CW$3&lt;=Inputs!$C$15*12,-CW8*Inputs!$E$21,0)</f>
        <v>0</v>
      </c>
      <c r="CX9" s="154">
        <f>IF(CX$3&lt;=Inputs!$C$15*12,-CX8*Inputs!$E$21,0)</f>
        <v>0</v>
      </c>
      <c r="CY9" s="154">
        <f>IF(CY$3&lt;=Inputs!$C$15*12,-CY8*Inputs!$E$21,0)</f>
        <v>0</v>
      </c>
      <c r="CZ9" s="154">
        <f>IF(CZ$3&lt;=Inputs!$C$15*12,-CZ8*Inputs!$E$21,0)</f>
        <v>0</v>
      </c>
      <c r="DA9" s="154">
        <f>IF(DA$3&lt;=Inputs!$C$15*12,-DA8*Inputs!$E$21,0)</f>
        <v>0</v>
      </c>
      <c r="DB9" s="154">
        <f>IF(DB$3&lt;=Inputs!$C$15*12,-DB8*Inputs!$E$21,0)</f>
        <v>0</v>
      </c>
      <c r="DC9" s="154">
        <f>IF(DC$3&lt;=Inputs!$C$15*12,-DC8*Inputs!$E$21,0)</f>
        <v>0</v>
      </c>
      <c r="DD9" s="154">
        <f>IF(DD$3&lt;=Inputs!$C$15*12,-DD8*Inputs!$E$21,0)</f>
        <v>0</v>
      </c>
      <c r="DE9" s="154">
        <f>IF(DE$3&lt;=Inputs!$C$15*12,-DE8*Inputs!$E$21,0)</f>
        <v>0</v>
      </c>
      <c r="DF9" s="154">
        <f>IF(DF$3&lt;=Inputs!$C$15*12,-DF8*Inputs!$E$21,0)</f>
        <v>0</v>
      </c>
      <c r="DG9" s="154">
        <f>IF(DG$3&lt;=Inputs!$C$15*12,-DG8*Inputs!$E$21,0)</f>
        <v>0</v>
      </c>
      <c r="DH9" s="154">
        <f>IF(DH$3&lt;=Inputs!$C$15*12,-DH8*Inputs!$E$21,0)</f>
        <v>0</v>
      </c>
      <c r="DI9" s="154">
        <f>IF(DI$3&lt;=Inputs!$C$15*12,-DI8*Inputs!$E$21,0)</f>
        <v>0</v>
      </c>
      <c r="DJ9" s="154">
        <f>IF(DJ$3&lt;=Inputs!$C$15*12,-DJ8*Inputs!$E$21,0)</f>
        <v>0</v>
      </c>
      <c r="DK9" s="154">
        <f>IF(DK$3&lt;=Inputs!$C$15*12,-DK8*Inputs!$E$21,0)</f>
        <v>0</v>
      </c>
      <c r="DL9" s="154">
        <f>IF(DL$3&lt;=Inputs!$C$15*12,-DL8*Inputs!$E$21,0)</f>
        <v>0</v>
      </c>
      <c r="DM9" s="154">
        <f>IF(DM$3&lt;=Inputs!$C$15*12,-DM8*Inputs!$E$21,0)</f>
        <v>0</v>
      </c>
      <c r="DN9" s="154">
        <f>IF(DN$3&lt;=Inputs!$C$15*12,-DN8*Inputs!$E$21,0)</f>
        <v>0</v>
      </c>
      <c r="DO9" s="154">
        <f>IF(DO$3&lt;=Inputs!$C$15*12,-DO8*Inputs!$E$21,0)</f>
        <v>0</v>
      </c>
      <c r="DP9" s="154">
        <f>IF(DP$3&lt;=Inputs!$C$15*12,-DP8*Inputs!$E$21,0)</f>
        <v>0</v>
      </c>
      <c r="DQ9" s="154">
        <f>IF(DQ$3&lt;=Inputs!$C$15*12,-DQ8*Inputs!$E$21,0)</f>
        <v>0</v>
      </c>
      <c r="DR9" s="154">
        <f>IF(DR$3&lt;=Inputs!$C$15*12,-DR8*Inputs!$E$21,0)</f>
        <v>0</v>
      </c>
      <c r="DS9" s="54"/>
    </row>
    <row r="10" ht="15.0" customHeight="1">
      <c r="A10" s="54"/>
      <c r="B10" s="155" t="s">
        <v>307</v>
      </c>
      <c r="C10" s="156">
        <f>IF(C$3&lt;=Inputs!$C$15*12,-C8*Inputs!$E$22,0)</f>
        <v>0</v>
      </c>
      <c r="D10" s="157">
        <f>IF(D$3&lt;=Inputs!$C$15*12,-D8*Inputs!$E$22,0)</f>
        <v>0</v>
      </c>
      <c r="E10" s="157">
        <f>IF(E$3&lt;=Inputs!$C$15*12,-E8*Inputs!$E$22,0)</f>
        <v>0</v>
      </c>
      <c r="F10" s="157">
        <f>IF(F$3&lt;=Inputs!$C$15*12,-F8*Inputs!$E$22,0)</f>
        <v>0</v>
      </c>
      <c r="G10" s="157">
        <f>IF(G$3&lt;=Inputs!$C$15*12,-G8*Inputs!$E$22,0)</f>
        <v>0</v>
      </c>
      <c r="H10" s="157">
        <f>IF(H$3&lt;=Inputs!$C$15*12,-H8*Inputs!$E$22,0)</f>
        <v>0</v>
      </c>
      <c r="I10" s="157">
        <f>IF(I$3&lt;=Inputs!$C$15*12,-I8*Inputs!$E$22,0)</f>
        <v>0</v>
      </c>
      <c r="J10" s="157">
        <f>IF(J$3&lt;=Inputs!$C$15*12,-J8*Inputs!$E$22,0)</f>
        <v>0</v>
      </c>
      <c r="K10" s="157">
        <f>IF(K$3&lt;=Inputs!$C$15*12,-K8*Inputs!$E$22,0)</f>
        <v>0</v>
      </c>
      <c r="L10" s="157">
        <f>IF(L$3&lt;=Inputs!$C$15*12,-L8*Inputs!$E$22,0)</f>
        <v>0</v>
      </c>
      <c r="M10" s="157">
        <f>IF(M$3&lt;=Inputs!$C$15*12,-M8*Inputs!$E$22,0)</f>
        <v>0</v>
      </c>
      <c r="N10" s="157">
        <f>IF(N$3&lt;=Inputs!$C$15*12,-N8*Inputs!$E$22,0)</f>
        <v>0</v>
      </c>
      <c r="O10" s="157">
        <f>IF(O$3&lt;=Inputs!$C$15*12,-O8*Inputs!$E$22,0)</f>
        <v>0</v>
      </c>
      <c r="P10" s="157">
        <f>IF(P$3&lt;=Inputs!$C$15*12,-P8*Inputs!$E$22,0)</f>
        <v>0</v>
      </c>
      <c r="Q10" s="157">
        <f>IF(Q$3&lt;=Inputs!$C$15*12,-Q8*Inputs!$E$22,0)</f>
        <v>0</v>
      </c>
      <c r="R10" s="157">
        <f>IF(R$3&lt;=Inputs!$C$15*12,-R8*Inputs!$E$22,0)</f>
        <v>0</v>
      </c>
      <c r="S10" s="157">
        <f>IF(S$3&lt;=Inputs!$C$15*12,-S8*Inputs!$E$22,0)</f>
        <v>0</v>
      </c>
      <c r="T10" s="157">
        <f>IF(T$3&lt;=Inputs!$C$15*12,-T8*Inputs!$E$22,0)</f>
        <v>0</v>
      </c>
      <c r="U10" s="157">
        <f>IF(U$3&lt;=Inputs!$C$15*12,-U8*Inputs!$E$22,0)</f>
        <v>0</v>
      </c>
      <c r="V10" s="157">
        <f>IF(V$3&lt;=Inputs!$C$15*12,-V8*Inputs!$E$22,0)</f>
        <v>0</v>
      </c>
      <c r="W10" s="157">
        <f>IF(W$3&lt;=Inputs!$C$15*12,-W8*Inputs!$E$22,0)</f>
        <v>0</v>
      </c>
      <c r="X10" s="157">
        <f>IF(X$3&lt;=Inputs!$C$15*12,-X8*Inputs!$E$22,0)</f>
        <v>0</v>
      </c>
      <c r="Y10" s="157">
        <f>IF(Y$3&lt;=Inputs!$C$15*12,-Y8*Inputs!$E$22,0)</f>
        <v>0</v>
      </c>
      <c r="Z10" s="157">
        <f>IF(Z$3&lt;=Inputs!$C$15*12,-Z8*Inputs!$E$22,0)</f>
        <v>0</v>
      </c>
      <c r="AA10" s="157">
        <f>IF(AA$3&lt;=Inputs!$C$15*12,-AA8*Inputs!$E$22,0)</f>
        <v>0</v>
      </c>
      <c r="AB10" s="157">
        <f>IF(AB$3&lt;=Inputs!$C$15*12,-AB8*Inputs!$E$22,0)</f>
        <v>0</v>
      </c>
      <c r="AC10" s="157">
        <f>IF(AC$3&lt;=Inputs!$C$15*12,-AC8*Inputs!$E$22,0)</f>
        <v>0</v>
      </c>
      <c r="AD10" s="157">
        <f>IF(AD$3&lt;=Inputs!$C$15*12,-AD8*Inputs!$E$22,0)</f>
        <v>0</v>
      </c>
      <c r="AE10" s="157">
        <f>IF(AE$3&lt;=Inputs!$C$15*12,-AE8*Inputs!$E$22,0)</f>
        <v>0</v>
      </c>
      <c r="AF10" s="157">
        <f>IF(AF$3&lt;=Inputs!$C$15*12,-AF8*Inputs!$E$22,0)</f>
        <v>0</v>
      </c>
      <c r="AG10" s="157">
        <f>IF(AG$3&lt;=Inputs!$C$15*12,-AG8*Inputs!$E$22,0)</f>
        <v>0</v>
      </c>
      <c r="AH10" s="157">
        <f>IF(AH$3&lt;=Inputs!$C$15*12,-AH8*Inputs!$E$22,0)</f>
        <v>0</v>
      </c>
      <c r="AI10" s="157">
        <f>IF(AI$3&lt;=Inputs!$C$15*12,-AI8*Inputs!$E$22,0)</f>
        <v>0</v>
      </c>
      <c r="AJ10" s="157">
        <f>IF(AJ$3&lt;=Inputs!$C$15*12,-AJ8*Inputs!$E$22,0)</f>
        <v>0</v>
      </c>
      <c r="AK10" s="157">
        <f>IF(AK$3&lt;=Inputs!$C$15*12,-AK8*Inputs!$E$22,0)</f>
        <v>0</v>
      </c>
      <c r="AL10" s="157">
        <f>IF(AL$3&lt;=Inputs!$C$15*12,-AL8*Inputs!$E$22,0)</f>
        <v>0</v>
      </c>
      <c r="AM10" s="157">
        <f>IF(AM$3&lt;=Inputs!$C$15*12,-AM8*Inputs!$E$22,0)</f>
        <v>0</v>
      </c>
      <c r="AN10" s="157">
        <f>IF(AN$3&lt;=Inputs!$C$15*12,-AN8*Inputs!$E$22,0)</f>
        <v>0</v>
      </c>
      <c r="AO10" s="157">
        <f>IF(AO$3&lt;=Inputs!$C$15*12,-AO8*Inputs!$E$22,0)</f>
        <v>0</v>
      </c>
      <c r="AP10" s="157">
        <f>IF(AP$3&lt;=Inputs!$C$15*12,-AP8*Inputs!$E$22,0)</f>
        <v>0</v>
      </c>
      <c r="AQ10" s="157">
        <f>IF(AQ$3&lt;=Inputs!$C$15*12,-AQ8*Inputs!$E$22,0)</f>
        <v>0</v>
      </c>
      <c r="AR10" s="157">
        <f>IF(AR$3&lt;=Inputs!$C$15*12,-AR8*Inputs!$E$22,0)</f>
        <v>0</v>
      </c>
      <c r="AS10" s="157">
        <f>IF(AS$3&lt;=Inputs!$C$15*12,-AS8*Inputs!$E$22,0)</f>
        <v>0</v>
      </c>
      <c r="AT10" s="157">
        <f>IF(AT$3&lt;=Inputs!$C$15*12,-AT8*Inputs!$E$22,0)</f>
        <v>0</v>
      </c>
      <c r="AU10" s="157">
        <f>IF(AU$3&lt;=Inputs!$C$15*12,-AU8*Inputs!$E$22,0)</f>
        <v>0</v>
      </c>
      <c r="AV10" s="157">
        <f>IF(AV$3&lt;=Inputs!$C$15*12,-AV8*Inputs!$E$22,0)</f>
        <v>0</v>
      </c>
      <c r="AW10" s="157">
        <f>IF(AW$3&lt;=Inputs!$C$15*12,-AW8*Inputs!$E$22,0)</f>
        <v>0</v>
      </c>
      <c r="AX10" s="157">
        <f>IF(AX$3&lt;=Inputs!$C$15*12,-AX8*Inputs!$E$22,0)</f>
        <v>0</v>
      </c>
      <c r="AY10" s="157">
        <f>IF(AY$3&lt;=Inputs!$C$15*12,-AY8*Inputs!$E$22,0)</f>
        <v>0</v>
      </c>
      <c r="AZ10" s="157">
        <f>IF(AZ$3&lt;=Inputs!$C$15*12,-AZ8*Inputs!$E$22,0)</f>
        <v>0</v>
      </c>
      <c r="BA10" s="157">
        <f>IF(BA$3&lt;=Inputs!$C$15*12,-BA8*Inputs!$E$22,0)</f>
        <v>0</v>
      </c>
      <c r="BB10" s="157">
        <f>IF(BB$3&lt;=Inputs!$C$15*12,-BB8*Inputs!$E$22,0)</f>
        <v>0</v>
      </c>
      <c r="BC10" s="157">
        <f>IF(BC$3&lt;=Inputs!$C$15*12,-BC8*Inputs!$E$22,0)</f>
        <v>0</v>
      </c>
      <c r="BD10" s="157">
        <f>IF(BD$3&lt;=Inputs!$C$15*12,-BD8*Inputs!$E$22,0)</f>
        <v>0</v>
      </c>
      <c r="BE10" s="157">
        <f>IF(BE$3&lt;=Inputs!$C$15*12,-BE8*Inputs!$E$22,0)</f>
        <v>0</v>
      </c>
      <c r="BF10" s="157">
        <f>IF(BF$3&lt;=Inputs!$C$15*12,-BF8*Inputs!$E$22,0)</f>
        <v>0</v>
      </c>
      <c r="BG10" s="157">
        <f>IF(BG$3&lt;=Inputs!$C$15*12,-BG8*Inputs!$E$22,0)</f>
        <v>0</v>
      </c>
      <c r="BH10" s="157">
        <f>IF(BH$3&lt;=Inputs!$C$15*12,-BH8*Inputs!$E$22,0)</f>
        <v>0</v>
      </c>
      <c r="BI10" s="157">
        <f>IF(BI$3&lt;=Inputs!$C$15*12,-BI8*Inputs!$E$22,0)</f>
        <v>0</v>
      </c>
      <c r="BJ10" s="157">
        <f>IF(BJ$3&lt;=Inputs!$C$15*12,-BJ8*Inputs!$E$22,0)</f>
        <v>0</v>
      </c>
      <c r="BK10" s="157">
        <f>IF(BK$3&lt;=Inputs!$C$15*12,-BK8*Inputs!$E$22,0)</f>
        <v>0</v>
      </c>
      <c r="BL10" s="157">
        <f>IF(BL$3&lt;=Inputs!$C$15*12,-BL8*Inputs!$E$22,0)</f>
        <v>0</v>
      </c>
      <c r="BM10" s="157">
        <f>IF(BM$3&lt;=Inputs!$C$15*12,-BM8*Inputs!$E$22,0)</f>
        <v>0</v>
      </c>
      <c r="BN10" s="157">
        <f>IF(BN$3&lt;=Inputs!$C$15*12,-BN8*Inputs!$E$22,0)</f>
        <v>0</v>
      </c>
      <c r="BO10" s="157">
        <f>IF(BO$3&lt;=Inputs!$C$15*12,-BO8*Inputs!$E$22,0)</f>
        <v>0</v>
      </c>
      <c r="BP10" s="157">
        <f>IF(BP$3&lt;=Inputs!$C$15*12,-BP8*Inputs!$E$22,0)</f>
        <v>0</v>
      </c>
      <c r="BQ10" s="157">
        <f>IF(BQ$3&lt;=Inputs!$C$15*12,-BQ8*Inputs!$E$22,0)</f>
        <v>0</v>
      </c>
      <c r="BR10" s="157">
        <f>IF(BR$3&lt;=Inputs!$C$15*12,-BR8*Inputs!$E$22,0)</f>
        <v>0</v>
      </c>
      <c r="BS10" s="157">
        <f>IF(BS$3&lt;=Inputs!$C$15*12,-BS8*Inputs!$E$22,0)</f>
        <v>0</v>
      </c>
      <c r="BT10" s="157">
        <f>IF(BT$3&lt;=Inputs!$C$15*12,-BT8*Inputs!$E$22,0)</f>
        <v>0</v>
      </c>
      <c r="BU10" s="157">
        <f>IF(BU$3&lt;=Inputs!$C$15*12,-BU8*Inputs!$E$22,0)</f>
        <v>0</v>
      </c>
      <c r="BV10" s="157">
        <f>IF(BV$3&lt;=Inputs!$C$15*12,-BV8*Inputs!$E$22,0)</f>
        <v>0</v>
      </c>
      <c r="BW10" s="157">
        <f>IF(BW$3&lt;=Inputs!$C$15*12,-BW8*Inputs!$E$22,0)</f>
        <v>0</v>
      </c>
      <c r="BX10" s="157">
        <f>IF(BX$3&lt;=Inputs!$C$15*12,-BX8*Inputs!$E$22,0)</f>
        <v>0</v>
      </c>
      <c r="BY10" s="157">
        <f>IF(BY$3&lt;=Inputs!$C$15*12,-BY8*Inputs!$E$22,0)</f>
        <v>0</v>
      </c>
      <c r="BZ10" s="157">
        <f>IF(BZ$3&lt;=Inputs!$C$15*12,-BZ8*Inputs!$E$22,0)</f>
        <v>0</v>
      </c>
      <c r="CA10" s="157">
        <f>IF(CA$3&lt;=Inputs!$C$15*12,-CA8*Inputs!$E$22,0)</f>
        <v>0</v>
      </c>
      <c r="CB10" s="157">
        <f>IF(CB$3&lt;=Inputs!$C$15*12,-CB8*Inputs!$E$22,0)</f>
        <v>0</v>
      </c>
      <c r="CC10" s="157">
        <f>IF(CC$3&lt;=Inputs!$C$15*12,-CC8*Inputs!$E$22,0)</f>
        <v>0</v>
      </c>
      <c r="CD10" s="157">
        <f>IF(CD$3&lt;=Inputs!$C$15*12,-CD8*Inputs!$E$22,0)</f>
        <v>0</v>
      </c>
      <c r="CE10" s="157">
        <f>IF(CE$3&lt;=Inputs!$C$15*12,-CE8*Inputs!$E$22,0)</f>
        <v>0</v>
      </c>
      <c r="CF10" s="157">
        <f>IF(CF$3&lt;=Inputs!$C$15*12,-CF8*Inputs!$E$22,0)</f>
        <v>0</v>
      </c>
      <c r="CG10" s="157">
        <f>IF(CG$3&lt;=Inputs!$C$15*12,-CG8*Inputs!$E$22,0)</f>
        <v>0</v>
      </c>
      <c r="CH10" s="157">
        <f>IF(CH$3&lt;=Inputs!$C$15*12,-CH8*Inputs!$E$22,0)</f>
        <v>0</v>
      </c>
      <c r="CI10" s="157">
        <f>IF(CI$3&lt;=Inputs!$C$15*12,-CI8*Inputs!$E$22,0)</f>
        <v>0</v>
      </c>
      <c r="CJ10" s="157">
        <f>IF(CJ$3&lt;=Inputs!$C$15*12,-CJ8*Inputs!$E$22,0)</f>
        <v>0</v>
      </c>
      <c r="CK10" s="157">
        <f>IF(CK$3&lt;=Inputs!$C$15*12,-CK8*Inputs!$E$22,0)</f>
        <v>0</v>
      </c>
      <c r="CL10" s="157">
        <f>IF(CL$3&lt;=Inputs!$C$15*12,-CL8*Inputs!$E$22,0)</f>
        <v>0</v>
      </c>
      <c r="CM10" s="157">
        <f>IF(CM$3&lt;=Inputs!$C$15*12,-CM8*Inputs!$E$22,0)</f>
        <v>0</v>
      </c>
      <c r="CN10" s="157">
        <f>IF(CN$3&lt;=Inputs!$C$15*12,-CN8*Inputs!$E$22,0)</f>
        <v>0</v>
      </c>
      <c r="CO10" s="157">
        <f>IF(CO$3&lt;=Inputs!$C$15*12,-CO8*Inputs!$E$22,0)</f>
        <v>0</v>
      </c>
      <c r="CP10" s="157">
        <f>IF(CP$3&lt;=Inputs!$C$15*12,-CP8*Inputs!$E$22,0)</f>
        <v>0</v>
      </c>
      <c r="CQ10" s="157">
        <f>IF(CQ$3&lt;=Inputs!$C$15*12,-CQ8*Inputs!$E$22,0)</f>
        <v>0</v>
      </c>
      <c r="CR10" s="157">
        <f>IF(CR$3&lt;=Inputs!$C$15*12,-CR8*Inputs!$E$22,0)</f>
        <v>0</v>
      </c>
      <c r="CS10" s="157">
        <f>IF(CS$3&lt;=Inputs!$C$15*12,-CS8*Inputs!$E$22,0)</f>
        <v>0</v>
      </c>
      <c r="CT10" s="157">
        <f>IF(CT$3&lt;=Inputs!$C$15*12,-CT8*Inputs!$E$22,0)</f>
        <v>0</v>
      </c>
      <c r="CU10" s="157">
        <f>IF(CU$3&lt;=Inputs!$C$15*12,-CU8*Inputs!$E$22,0)</f>
        <v>0</v>
      </c>
      <c r="CV10" s="157">
        <f>IF(CV$3&lt;=Inputs!$C$15*12,-CV8*Inputs!$E$22,0)</f>
        <v>0</v>
      </c>
      <c r="CW10" s="157">
        <f>IF(CW$3&lt;=Inputs!$C$15*12,-CW8*Inputs!$E$22,0)</f>
        <v>0</v>
      </c>
      <c r="CX10" s="157">
        <f>IF(CX$3&lt;=Inputs!$C$15*12,-CX8*Inputs!$E$22,0)</f>
        <v>0</v>
      </c>
      <c r="CY10" s="157">
        <f>IF(CY$3&lt;=Inputs!$C$15*12,-CY8*Inputs!$E$22,0)</f>
        <v>0</v>
      </c>
      <c r="CZ10" s="157">
        <f>IF(CZ$3&lt;=Inputs!$C$15*12,-CZ8*Inputs!$E$22,0)</f>
        <v>0</v>
      </c>
      <c r="DA10" s="157">
        <f>IF(DA$3&lt;=Inputs!$C$15*12,-DA8*Inputs!$E$22,0)</f>
        <v>0</v>
      </c>
      <c r="DB10" s="157">
        <f>IF(DB$3&lt;=Inputs!$C$15*12,-DB8*Inputs!$E$22,0)</f>
        <v>0</v>
      </c>
      <c r="DC10" s="157">
        <f>IF(DC$3&lt;=Inputs!$C$15*12,-DC8*Inputs!$E$22,0)</f>
        <v>0</v>
      </c>
      <c r="DD10" s="157">
        <f>IF(DD$3&lt;=Inputs!$C$15*12,-DD8*Inputs!$E$22,0)</f>
        <v>0</v>
      </c>
      <c r="DE10" s="157">
        <f>IF(DE$3&lt;=Inputs!$C$15*12,-DE8*Inputs!$E$22,0)</f>
        <v>0</v>
      </c>
      <c r="DF10" s="157">
        <f>IF(DF$3&lt;=Inputs!$C$15*12,-DF8*Inputs!$E$22,0)</f>
        <v>0</v>
      </c>
      <c r="DG10" s="157">
        <f>IF(DG$3&lt;=Inputs!$C$15*12,-DG8*Inputs!$E$22,0)</f>
        <v>0</v>
      </c>
      <c r="DH10" s="157">
        <f>IF(DH$3&lt;=Inputs!$C$15*12,-DH8*Inputs!$E$22,0)</f>
        <v>0</v>
      </c>
      <c r="DI10" s="157">
        <f>IF(DI$3&lt;=Inputs!$C$15*12,-DI8*Inputs!$E$22,0)</f>
        <v>0</v>
      </c>
      <c r="DJ10" s="157">
        <f>IF(DJ$3&lt;=Inputs!$C$15*12,-DJ8*Inputs!$E$22,0)</f>
        <v>0</v>
      </c>
      <c r="DK10" s="157">
        <f>IF(DK$3&lt;=Inputs!$C$15*12,-DK8*Inputs!$E$22,0)</f>
        <v>0</v>
      </c>
      <c r="DL10" s="157">
        <f>IF(DL$3&lt;=Inputs!$C$15*12,-DL8*Inputs!$E$22,0)</f>
        <v>0</v>
      </c>
      <c r="DM10" s="157">
        <f>IF(DM$3&lt;=Inputs!$C$15*12,-DM8*Inputs!$E$22,0)</f>
        <v>0</v>
      </c>
      <c r="DN10" s="157">
        <f>IF(DN$3&lt;=Inputs!$C$15*12,-DN8*Inputs!$E$22,0)</f>
        <v>0</v>
      </c>
      <c r="DO10" s="157">
        <f>IF(DO$3&lt;=Inputs!$C$15*12,-DO8*Inputs!$E$22,0)</f>
        <v>0</v>
      </c>
      <c r="DP10" s="157">
        <f>IF(DP$3&lt;=Inputs!$C$15*12,-DP8*Inputs!$E$22,0)</f>
        <v>0</v>
      </c>
      <c r="DQ10" s="157">
        <f>IF(DQ$3&lt;=Inputs!$C$15*12,-DQ8*Inputs!$E$22,0)</f>
        <v>0</v>
      </c>
      <c r="DR10" s="157">
        <f>IF(DR$3&lt;=Inputs!$C$15*12,-DR8*Inputs!$E$22,0)</f>
        <v>0</v>
      </c>
      <c r="DS10" s="54"/>
    </row>
    <row r="11" ht="15.75" customHeight="1">
      <c r="A11" s="54"/>
      <c r="B11" s="108" t="s">
        <v>308</v>
      </c>
      <c r="C11" s="158">
        <f t="shared" ref="C11:DR11" si="4">C8+C9+C10</f>
        <v>0</v>
      </c>
      <c r="D11" s="158">
        <f t="shared" si="4"/>
        <v>0</v>
      </c>
      <c r="E11" s="158">
        <f t="shared" si="4"/>
        <v>0</v>
      </c>
      <c r="F11" s="158">
        <f t="shared" si="4"/>
        <v>0</v>
      </c>
      <c r="G11" s="158">
        <f t="shared" si="4"/>
        <v>0</v>
      </c>
      <c r="H11" s="158">
        <f t="shared" si="4"/>
        <v>0</v>
      </c>
      <c r="I11" s="158">
        <f t="shared" si="4"/>
        <v>0</v>
      </c>
      <c r="J11" s="158">
        <f t="shared" si="4"/>
        <v>0</v>
      </c>
      <c r="K11" s="158">
        <f t="shared" si="4"/>
        <v>0</v>
      </c>
      <c r="L11" s="158">
        <f t="shared" si="4"/>
        <v>0</v>
      </c>
      <c r="M11" s="158">
        <f t="shared" si="4"/>
        <v>0</v>
      </c>
      <c r="N11" s="158">
        <f t="shared" si="4"/>
        <v>0</v>
      </c>
      <c r="O11" s="158">
        <f t="shared" si="4"/>
        <v>0</v>
      </c>
      <c r="P11" s="158">
        <f t="shared" si="4"/>
        <v>0</v>
      </c>
      <c r="Q11" s="158">
        <f t="shared" si="4"/>
        <v>0</v>
      </c>
      <c r="R11" s="158">
        <f t="shared" si="4"/>
        <v>0</v>
      </c>
      <c r="S11" s="158">
        <f t="shared" si="4"/>
        <v>0</v>
      </c>
      <c r="T11" s="158">
        <f t="shared" si="4"/>
        <v>0</v>
      </c>
      <c r="U11" s="158">
        <f t="shared" si="4"/>
        <v>0</v>
      </c>
      <c r="V11" s="158">
        <f t="shared" si="4"/>
        <v>0</v>
      </c>
      <c r="W11" s="158">
        <f t="shared" si="4"/>
        <v>0</v>
      </c>
      <c r="X11" s="158">
        <f t="shared" si="4"/>
        <v>0</v>
      </c>
      <c r="Y11" s="158">
        <f t="shared" si="4"/>
        <v>0</v>
      </c>
      <c r="Z11" s="158">
        <f t="shared" si="4"/>
        <v>0</v>
      </c>
      <c r="AA11" s="158">
        <f t="shared" si="4"/>
        <v>0</v>
      </c>
      <c r="AB11" s="158">
        <f t="shared" si="4"/>
        <v>0</v>
      </c>
      <c r="AC11" s="158">
        <f t="shared" si="4"/>
        <v>0</v>
      </c>
      <c r="AD11" s="158">
        <f t="shared" si="4"/>
        <v>0</v>
      </c>
      <c r="AE11" s="158">
        <f t="shared" si="4"/>
        <v>0</v>
      </c>
      <c r="AF11" s="158">
        <f t="shared" si="4"/>
        <v>0</v>
      </c>
      <c r="AG11" s="158">
        <f t="shared" si="4"/>
        <v>0</v>
      </c>
      <c r="AH11" s="158">
        <f t="shared" si="4"/>
        <v>0</v>
      </c>
      <c r="AI11" s="158">
        <f t="shared" si="4"/>
        <v>0</v>
      </c>
      <c r="AJ11" s="158">
        <f t="shared" si="4"/>
        <v>0</v>
      </c>
      <c r="AK11" s="158">
        <f t="shared" si="4"/>
        <v>0</v>
      </c>
      <c r="AL11" s="158">
        <f t="shared" si="4"/>
        <v>0</v>
      </c>
      <c r="AM11" s="158">
        <f t="shared" si="4"/>
        <v>0</v>
      </c>
      <c r="AN11" s="158">
        <f t="shared" si="4"/>
        <v>0</v>
      </c>
      <c r="AO11" s="158">
        <f t="shared" si="4"/>
        <v>0</v>
      </c>
      <c r="AP11" s="158">
        <f t="shared" si="4"/>
        <v>0</v>
      </c>
      <c r="AQ11" s="158">
        <f t="shared" si="4"/>
        <v>0</v>
      </c>
      <c r="AR11" s="158">
        <f t="shared" si="4"/>
        <v>0</v>
      </c>
      <c r="AS11" s="158">
        <f t="shared" si="4"/>
        <v>0</v>
      </c>
      <c r="AT11" s="158">
        <f t="shared" si="4"/>
        <v>0</v>
      </c>
      <c r="AU11" s="158">
        <f t="shared" si="4"/>
        <v>0</v>
      </c>
      <c r="AV11" s="158">
        <f t="shared" si="4"/>
        <v>0</v>
      </c>
      <c r="AW11" s="158">
        <f t="shared" si="4"/>
        <v>0</v>
      </c>
      <c r="AX11" s="158">
        <f t="shared" si="4"/>
        <v>0</v>
      </c>
      <c r="AY11" s="158">
        <f t="shared" si="4"/>
        <v>0</v>
      </c>
      <c r="AZ11" s="158">
        <f t="shared" si="4"/>
        <v>0</v>
      </c>
      <c r="BA11" s="158">
        <f t="shared" si="4"/>
        <v>0</v>
      </c>
      <c r="BB11" s="158">
        <f t="shared" si="4"/>
        <v>0</v>
      </c>
      <c r="BC11" s="158">
        <f t="shared" si="4"/>
        <v>0</v>
      </c>
      <c r="BD11" s="158">
        <f t="shared" si="4"/>
        <v>0</v>
      </c>
      <c r="BE11" s="158">
        <f t="shared" si="4"/>
        <v>0</v>
      </c>
      <c r="BF11" s="158">
        <f t="shared" si="4"/>
        <v>0</v>
      </c>
      <c r="BG11" s="158">
        <f t="shared" si="4"/>
        <v>0</v>
      </c>
      <c r="BH11" s="158">
        <f t="shared" si="4"/>
        <v>0</v>
      </c>
      <c r="BI11" s="158">
        <f t="shared" si="4"/>
        <v>0</v>
      </c>
      <c r="BJ11" s="158">
        <f t="shared" si="4"/>
        <v>0</v>
      </c>
      <c r="BK11" s="158">
        <f t="shared" si="4"/>
        <v>0</v>
      </c>
      <c r="BL11" s="158">
        <f t="shared" si="4"/>
        <v>0</v>
      </c>
      <c r="BM11" s="158">
        <f t="shared" si="4"/>
        <v>0</v>
      </c>
      <c r="BN11" s="158">
        <f t="shared" si="4"/>
        <v>0</v>
      </c>
      <c r="BO11" s="158">
        <f t="shared" si="4"/>
        <v>0</v>
      </c>
      <c r="BP11" s="158">
        <f t="shared" si="4"/>
        <v>0</v>
      </c>
      <c r="BQ11" s="158">
        <f t="shared" si="4"/>
        <v>0</v>
      </c>
      <c r="BR11" s="158">
        <f t="shared" si="4"/>
        <v>0</v>
      </c>
      <c r="BS11" s="158">
        <f t="shared" si="4"/>
        <v>0</v>
      </c>
      <c r="BT11" s="158">
        <f t="shared" si="4"/>
        <v>0</v>
      </c>
      <c r="BU11" s="158">
        <f t="shared" si="4"/>
        <v>0</v>
      </c>
      <c r="BV11" s="158">
        <f t="shared" si="4"/>
        <v>0</v>
      </c>
      <c r="BW11" s="158">
        <f t="shared" si="4"/>
        <v>0</v>
      </c>
      <c r="BX11" s="158">
        <f t="shared" si="4"/>
        <v>0</v>
      </c>
      <c r="BY11" s="158">
        <f t="shared" si="4"/>
        <v>0</v>
      </c>
      <c r="BZ11" s="158">
        <f t="shared" si="4"/>
        <v>0</v>
      </c>
      <c r="CA11" s="158">
        <f t="shared" si="4"/>
        <v>0</v>
      </c>
      <c r="CB11" s="158">
        <f t="shared" si="4"/>
        <v>0</v>
      </c>
      <c r="CC11" s="158">
        <f t="shared" si="4"/>
        <v>0</v>
      </c>
      <c r="CD11" s="158">
        <f t="shared" si="4"/>
        <v>0</v>
      </c>
      <c r="CE11" s="158">
        <f t="shared" si="4"/>
        <v>0</v>
      </c>
      <c r="CF11" s="158">
        <f t="shared" si="4"/>
        <v>0</v>
      </c>
      <c r="CG11" s="158">
        <f t="shared" si="4"/>
        <v>0</v>
      </c>
      <c r="CH11" s="158">
        <f t="shared" si="4"/>
        <v>0</v>
      </c>
      <c r="CI11" s="158">
        <f t="shared" si="4"/>
        <v>0</v>
      </c>
      <c r="CJ11" s="158">
        <f t="shared" si="4"/>
        <v>0</v>
      </c>
      <c r="CK11" s="158">
        <f t="shared" si="4"/>
        <v>0</v>
      </c>
      <c r="CL11" s="158">
        <f t="shared" si="4"/>
        <v>0</v>
      </c>
      <c r="CM11" s="158">
        <f t="shared" si="4"/>
        <v>0</v>
      </c>
      <c r="CN11" s="158">
        <f t="shared" si="4"/>
        <v>0</v>
      </c>
      <c r="CO11" s="158">
        <f t="shared" si="4"/>
        <v>0</v>
      </c>
      <c r="CP11" s="158">
        <f t="shared" si="4"/>
        <v>0</v>
      </c>
      <c r="CQ11" s="158">
        <f t="shared" si="4"/>
        <v>0</v>
      </c>
      <c r="CR11" s="158">
        <f t="shared" si="4"/>
        <v>0</v>
      </c>
      <c r="CS11" s="158">
        <f t="shared" si="4"/>
        <v>0</v>
      </c>
      <c r="CT11" s="158">
        <f t="shared" si="4"/>
        <v>0</v>
      </c>
      <c r="CU11" s="158">
        <f t="shared" si="4"/>
        <v>0</v>
      </c>
      <c r="CV11" s="158">
        <f t="shared" si="4"/>
        <v>0</v>
      </c>
      <c r="CW11" s="158">
        <f t="shared" si="4"/>
        <v>0</v>
      </c>
      <c r="CX11" s="158">
        <f t="shared" si="4"/>
        <v>0</v>
      </c>
      <c r="CY11" s="158">
        <f t="shared" si="4"/>
        <v>0</v>
      </c>
      <c r="CZ11" s="158">
        <f t="shared" si="4"/>
        <v>0</v>
      </c>
      <c r="DA11" s="158">
        <f t="shared" si="4"/>
        <v>0</v>
      </c>
      <c r="DB11" s="158">
        <f t="shared" si="4"/>
        <v>0</v>
      </c>
      <c r="DC11" s="158">
        <f t="shared" si="4"/>
        <v>0</v>
      </c>
      <c r="DD11" s="158">
        <f t="shared" si="4"/>
        <v>0</v>
      </c>
      <c r="DE11" s="158">
        <f t="shared" si="4"/>
        <v>0</v>
      </c>
      <c r="DF11" s="158">
        <f t="shared" si="4"/>
        <v>0</v>
      </c>
      <c r="DG11" s="158">
        <f t="shared" si="4"/>
        <v>0</v>
      </c>
      <c r="DH11" s="158">
        <f t="shared" si="4"/>
        <v>0</v>
      </c>
      <c r="DI11" s="158">
        <f t="shared" si="4"/>
        <v>0</v>
      </c>
      <c r="DJ11" s="158">
        <f t="shared" si="4"/>
        <v>0</v>
      </c>
      <c r="DK11" s="158">
        <f t="shared" si="4"/>
        <v>0</v>
      </c>
      <c r="DL11" s="158">
        <f t="shared" si="4"/>
        <v>0</v>
      </c>
      <c r="DM11" s="158">
        <f t="shared" si="4"/>
        <v>0</v>
      </c>
      <c r="DN11" s="158">
        <f t="shared" si="4"/>
        <v>0</v>
      </c>
      <c r="DO11" s="158">
        <f t="shared" si="4"/>
        <v>0</v>
      </c>
      <c r="DP11" s="158">
        <f t="shared" si="4"/>
        <v>0</v>
      </c>
      <c r="DQ11" s="158">
        <f t="shared" si="4"/>
        <v>0</v>
      </c>
      <c r="DR11" s="158">
        <f t="shared" si="4"/>
        <v>0</v>
      </c>
      <c r="DS11" s="54"/>
    </row>
    <row r="12" ht="15.0" customHeight="1">
      <c r="A12" s="54"/>
      <c r="B12" s="56" t="str">
        <f>Inputs!B23</f>
        <v>  Other Income – Parking</v>
      </c>
      <c r="C12" s="153">
        <f>IF(AND(C$3&gt;=Inputs!$C$29,C$3&lt;=Inputs!$C$15*12),Inputs!$E$23/12*(1+Inputs!$C$28)^(C$5-1),0)</f>
        <v>0</v>
      </c>
      <c r="D12" s="153">
        <f>IF(AND(D$3&gt;=Inputs!$C$29,D$3&lt;=Inputs!$C$15*12),Inputs!$E$23/12*(1+Inputs!$C$28)^(D$5-1),0)</f>
        <v>0</v>
      </c>
      <c r="E12" s="153">
        <f>IF(AND(E$3&gt;=Inputs!$C$29,E$3&lt;=Inputs!$C$15*12),Inputs!$E$23/12*(1+Inputs!$C$28)^(E$5-1),0)</f>
        <v>0</v>
      </c>
      <c r="F12" s="153">
        <f>IF(AND(F$3&gt;=Inputs!$C$29,F$3&lt;=Inputs!$C$15*12),Inputs!$E$23/12*(1+Inputs!$C$28)^(F$5-1),0)</f>
        <v>0</v>
      </c>
      <c r="G12" s="153">
        <f>IF(AND(G$3&gt;=Inputs!$C$29,G$3&lt;=Inputs!$C$15*12),Inputs!$E$23/12*(1+Inputs!$C$28)^(G$5-1),0)</f>
        <v>0</v>
      </c>
      <c r="H12" s="153">
        <f>IF(AND(H$3&gt;=Inputs!$C$29,H$3&lt;=Inputs!$C$15*12),Inputs!$E$23/12*(1+Inputs!$C$28)^(H$5-1),0)</f>
        <v>0</v>
      </c>
      <c r="I12" s="153">
        <f>IF(AND(I$3&gt;=Inputs!$C$29,I$3&lt;=Inputs!$C$15*12),Inputs!$E$23/12*(1+Inputs!$C$28)^(I$5-1),0)</f>
        <v>0</v>
      </c>
      <c r="J12" s="153">
        <f>IF(AND(J$3&gt;=Inputs!$C$29,J$3&lt;=Inputs!$C$15*12),Inputs!$E$23/12*(1+Inputs!$C$28)^(J$5-1),0)</f>
        <v>0</v>
      </c>
      <c r="K12" s="153">
        <f>IF(AND(K$3&gt;=Inputs!$C$29,K$3&lt;=Inputs!$C$15*12),Inputs!$E$23/12*(1+Inputs!$C$28)^(K$5-1),0)</f>
        <v>0</v>
      </c>
      <c r="L12" s="153">
        <f>IF(AND(L$3&gt;=Inputs!$C$29,L$3&lt;=Inputs!$C$15*12),Inputs!$E$23/12*(1+Inputs!$C$28)^(L$5-1),0)</f>
        <v>0</v>
      </c>
      <c r="M12" s="153">
        <f>IF(AND(M$3&gt;=Inputs!$C$29,M$3&lt;=Inputs!$C$15*12),Inputs!$E$23/12*(1+Inputs!$C$28)^(M$5-1),0)</f>
        <v>0</v>
      </c>
      <c r="N12" s="153">
        <f>IF(AND(N$3&gt;=Inputs!$C$29,N$3&lt;=Inputs!$C$15*12),Inputs!$E$23/12*(1+Inputs!$C$28)^(N$5-1),0)</f>
        <v>0</v>
      </c>
      <c r="O12" s="153">
        <f>IF(AND(O$3&gt;=Inputs!$C$29,O$3&lt;=Inputs!$C$15*12),Inputs!$E$23/12*(1+Inputs!$C$28)^(O$5-1),0)</f>
        <v>0</v>
      </c>
      <c r="P12" s="153">
        <f>IF(AND(P$3&gt;=Inputs!$C$29,P$3&lt;=Inputs!$C$15*12),Inputs!$E$23/12*(1+Inputs!$C$28)^(P$5-1),0)</f>
        <v>0</v>
      </c>
      <c r="Q12" s="153">
        <f>IF(AND(Q$3&gt;=Inputs!$C$29,Q$3&lt;=Inputs!$C$15*12),Inputs!$E$23/12*(1+Inputs!$C$28)^(Q$5-1),0)</f>
        <v>0</v>
      </c>
      <c r="R12" s="153">
        <f>IF(AND(R$3&gt;=Inputs!$C$29,R$3&lt;=Inputs!$C$15*12),Inputs!$E$23/12*(1+Inputs!$C$28)^(R$5-1),0)</f>
        <v>0</v>
      </c>
      <c r="S12" s="153">
        <f>IF(AND(S$3&gt;=Inputs!$C$29,S$3&lt;=Inputs!$C$15*12),Inputs!$E$23/12*(1+Inputs!$C$28)^(S$5-1),0)</f>
        <v>0</v>
      </c>
      <c r="T12" s="153">
        <f>IF(AND(T$3&gt;=Inputs!$C$29,T$3&lt;=Inputs!$C$15*12),Inputs!$E$23/12*(1+Inputs!$C$28)^(T$5-1),0)</f>
        <v>0</v>
      </c>
      <c r="U12" s="153">
        <f>IF(AND(U$3&gt;=Inputs!$C$29,U$3&lt;=Inputs!$C$15*12),Inputs!$E$23/12*(1+Inputs!$C$28)^(U$5-1),0)</f>
        <v>0</v>
      </c>
      <c r="V12" s="153">
        <f>IF(AND(V$3&gt;=Inputs!$C$29,V$3&lt;=Inputs!$C$15*12),Inputs!$E$23/12*(1+Inputs!$C$28)^(V$5-1),0)</f>
        <v>0</v>
      </c>
      <c r="W12" s="153">
        <f>IF(AND(W$3&gt;=Inputs!$C$29,W$3&lt;=Inputs!$C$15*12),Inputs!$E$23/12*(1+Inputs!$C$28)^(W$5-1),0)</f>
        <v>0</v>
      </c>
      <c r="X12" s="153">
        <f>IF(AND(X$3&gt;=Inputs!$C$29,X$3&lt;=Inputs!$C$15*12),Inputs!$E$23/12*(1+Inputs!$C$28)^(X$5-1),0)</f>
        <v>0</v>
      </c>
      <c r="Y12" s="153">
        <f>IF(AND(Y$3&gt;=Inputs!$C$29,Y$3&lt;=Inputs!$C$15*12),Inputs!$E$23/12*(1+Inputs!$C$28)^(Y$5-1),0)</f>
        <v>0</v>
      </c>
      <c r="Z12" s="153">
        <f>IF(AND(Z$3&gt;=Inputs!$C$29,Z$3&lt;=Inputs!$C$15*12),Inputs!$E$23/12*(1+Inputs!$C$28)^(Z$5-1),0)</f>
        <v>0</v>
      </c>
      <c r="AA12" s="153">
        <f>IF(AND(AA$3&gt;=Inputs!$C$29,AA$3&lt;=Inputs!$C$15*12),Inputs!$E$23/12*(1+Inputs!$C$28)^(AA$5-1),0)</f>
        <v>0</v>
      </c>
      <c r="AB12" s="153">
        <f>IF(AND(AB$3&gt;=Inputs!$C$29,AB$3&lt;=Inputs!$C$15*12),Inputs!$E$23/12*(1+Inputs!$C$28)^(AB$5-1),0)</f>
        <v>0</v>
      </c>
      <c r="AC12" s="153">
        <f>IF(AND(AC$3&gt;=Inputs!$C$29,AC$3&lt;=Inputs!$C$15*12),Inputs!$E$23/12*(1+Inputs!$C$28)^(AC$5-1),0)</f>
        <v>0</v>
      </c>
      <c r="AD12" s="153">
        <f>IF(AND(AD$3&gt;=Inputs!$C$29,AD$3&lt;=Inputs!$C$15*12),Inputs!$E$23/12*(1+Inputs!$C$28)^(AD$5-1),0)</f>
        <v>0</v>
      </c>
      <c r="AE12" s="153">
        <f>IF(AND(AE$3&gt;=Inputs!$C$29,AE$3&lt;=Inputs!$C$15*12),Inputs!$E$23/12*(1+Inputs!$C$28)^(AE$5-1),0)</f>
        <v>0</v>
      </c>
      <c r="AF12" s="153">
        <f>IF(AND(AF$3&gt;=Inputs!$C$29,AF$3&lt;=Inputs!$C$15*12),Inputs!$E$23/12*(1+Inputs!$C$28)^(AF$5-1),0)</f>
        <v>0</v>
      </c>
      <c r="AG12" s="153">
        <f>IF(AND(AG$3&gt;=Inputs!$C$29,AG$3&lt;=Inputs!$C$15*12),Inputs!$E$23/12*(1+Inputs!$C$28)^(AG$5-1),0)</f>
        <v>0</v>
      </c>
      <c r="AH12" s="153">
        <f>IF(AND(AH$3&gt;=Inputs!$C$29,AH$3&lt;=Inputs!$C$15*12),Inputs!$E$23/12*(1+Inputs!$C$28)^(AH$5-1),0)</f>
        <v>0</v>
      </c>
      <c r="AI12" s="153">
        <f>IF(AND(AI$3&gt;=Inputs!$C$29,AI$3&lt;=Inputs!$C$15*12),Inputs!$E$23/12*(1+Inputs!$C$28)^(AI$5-1),0)</f>
        <v>0</v>
      </c>
      <c r="AJ12" s="153">
        <f>IF(AND(AJ$3&gt;=Inputs!$C$29,AJ$3&lt;=Inputs!$C$15*12),Inputs!$E$23/12*(1+Inputs!$C$28)^(AJ$5-1),0)</f>
        <v>0</v>
      </c>
      <c r="AK12" s="153">
        <f>IF(AND(AK$3&gt;=Inputs!$C$29,AK$3&lt;=Inputs!$C$15*12),Inputs!$E$23/12*(1+Inputs!$C$28)^(AK$5-1),0)</f>
        <v>0</v>
      </c>
      <c r="AL12" s="153">
        <f>IF(AND(AL$3&gt;=Inputs!$C$29,AL$3&lt;=Inputs!$C$15*12),Inputs!$E$23/12*(1+Inputs!$C$28)^(AL$5-1),0)</f>
        <v>0</v>
      </c>
      <c r="AM12" s="153">
        <f>IF(AND(AM$3&gt;=Inputs!$C$29,AM$3&lt;=Inputs!$C$15*12),Inputs!$E$23/12*(1+Inputs!$C$28)^(AM$5-1),0)</f>
        <v>0</v>
      </c>
      <c r="AN12" s="153">
        <f>IF(AND(AN$3&gt;=Inputs!$C$29,AN$3&lt;=Inputs!$C$15*12),Inputs!$E$23/12*(1+Inputs!$C$28)^(AN$5-1),0)</f>
        <v>0</v>
      </c>
      <c r="AO12" s="153">
        <f>IF(AND(AO$3&gt;=Inputs!$C$29,AO$3&lt;=Inputs!$C$15*12),Inputs!$E$23/12*(1+Inputs!$C$28)^(AO$5-1),0)</f>
        <v>0</v>
      </c>
      <c r="AP12" s="153">
        <f>IF(AND(AP$3&gt;=Inputs!$C$29,AP$3&lt;=Inputs!$C$15*12),Inputs!$E$23/12*(1+Inputs!$C$28)^(AP$5-1),0)</f>
        <v>0</v>
      </c>
      <c r="AQ12" s="153">
        <f>IF(AND(AQ$3&gt;=Inputs!$C$29,AQ$3&lt;=Inputs!$C$15*12),Inputs!$E$23/12*(1+Inputs!$C$28)^(AQ$5-1),0)</f>
        <v>0</v>
      </c>
      <c r="AR12" s="153">
        <f>IF(AND(AR$3&gt;=Inputs!$C$29,AR$3&lt;=Inputs!$C$15*12),Inputs!$E$23/12*(1+Inputs!$C$28)^(AR$5-1),0)</f>
        <v>0</v>
      </c>
      <c r="AS12" s="153">
        <f>IF(AND(AS$3&gt;=Inputs!$C$29,AS$3&lt;=Inputs!$C$15*12),Inputs!$E$23/12*(1+Inputs!$C$28)^(AS$5-1),0)</f>
        <v>0</v>
      </c>
      <c r="AT12" s="153">
        <f>IF(AND(AT$3&gt;=Inputs!$C$29,AT$3&lt;=Inputs!$C$15*12),Inputs!$E$23/12*(1+Inputs!$C$28)^(AT$5-1),0)</f>
        <v>0</v>
      </c>
      <c r="AU12" s="153">
        <f>IF(AND(AU$3&gt;=Inputs!$C$29,AU$3&lt;=Inputs!$C$15*12),Inputs!$E$23/12*(1+Inputs!$C$28)^(AU$5-1),0)</f>
        <v>0</v>
      </c>
      <c r="AV12" s="153">
        <f>IF(AND(AV$3&gt;=Inputs!$C$29,AV$3&lt;=Inputs!$C$15*12),Inputs!$E$23/12*(1+Inputs!$C$28)^(AV$5-1),0)</f>
        <v>0</v>
      </c>
      <c r="AW12" s="153">
        <f>IF(AND(AW$3&gt;=Inputs!$C$29,AW$3&lt;=Inputs!$C$15*12),Inputs!$E$23/12*(1+Inputs!$C$28)^(AW$5-1),0)</f>
        <v>0</v>
      </c>
      <c r="AX12" s="153">
        <f>IF(AND(AX$3&gt;=Inputs!$C$29,AX$3&lt;=Inputs!$C$15*12),Inputs!$E$23/12*(1+Inputs!$C$28)^(AX$5-1),0)</f>
        <v>0</v>
      </c>
      <c r="AY12" s="153">
        <f>IF(AND(AY$3&gt;=Inputs!$C$29,AY$3&lt;=Inputs!$C$15*12),Inputs!$E$23/12*(1+Inputs!$C$28)^(AY$5-1),0)</f>
        <v>0</v>
      </c>
      <c r="AZ12" s="153">
        <f>IF(AND(AZ$3&gt;=Inputs!$C$29,AZ$3&lt;=Inputs!$C$15*12),Inputs!$E$23/12*(1+Inputs!$C$28)^(AZ$5-1),0)</f>
        <v>0</v>
      </c>
      <c r="BA12" s="153">
        <f>IF(AND(BA$3&gt;=Inputs!$C$29,BA$3&lt;=Inputs!$C$15*12),Inputs!$E$23/12*(1+Inputs!$C$28)^(BA$5-1),0)</f>
        <v>0</v>
      </c>
      <c r="BB12" s="153">
        <f>IF(AND(BB$3&gt;=Inputs!$C$29,BB$3&lt;=Inputs!$C$15*12),Inputs!$E$23/12*(1+Inputs!$C$28)^(BB$5-1),0)</f>
        <v>0</v>
      </c>
      <c r="BC12" s="153">
        <f>IF(AND(BC$3&gt;=Inputs!$C$29,BC$3&lt;=Inputs!$C$15*12),Inputs!$E$23/12*(1+Inputs!$C$28)^(BC$5-1),0)</f>
        <v>0</v>
      </c>
      <c r="BD12" s="153">
        <f>IF(AND(BD$3&gt;=Inputs!$C$29,BD$3&lt;=Inputs!$C$15*12),Inputs!$E$23/12*(1+Inputs!$C$28)^(BD$5-1),0)</f>
        <v>0</v>
      </c>
      <c r="BE12" s="153">
        <f>IF(AND(BE$3&gt;=Inputs!$C$29,BE$3&lt;=Inputs!$C$15*12),Inputs!$E$23/12*(1+Inputs!$C$28)^(BE$5-1),0)</f>
        <v>0</v>
      </c>
      <c r="BF12" s="153">
        <f>IF(AND(BF$3&gt;=Inputs!$C$29,BF$3&lt;=Inputs!$C$15*12),Inputs!$E$23/12*(1+Inputs!$C$28)^(BF$5-1),0)</f>
        <v>0</v>
      </c>
      <c r="BG12" s="153">
        <f>IF(AND(BG$3&gt;=Inputs!$C$29,BG$3&lt;=Inputs!$C$15*12),Inputs!$E$23/12*(1+Inputs!$C$28)^(BG$5-1),0)</f>
        <v>0</v>
      </c>
      <c r="BH12" s="153">
        <f>IF(AND(BH$3&gt;=Inputs!$C$29,BH$3&lt;=Inputs!$C$15*12),Inputs!$E$23/12*(1+Inputs!$C$28)^(BH$5-1),0)</f>
        <v>0</v>
      </c>
      <c r="BI12" s="153">
        <f>IF(AND(BI$3&gt;=Inputs!$C$29,BI$3&lt;=Inputs!$C$15*12),Inputs!$E$23/12*(1+Inputs!$C$28)^(BI$5-1),0)</f>
        <v>0</v>
      </c>
      <c r="BJ12" s="153">
        <f>IF(AND(BJ$3&gt;=Inputs!$C$29,BJ$3&lt;=Inputs!$C$15*12),Inputs!$E$23/12*(1+Inputs!$C$28)^(BJ$5-1),0)</f>
        <v>0</v>
      </c>
      <c r="BK12" s="153">
        <f>IF(AND(BK$3&gt;=Inputs!$C$29,BK$3&lt;=Inputs!$C$15*12),Inputs!$E$23/12*(1+Inputs!$C$28)^(BK$5-1),0)</f>
        <v>0</v>
      </c>
      <c r="BL12" s="153">
        <f>IF(AND(BL$3&gt;=Inputs!$C$29,BL$3&lt;=Inputs!$C$15*12),Inputs!$E$23/12*(1+Inputs!$C$28)^(BL$5-1),0)</f>
        <v>0</v>
      </c>
      <c r="BM12" s="153">
        <f>IF(AND(BM$3&gt;=Inputs!$C$29,BM$3&lt;=Inputs!$C$15*12),Inputs!$E$23/12*(1+Inputs!$C$28)^(BM$5-1),0)</f>
        <v>0</v>
      </c>
      <c r="BN12" s="153">
        <f>IF(AND(BN$3&gt;=Inputs!$C$29,BN$3&lt;=Inputs!$C$15*12),Inputs!$E$23/12*(1+Inputs!$C$28)^(BN$5-1),0)</f>
        <v>0</v>
      </c>
      <c r="BO12" s="153">
        <f>IF(AND(BO$3&gt;=Inputs!$C$29,BO$3&lt;=Inputs!$C$15*12),Inputs!$E$23/12*(1+Inputs!$C$28)^(BO$5-1),0)</f>
        <v>0</v>
      </c>
      <c r="BP12" s="153">
        <f>IF(AND(BP$3&gt;=Inputs!$C$29,BP$3&lt;=Inputs!$C$15*12),Inputs!$E$23/12*(1+Inputs!$C$28)^(BP$5-1),0)</f>
        <v>0</v>
      </c>
      <c r="BQ12" s="153">
        <f>IF(AND(BQ$3&gt;=Inputs!$C$29,BQ$3&lt;=Inputs!$C$15*12),Inputs!$E$23/12*(1+Inputs!$C$28)^(BQ$5-1),0)</f>
        <v>0</v>
      </c>
      <c r="BR12" s="153">
        <f>IF(AND(BR$3&gt;=Inputs!$C$29,BR$3&lt;=Inputs!$C$15*12),Inputs!$E$23/12*(1+Inputs!$C$28)^(BR$5-1),0)</f>
        <v>0</v>
      </c>
      <c r="BS12" s="153">
        <f>IF(AND(BS$3&gt;=Inputs!$C$29,BS$3&lt;=Inputs!$C$15*12),Inputs!$E$23/12*(1+Inputs!$C$28)^(BS$5-1),0)</f>
        <v>0</v>
      </c>
      <c r="BT12" s="153">
        <f>IF(AND(BT$3&gt;=Inputs!$C$29,BT$3&lt;=Inputs!$C$15*12),Inputs!$E$23/12*(1+Inputs!$C$28)^(BT$5-1),0)</f>
        <v>0</v>
      </c>
      <c r="BU12" s="153">
        <f>IF(AND(BU$3&gt;=Inputs!$C$29,BU$3&lt;=Inputs!$C$15*12),Inputs!$E$23/12*(1+Inputs!$C$28)^(BU$5-1),0)</f>
        <v>0</v>
      </c>
      <c r="BV12" s="153">
        <f>IF(AND(BV$3&gt;=Inputs!$C$29,BV$3&lt;=Inputs!$C$15*12),Inputs!$E$23/12*(1+Inputs!$C$28)^(BV$5-1),0)</f>
        <v>0</v>
      </c>
      <c r="BW12" s="153">
        <f>IF(AND(BW$3&gt;=Inputs!$C$29,BW$3&lt;=Inputs!$C$15*12),Inputs!$E$23/12*(1+Inputs!$C$28)^(BW$5-1),0)</f>
        <v>0</v>
      </c>
      <c r="BX12" s="153">
        <f>IF(AND(BX$3&gt;=Inputs!$C$29,BX$3&lt;=Inputs!$C$15*12),Inputs!$E$23/12*(1+Inputs!$C$28)^(BX$5-1),0)</f>
        <v>0</v>
      </c>
      <c r="BY12" s="153">
        <f>IF(AND(BY$3&gt;=Inputs!$C$29,BY$3&lt;=Inputs!$C$15*12),Inputs!$E$23/12*(1+Inputs!$C$28)^(BY$5-1),0)</f>
        <v>0</v>
      </c>
      <c r="BZ12" s="153">
        <f>IF(AND(BZ$3&gt;=Inputs!$C$29,BZ$3&lt;=Inputs!$C$15*12),Inputs!$E$23/12*(1+Inputs!$C$28)^(BZ$5-1),0)</f>
        <v>0</v>
      </c>
      <c r="CA12" s="153">
        <f>IF(AND(CA$3&gt;=Inputs!$C$29,CA$3&lt;=Inputs!$C$15*12),Inputs!$E$23/12*(1+Inputs!$C$28)^(CA$5-1),0)</f>
        <v>0</v>
      </c>
      <c r="CB12" s="153">
        <f>IF(AND(CB$3&gt;=Inputs!$C$29,CB$3&lt;=Inputs!$C$15*12),Inputs!$E$23/12*(1+Inputs!$C$28)^(CB$5-1),0)</f>
        <v>0</v>
      </c>
      <c r="CC12" s="153">
        <f>IF(AND(CC$3&gt;=Inputs!$C$29,CC$3&lt;=Inputs!$C$15*12),Inputs!$E$23/12*(1+Inputs!$C$28)^(CC$5-1),0)</f>
        <v>0</v>
      </c>
      <c r="CD12" s="153">
        <f>IF(AND(CD$3&gt;=Inputs!$C$29,CD$3&lt;=Inputs!$C$15*12),Inputs!$E$23/12*(1+Inputs!$C$28)^(CD$5-1),0)</f>
        <v>0</v>
      </c>
      <c r="CE12" s="153">
        <f>IF(AND(CE$3&gt;=Inputs!$C$29,CE$3&lt;=Inputs!$C$15*12),Inputs!$E$23/12*(1+Inputs!$C$28)^(CE$5-1),0)</f>
        <v>0</v>
      </c>
      <c r="CF12" s="153">
        <f>IF(AND(CF$3&gt;=Inputs!$C$29,CF$3&lt;=Inputs!$C$15*12),Inputs!$E$23/12*(1+Inputs!$C$28)^(CF$5-1),0)</f>
        <v>0</v>
      </c>
      <c r="CG12" s="153">
        <f>IF(AND(CG$3&gt;=Inputs!$C$29,CG$3&lt;=Inputs!$C$15*12),Inputs!$E$23/12*(1+Inputs!$C$28)^(CG$5-1),0)</f>
        <v>0</v>
      </c>
      <c r="CH12" s="153">
        <f>IF(AND(CH$3&gt;=Inputs!$C$29,CH$3&lt;=Inputs!$C$15*12),Inputs!$E$23/12*(1+Inputs!$C$28)^(CH$5-1),0)</f>
        <v>0</v>
      </c>
      <c r="CI12" s="153">
        <f>IF(AND(CI$3&gt;=Inputs!$C$29,CI$3&lt;=Inputs!$C$15*12),Inputs!$E$23/12*(1+Inputs!$C$28)^(CI$5-1),0)</f>
        <v>0</v>
      </c>
      <c r="CJ12" s="153">
        <f>IF(AND(CJ$3&gt;=Inputs!$C$29,CJ$3&lt;=Inputs!$C$15*12),Inputs!$E$23/12*(1+Inputs!$C$28)^(CJ$5-1),0)</f>
        <v>0</v>
      </c>
      <c r="CK12" s="153">
        <f>IF(AND(CK$3&gt;=Inputs!$C$29,CK$3&lt;=Inputs!$C$15*12),Inputs!$E$23/12*(1+Inputs!$C$28)^(CK$5-1),0)</f>
        <v>0</v>
      </c>
      <c r="CL12" s="153">
        <f>IF(AND(CL$3&gt;=Inputs!$C$29,CL$3&lt;=Inputs!$C$15*12),Inputs!$E$23/12*(1+Inputs!$C$28)^(CL$5-1),0)</f>
        <v>0</v>
      </c>
      <c r="CM12" s="153">
        <f>IF(AND(CM$3&gt;=Inputs!$C$29,CM$3&lt;=Inputs!$C$15*12),Inputs!$E$23/12*(1+Inputs!$C$28)^(CM$5-1),0)</f>
        <v>0</v>
      </c>
      <c r="CN12" s="153">
        <f>IF(AND(CN$3&gt;=Inputs!$C$29,CN$3&lt;=Inputs!$C$15*12),Inputs!$E$23/12*(1+Inputs!$C$28)^(CN$5-1),0)</f>
        <v>0</v>
      </c>
      <c r="CO12" s="153">
        <f>IF(AND(CO$3&gt;=Inputs!$C$29,CO$3&lt;=Inputs!$C$15*12),Inputs!$E$23/12*(1+Inputs!$C$28)^(CO$5-1),0)</f>
        <v>0</v>
      </c>
      <c r="CP12" s="153">
        <f>IF(AND(CP$3&gt;=Inputs!$C$29,CP$3&lt;=Inputs!$C$15*12),Inputs!$E$23/12*(1+Inputs!$C$28)^(CP$5-1),0)</f>
        <v>0</v>
      </c>
      <c r="CQ12" s="153">
        <f>IF(AND(CQ$3&gt;=Inputs!$C$29,CQ$3&lt;=Inputs!$C$15*12),Inputs!$E$23/12*(1+Inputs!$C$28)^(CQ$5-1),0)</f>
        <v>0</v>
      </c>
      <c r="CR12" s="153">
        <f>IF(AND(CR$3&gt;=Inputs!$C$29,CR$3&lt;=Inputs!$C$15*12),Inputs!$E$23/12*(1+Inputs!$C$28)^(CR$5-1),0)</f>
        <v>0</v>
      </c>
      <c r="CS12" s="153">
        <f>IF(AND(CS$3&gt;=Inputs!$C$29,CS$3&lt;=Inputs!$C$15*12),Inputs!$E$23/12*(1+Inputs!$C$28)^(CS$5-1),0)</f>
        <v>0</v>
      </c>
      <c r="CT12" s="153">
        <f>IF(AND(CT$3&gt;=Inputs!$C$29,CT$3&lt;=Inputs!$C$15*12),Inputs!$E$23/12*(1+Inputs!$C$28)^(CT$5-1),0)</f>
        <v>0</v>
      </c>
      <c r="CU12" s="153">
        <f>IF(AND(CU$3&gt;=Inputs!$C$29,CU$3&lt;=Inputs!$C$15*12),Inputs!$E$23/12*(1+Inputs!$C$28)^(CU$5-1),0)</f>
        <v>0</v>
      </c>
      <c r="CV12" s="153">
        <f>IF(AND(CV$3&gt;=Inputs!$C$29,CV$3&lt;=Inputs!$C$15*12),Inputs!$E$23/12*(1+Inputs!$C$28)^(CV$5-1),0)</f>
        <v>0</v>
      </c>
      <c r="CW12" s="153">
        <f>IF(AND(CW$3&gt;=Inputs!$C$29,CW$3&lt;=Inputs!$C$15*12),Inputs!$E$23/12*(1+Inputs!$C$28)^(CW$5-1),0)</f>
        <v>0</v>
      </c>
      <c r="CX12" s="153">
        <f>IF(AND(CX$3&gt;=Inputs!$C$29,CX$3&lt;=Inputs!$C$15*12),Inputs!$E$23/12*(1+Inputs!$C$28)^(CX$5-1),0)</f>
        <v>0</v>
      </c>
      <c r="CY12" s="153">
        <f>IF(AND(CY$3&gt;=Inputs!$C$29,CY$3&lt;=Inputs!$C$15*12),Inputs!$E$23/12*(1+Inputs!$C$28)^(CY$5-1),0)</f>
        <v>0</v>
      </c>
      <c r="CZ12" s="153">
        <f>IF(AND(CZ$3&gt;=Inputs!$C$29,CZ$3&lt;=Inputs!$C$15*12),Inputs!$E$23/12*(1+Inputs!$C$28)^(CZ$5-1),0)</f>
        <v>0</v>
      </c>
      <c r="DA12" s="153">
        <f>IF(AND(DA$3&gt;=Inputs!$C$29,DA$3&lt;=Inputs!$C$15*12),Inputs!$E$23/12*(1+Inputs!$C$28)^(DA$5-1),0)</f>
        <v>0</v>
      </c>
      <c r="DB12" s="153">
        <f>IF(AND(DB$3&gt;=Inputs!$C$29,DB$3&lt;=Inputs!$C$15*12),Inputs!$E$23/12*(1+Inputs!$C$28)^(DB$5-1),0)</f>
        <v>0</v>
      </c>
      <c r="DC12" s="153">
        <f>IF(AND(DC$3&gt;=Inputs!$C$29,DC$3&lt;=Inputs!$C$15*12),Inputs!$E$23/12*(1+Inputs!$C$28)^(DC$5-1),0)</f>
        <v>0</v>
      </c>
      <c r="DD12" s="153">
        <f>IF(AND(DD$3&gt;=Inputs!$C$29,DD$3&lt;=Inputs!$C$15*12),Inputs!$E$23/12*(1+Inputs!$C$28)^(DD$5-1),0)</f>
        <v>0</v>
      </c>
      <c r="DE12" s="153">
        <f>IF(AND(DE$3&gt;=Inputs!$C$29,DE$3&lt;=Inputs!$C$15*12),Inputs!$E$23/12*(1+Inputs!$C$28)^(DE$5-1),0)</f>
        <v>0</v>
      </c>
      <c r="DF12" s="153">
        <f>IF(AND(DF$3&gt;=Inputs!$C$29,DF$3&lt;=Inputs!$C$15*12),Inputs!$E$23/12*(1+Inputs!$C$28)^(DF$5-1),0)</f>
        <v>0</v>
      </c>
      <c r="DG12" s="153">
        <f>IF(AND(DG$3&gt;=Inputs!$C$29,DG$3&lt;=Inputs!$C$15*12),Inputs!$E$23/12*(1+Inputs!$C$28)^(DG$5-1),0)</f>
        <v>0</v>
      </c>
      <c r="DH12" s="153">
        <f>IF(AND(DH$3&gt;=Inputs!$C$29,DH$3&lt;=Inputs!$C$15*12),Inputs!$E$23/12*(1+Inputs!$C$28)^(DH$5-1),0)</f>
        <v>0</v>
      </c>
      <c r="DI12" s="153">
        <f>IF(AND(DI$3&gt;=Inputs!$C$29,DI$3&lt;=Inputs!$C$15*12),Inputs!$E$23/12*(1+Inputs!$C$28)^(DI$5-1),0)</f>
        <v>0</v>
      </c>
      <c r="DJ12" s="153">
        <f>IF(AND(DJ$3&gt;=Inputs!$C$29,DJ$3&lt;=Inputs!$C$15*12),Inputs!$E$23/12*(1+Inputs!$C$28)^(DJ$5-1),0)</f>
        <v>0</v>
      </c>
      <c r="DK12" s="153">
        <f>IF(AND(DK$3&gt;=Inputs!$C$29,DK$3&lt;=Inputs!$C$15*12),Inputs!$E$23/12*(1+Inputs!$C$28)^(DK$5-1),0)</f>
        <v>0</v>
      </c>
      <c r="DL12" s="153">
        <f>IF(AND(DL$3&gt;=Inputs!$C$29,DL$3&lt;=Inputs!$C$15*12),Inputs!$E$23/12*(1+Inputs!$C$28)^(DL$5-1),0)</f>
        <v>0</v>
      </c>
      <c r="DM12" s="153">
        <f>IF(AND(DM$3&gt;=Inputs!$C$29,DM$3&lt;=Inputs!$C$15*12),Inputs!$E$23/12*(1+Inputs!$C$28)^(DM$5-1),0)</f>
        <v>0</v>
      </c>
      <c r="DN12" s="153">
        <f>IF(AND(DN$3&gt;=Inputs!$C$29,DN$3&lt;=Inputs!$C$15*12),Inputs!$E$23/12*(1+Inputs!$C$28)^(DN$5-1),0)</f>
        <v>0</v>
      </c>
      <c r="DO12" s="153">
        <f>IF(AND(DO$3&gt;=Inputs!$C$29,DO$3&lt;=Inputs!$C$15*12),Inputs!$E$23/12*(1+Inputs!$C$28)^(DO$5-1),0)</f>
        <v>0</v>
      </c>
      <c r="DP12" s="153">
        <f>IF(AND(DP$3&gt;=Inputs!$C$29,DP$3&lt;=Inputs!$C$15*12),Inputs!$E$23/12*(1+Inputs!$C$28)^(DP$5-1),0)</f>
        <v>0</v>
      </c>
      <c r="DQ12" s="153">
        <f>IF(AND(DQ$3&gt;=Inputs!$C$29,DQ$3&lt;=Inputs!$C$15*12),Inputs!$E$23/12*(1+Inputs!$C$28)^(DQ$5-1),0)</f>
        <v>0</v>
      </c>
      <c r="DR12" s="153">
        <f>IF(AND(DR$3&gt;=Inputs!$C$29,DR$3&lt;=Inputs!$C$15*12),Inputs!$E$23/12*(1+Inputs!$C$28)^(DR$5-1),0)</f>
        <v>0</v>
      </c>
      <c r="DS12" s="54"/>
    </row>
    <row r="13" ht="15.0" customHeight="1">
      <c r="A13" s="54"/>
      <c r="B13" s="56" t="str">
        <f>Inputs!B24</f>
        <v>  Other Income – Laundry </v>
      </c>
      <c r="C13" s="153">
        <f>IF(AND(C$3&gt;=Inputs!$C$29,C$3&lt;=Inputs!$C$15*12),Inputs!$E$24/12*(1+Inputs!$C$28)^(C$5-1),0)</f>
        <v>0</v>
      </c>
      <c r="D13" s="153">
        <f>IF(AND(D$3&gt;=Inputs!$C$29,D$3&lt;=Inputs!$C$15*12),Inputs!$E$24/12*(1+Inputs!$C$28)^(D$5-1),0)</f>
        <v>0</v>
      </c>
      <c r="E13" s="153">
        <f>IF(AND(E$3&gt;=Inputs!$C$29,E$3&lt;=Inputs!$C$15*12),Inputs!$E$24/12*(1+Inputs!$C$28)^(E$5-1),0)</f>
        <v>0</v>
      </c>
      <c r="F13" s="153">
        <f>IF(AND(F$3&gt;=Inputs!$C$29,F$3&lt;=Inputs!$C$15*12),Inputs!$E$24/12*(1+Inputs!$C$28)^(F$5-1),0)</f>
        <v>0</v>
      </c>
      <c r="G13" s="153">
        <f>IF(AND(G$3&gt;=Inputs!$C$29,G$3&lt;=Inputs!$C$15*12),Inputs!$E$24/12*(1+Inputs!$C$28)^(G$5-1),0)</f>
        <v>0</v>
      </c>
      <c r="H13" s="153">
        <f>IF(AND(H$3&gt;=Inputs!$C$29,H$3&lt;=Inputs!$C$15*12),Inputs!$E$24/12*(1+Inputs!$C$28)^(H$5-1),0)</f>
        <v>0</v>
      </c>
      <c r="I13" s="153">
        <f>IF(AND(I$3&gt;=Inputs!$C$29,I$3&lt;=Inputs!$C$15*12),Inputs!$E$24/12*(1+Inputs!$C$28)^(I$5-1),0)</f>
        <v>0</v>
      </c>
      <c r="J13" s="153">
        <f>IF(AND(J$3&gt;=Inputs!$C$29,J$3&lt;=Inputs!$C$15*12),Inputs!$E$24/12*(1+Inputs!$C$28)^(J$5-1),0)</f>
        <v>0</v>
      </c>
      <c r="K13" s="153">
        <f>IF(AND(K$3&gt;=Inputs!$C$29,K$3&lt;=Inputs!$C$15*12),Inputs!$E$24/12*(1+Inputs!$C$28)^(K$5-1),0)</f>
        <v>0</v>
      </c>
      <c r="L13" s="153">
        <f>IF(AND(L$3&gt;=Inputs!$C$29,L$3&lt;=Inputs!$C$15*12),Inputs!$E$24/12*(1+Inputs!$C$28)^(L$5-1),0)</f>
        <v>0</v>
      </c>
      <c r="M13" s="153">
        <f>IF(AND(M$3&gt;=Inputs!$C$29,M$3&lt;=Inputs!$C$15*12),Inputs!$E$24/12*(1+Inputs!$C$28)^(M$5-1),0)</f>
        <v>0</v>
      </c>
      <c r="N13" s="153">
        <f>IF(AND(N$3&gt;=Inputs!$C$29,N$3&lt;=Inputs!$C$15*12),Inputs!$E$24/12*(1+Inputs!$C$28)^(N$5-1),0)</f>
        <v>0</v>
      </c>
      <c r="O13" s="153">
        <f>IF(AND(O$3&gt;=Inputs!$C$29,O$3&lt;=Inputs!$C$15*12),Inputs!$E$24/12*(1+Inputs!$C$28)^(O$5-1),0)</f>
        <v>0</v>
      </c>
      <c r="P13" s="153">
        <f>IF(AND(P$3&gt;=Inputs!$C$29,P$3&lt;=Inputs!$C$15*12),Inputs!$E$24/12*(1+Inputs!$C$28)^(P$5-1),0)</f>
        <v>0</v>
      </c>
      <c r="Q13" s="153">
        <f>IF(AND(Q$3&gt;=Inputs!$C$29,Q$3&lt;=Inputs!$C$15*12),Inputs!$E$24/12*(1+Inputs!$C$28)^(Q$5-1),0)</f>
        <v>0</v>
      </c>
      <c r="R13" s="153">
        <f>IF(AND(R$3&gt;=Inputs!$C$29,R$3&lt;=Inputs!$C$15*12),Inputs!$E$24/12*(1+Inputs!$C$28)^(R$5-1),0)</f>
        <v>0</v>
      </c>
      <c r="S13" s="153">
        <f>IF(AND(S$3&gt;=Inputs!$C$29,S$3&lt;=Inputs!$C$15*12),Inputs!$E$24/12*(1+Inputs!$C$28)^(S$5-1),0)</f>
        <v>0</v>
      </c>
      <c r="T13" s="153">
        <f>IF(AND(T$3&gt;=Inputs!$C$29,T$3&lt;=Inputs!$C$15*12),Inputs!$E$24/12*(1+Inputs!$C$28)^(T$5-1),0)</f>
        <v>0</v>
      </c>
      <c r="U13" s="153">
        <f>IF(AND(U$3&gt;=Inputs!$C$29,U$3&lt;=Inputs!$C$15*12),Inputs!$E$24/12*(1+Inputs!$C$28)^(U$5-1),0)</f>
        <v>0</v>
      </c>
      <c r="V13" s="153">
        <f>IF(AND(V$3&gt;=Inputs!$C$29,V$3&lt;=Inputs!$C$15*12),Inputs!$E$24/12*(1+Inputs!$C$28)^(V$5-1),0)</f>
        <v>0</v>
      </c>
      <c r="W13" s="153">
        <f>IF(AND(W$3&gt;=Inputs!$C$29,W$3&lt;=Inputs!$C$15*12),Inputs!$E$24/12*(1+Inputs!$C$28)^(W$5-1),0)</f>
        <v>0</v>
      </c>
      <c r="X13" s="153">
        <f>IF(AND(X$3&gt;=Inputs!$C$29,X$3&lt;=Inputs!$C$15*12),Inputs!$E$24/12*(1+Inputs!$C$28)^(X$5-1),0)</f>
        <v>0</v>
      </c>
      <c r="Y13" s="153">
        <f>IF(AND(Y$3&gt;=Inputs!$C$29,Y$3&lt;=Inputs!$C$15*12),Inputs!$E$24/12*(1+Inputs!$C$28)^(Y$5-1),0)</f>
        <v>0</v>
      </c>
      <c r="Z13" s="153">
        <f>IF(AND(Z$3&gt;=Inputs!$C$29,Z$3&lt;=Inputs!$C$15*12),Inputs!$E$24/12*(1+Inputs!$C$28)^(Z$5-1),0)</f>
        <v>0</v>
      </c>
      <c r="AA13" s="153">
        <f>IF(AND(AA$3&gt;=Inputs!$C$29,AA$3&lt;=Inputs!$C$15*12),Inputs!$E$24/12*(1+Inputs!$C$28)^(AA$5-1),0)</f>
        <v>0</v>
      </c>
      <c r="AB13" s="153">
        <f>IF(AND(AB$3&gt;=Inputs!$C$29,AB$3&lt;=Inputs!$C$15*12),Inputs!$E$24/12*(1+Inputs!$C$28)^(AB$5-1),0)</f>
        <v>0</v>
      </c>
      <c r="AC13" s="153">
        <f>IF(AND(AC$3&gt;=Inputs!$C$29,AC$3&lt;=Inputs!$C$15*12),Inputs!$E$24/12*(1+Inputs!$C$28)^(AC$5-1),0)</f>
        <v>0</v>
      </c>
      <c r="AD13" s="153">
        <f>IF(AND(AD$3&gt;=Inputs!$C$29,AD$3&lt;=Inputs!$C$15*12),Inputs!$E$24/12*(1+Inputs!$C$28)^(AD$5-1),0)</f>
        <v>0</v>
      </c>
      <c r="AE13" s="153">
        <f>IF(AND(AE$3&gt;=Inputs!$C$29,AE$3&lt;=Inputs!$C$15*12),Inputs!$E$24/12*(1+Inputs!$C$28)^(AE$5-1),0)</f>
        <v>0</v>
      </c>
      <c r="AF13" s="153">
        <f>IF(AND(AF$3&gt;=Inputs!$C$29,AF$3&lt;=Inputs!$C$15*12),Inputs!$E$24/12*(1+Inputs!$C$28)^(AF$5-1),0)</f>
        <v>0</v>
      </c>
      <c r="AG13" s="153">
        <f>IF(AND(AG$3&gt;=Inputs!$C$29,AG$3&lt;=Inputs!$C$15*12),Inputs!$E$24/12*(1+Inputs!$C$28)^(AG$5-1),0)</f>
        <v>0</v>
      </c>
      <c r="AH13" s="153">
        <f>IF(AND(AH$3&gt;=Inputs!$C$29,AH$3&lt;=Inputs!$C$15*12),Inputs!$E$24/12*(1+Inputs!$C$28)^(AH$5-1),0)</f>
        <v>0</v>
      </c>
      <c r="AI13" s="153">
        <f>IF(AND(AI$3&gt;=Inputs!$C$29,AI$3&lt;=Inputs!$C$15*12),Inputs!$E$24/12*(1+Inputs!$C$28)^(AI$5-1),0)</f>
        <v>0</v>
      </c>
      <c r="AJ13" s="153">
        <f>IF(AND(AJ$3&gt;=Inputs!$C$29,AJ$3&lt;=Inputs!$C$15*12),Inputs!$E$24/12*(1+Inputs!$C$28)^(AJ$5-1),0)</f>
        <v>0</v>
      </c>
      <c r="AK13" s="153">
        <f>IF(AND(AK$3&gt;=Inputs!$C$29,AK$3&lt;=Inputs!$C$15*12),Inputs!$E$24/12*(1+Inputs!$C$28)^(AK$5-1),0)</f>
        <v>0</v>
      </c>
      <c r="AL13" s="153">
        <f>IF(AND(AL$3&gt;=Inputs!$C$29,AL$3&lt;=Inputs!$C$15*12),Inputs!$E$24/12*(1+Inputs!$C$28)^(AL$5-1),0)</f>
        <v>0</v>
      </c>
      <c r="AM13" s="153">
        <f>IF(AND(AM$3&gt;=Inputs!$C$29,AM$3&lt;=Inputs!$C$15*12),Inputs!$E$24/12*(1+Inputs!$C$28)^(AM$5-1),0)</f>
        <v>0</v>
      </c>
      <c r="AN13" s="153">
        <f>IF(AND(AN$3&gt;=Inputs!$C$29,AN$3&lt;=Inputs!$C$15*12),Inputs!$E$24/12*(1+Inputs!$C$28)^(AN$5-1),0)</f>
        <v>0</v>
      </c>
      <c r="AO13" s="153">
        <f>IF(AND(AO$3&gt;=Inputs!$C$29,AO$3&lt;=Inputs!$C$15*12),Inputs!$E$24/12*(1+Inputs!$C$28)^(AO$5-1),0)</f>
        <v>0</v>
      </c>
      <c r="AP13" s="153">
        <f>IF(AND(AP$3&gt;=Inputs!$C$29,AP$3&lt;=Inputs!$C$15*12),Inputs!$E$24/12*(1+Inputs!$C$28)^(AP$5-1),0)</f>
        <v>0</v>
      </c>
      <c r="AQ13" s="153">
        <f>IF(AND(AQ$3&gt;=Inputs!$C$29,AQ$3&lt;=Inputs!$C$15*12),Inputs!$E$24/12*(1+Inputs!$C$28)^(AQ$5-1),0)</f>
        <v>0</v>
      </c>
      <c r="AR13" s="153">
        <f>IF(AND(AR$3&gt;=Inputs!$C$29,AR$3&lt;=Inputs!$C$15*12),Inputs!$E$24/12*(1+Inputs!$C$28)^(AR$5-1),0)</f>
        <v>0</v>
      </c>
      <c r="AS13" s="153">
        <f>IF(AND(AS$3&gt;=Inputs!$C$29,AS$3&lt;=Inputs!$C$15*12),Inputs!$E$24/12*(1+Inputs!$C$28)^(AS$5-1),0)</f>
        <v>0</v>
      </c>
      <c r="AT13" s="153">
        <f>IF(AND(AT$3&gt;=Inputs!$C$29,AT$3&lt;=Inputs!$C$15*12),Inputs!$E$24/12*(1+Inputs!$C$28)^(AT$5-1),0)</f>
        <v>0</v>
      </c>
      <c r="AU13" s="153">
        <f>IF(AND(AU$3&gt;=Inputs!$C$29,AU$3&lt;=Inputs!$C$15*12),Inputs!$E$24/12*(1+Inputs!$C$28)^(AU$5-1),0)</f>
        <v>0</v>
      </c>
      <c r="AV13" s="153">
        <f>IF(AND(AV$3&gt;=Inputs!$C$29,AV$3&lt;=Inputs!$C$15*12),Inputs!$E$24/12*(1+Inputs!$C$28)^(AV$5-1),0)</f>
        <v>0</v>
      </c>
      <c r="AW13" s="153">
        <f>IF(AND(AW$3&gt;=Inputs!$C$29,AW$3&lt;=Inputs!$C$15*12),Inputs!$E$24/12*(1+Inputs!$C$28)^(AW$5-1),0)</f>
        <v>0</v>
      </c>
      <c r="AX13" s="153">
        <f>IF(AND(AX$3&gt;=Inputs!$C$29,AX$3&lt;=Inputs!$C$15*12),Inputs!$E$24/12*(1+Inputs!$C$28)^(AX$5-1),0)</f>
        <v>0</v>
      </c>
      <c r="AY13" s="153">
        <f>IF(AND(AY$3&gt;=Inputs!$C$29,AY$3&lt;=Inputs!$C$15*12),Inputs!$E$24/12*(1+Inputs!$C$28)^(AY$5-1),0)</f>
        <v>0</v>
      </c>
      <c r="AZ13" s="153">
        <f>IF(AND(AZ$3&gt;=Inputs!$C$29,AZ$3&lt;=Inputs!$C$15*12),Inputs!$E$24/12*(1+Inputs!$C$28)^(AZ$5-1),0)</f>
        <v>0</v>
      </c>
      <c r="BA13" s="153">
        <f>IF(AND(BA$3&gt;=Inputs!$C$29,BA$3&lt;=Inputs!$C$15*12),Inputs!$E$24/12*(1+Inputs!$C$28)^(BA$5-1),0)</f>
        <v>0</v>
      </c>
      <c r="BB13" s="153">
        <f>IF(AND(BB$3&gt;=Inputs!$C$29,BB$3&lt;=Inputs!$C$15*12),Inputs!$E$24/12*(1+Inputs!$C$28)^(BB$5-1),0)</f>
        <v>0</v>
      </c>
      <c r="BC13" s="153">
        <f>IF(AND(BC$3&gt;=Inputs!$C$29,BC$3&lt;=Inputs!$C$15*12),Inputs!$E$24/12*(1+Inputs!$C$28)^(BC$5-1),0)</f>
        <v>0</v>
      </c>
      <c r="BD13" s="153">
        <f>IF(AND(BD$3&gt;=Inputs!$C$29,BD$3&lt;=Inputs!$C$15*12),Inputs!$E$24/12*(1+Inputs!$C$28)^(BD$5-1),0)</f>
        <v>0</v>
      </c>
      <c r="BE13" s="153">
        <f>IF(AND(BE$3&gt;=Inputs!$C$29,BE$3&lt;=Inputs!$C$15*12),Inputs!$E$24/12*(1+Inputs!$C$28)^(BE$5-1),0)</f>
        <v>0</v>
      </c>
      <c r="BF13" s="153">
        <f>IF(AND(BF$3&gt;=Inputs!$C$29,BF$3&lt;=Inputs!$C$15*12),Inputs!$E$24/12*(1+Inputs!$C$28)^(BF$5-1),0)</f>
        <v>0</v>
      </c>
      <c r="BG13" s="153">
        <f>IF(AND(BG$3&gt;=Inputs!$C$29,BG$3&lt;=Inputs!$C$15*12),Inputs!$E$24/12*(1+Inputs!$C$28)^(BG$5-1),0)</f>
        <v>0</v>
      </c>
      <c r="BH13" s="153">
        <f>IF(AND(BH$3&gt;=Inputs!$C$29,BH$3&lt;=Inputs!$C$15*12),Inputs!$E$24/12*(1+Inputs!$C$28)^(BH$5-1),0)</f>
        <v>0</v>
      </c>
      <c r="BI13" s="153">
        <f>IF(AND(BI$3&gt;=Inputs!$C$29,BI$3&lt;=Inputs!$C$15*12),Inputs!$E$24/12*(1+Inputs!$C$28)^(BI$5-1),0)</f>
        <v>0</v>
      </c>
      <c r="BJ13" s="153">
        <f>IF(AND(BJ$3&gt;=Inputs!$C$29,BJ$3&lt;=Inputs!$C$15*12),Inputs!$E$24/12*(1+Inputs!$C$28)^(BJ$5-1),0)</f>
        <v>0</v>
      </c>
      <c r="BK13" s="153">
        <f>IF(AND(BK$3&gt;=Inputs!$C$29,BK$3&lt;=Inputs!$C$15*12),Inputs!$E$24/12*(1+Inputs!$C$28)^(BK$5-1),0)</f>
        <v>0</v>
      </c>
      <c r="BL13" s="153">
        <f>IF(AND(BL$3&gt;=Inputs!$C$29,BL$3&lt;=Inputs!$C$15*12),Inputs!$E$24/12*(1+Inputs!$C$28)^(BL$5-1),0)</f>
        <v>0</v>
      </c>
      <c r="BM13" s="153">
        <f>IF(AND(BM$3&gt;=Inputs!$C$29,BM$3&lt;=Inputs!$C$15*12),Inputs!$E$24/12*(1+Inputs!$C$28)^(BM$5-1),0)</f>
        <v>0</v>
      </c>
      <c r="BN13" s="153">
        <f>IF(AND(BN$3&gt;=Inputs!$C$29,BN$3&lt;=Inputs!$C$15*12),Inputs!$E$24/12*(1+Inputs!$C$28)^(BN$5-1),0)</f>
        <v>0</v>
      </c>
      <c r="BO13" s="153">
        <f>IF(AND(BO$3&gt;=Inputs!$C$29,BO$3&lt;=Inputs!$C$15*12),Inputs!$E$24/12*(1+Inputs!$C$28)^(BO$5-1),0)</f>
        <v>0</v>
      </c>
      <c r="BP13" s="153">
        <f>IF(AND(BP$3&gt;=Inputs!$C$29,BP$3&lt;=Inputs!$C$15*12),Inputs!$E$24/12*(1+Inputs!$C$28)^(BP$5-1),0)</f>
        <v>0</v>
      </c>
      <c r="BQ13" s="153">
        <f>IF(AND(BQ$3&gt;=Inputs!$C$29,BQ$3&lt;=Inputs!$C$15*12),Inputs!$E$24/12*(1+Inputs!$C$28)^(BQ$5-1),0)</f>
        <v>0</v>
      </c>
      <c r="BR13" s="153">
        <f>IF(AND(BR$3&gt;=Inputs!$C$29,BR$3&lt;=Inputs!$C$15*12),Inputs!$E$24/12*(1+Inputs!$C$28)^(BR$5-1),0)</f>
        <v>0</v>
      </c>
      <c r="BS13" s="153">
        <f>IF(AND(BS$3&gt;=Inputs!$C$29,BS$3&lt;=Inputs!$C$15*12),Inputs!$E$24/12*(1+Inputs!$C$28)^(BS$5-1),0)</f>
        <v>0</v>
      </c>
      <c r="BT13" s="153">
        <f>IF(AND(BT$3&gt;=Inputs!$C$29,BT$3&lt;=Inputs!$C$15*12),Inputs!$E$24/12*(1+Inputs!$C$28)^(BT$5-1),0)</f>
        <v>0</v>
      </c>
      <c r="BU13" s="153">
        <f>IF(AND(BU$3&gt;=Inputs!$C$29,BU$3&lt;=Inputs!$C$15*12),Inputs!$E$24/12*(1+Inputs!$C$28)^(BU$5-1),0)</f>
        <v>0</v>
      </c>
      <c r="BV13" s="153">
        <f>IF(AND(BV$3&gt;=Inputs!$C$29,BV$3&lt;=Inputs!$C$15*12),Inputs!$E$24/12*(1+Inputs!$C$28)^(BV$5-1),0)</f>
        <v>0</v>
      </c>
      <c r="BW13" s="153">
        <f>IF(AND(BW$3&gt;=Inputs!$C$29,BW$3&lt;=Inputs!$C$15*12),Inputs!$E$24/12*(1+Inputs!$C$28)^(BW$5-1),0)</f>
        <v>0</v>
      </c>
      <c r="BX13" s="153">
        <f>IF(AND(BX$3&gt;=Inputs!$C$29,BX$3&lt;=Inputs!$C$15*12),Inputs!$E$24/12*(1+Inputs!$C$28)^(BX$5-1),0)</f>
        <v>0</v>
      </c>
      <c r="BY13" s="153">
        <f>IF(AND(BY$3&gt;=Inputs!$C$29,BY$3&lt;=Inputs!$C$15*12),Inputs!$E$24/12*(1+Inputs!$C$28)^(BY$5-1),0)</f>
        <v>0</v>
      </c>
      <c r="BZ13" s="153">
        <f>IF(AND(BZ$3&gt;=Inputs!$C$29,BZ$3&lt;=Inputs!$C$15*12),Inputs!$E$24/12*(1+Inputs!$C$28)^(BZ$5-1),0)</f>
        <v>0</v>
      </c>
      <c r="CA13" s="153">
        <f>IF(AND(CA$3&gt;=Inputs!$C$29,CA$3&lt;=Inputs!$C$15*12),Inputs!$E$24/12*(1+Inputs!$C$28)^(CA$5-1),0)</f>
        <v>0</v>
      </c>
      <c r="CB13" s="153">
        <f>IF(AND(CB$3&gt;=Inputs!$C$29,CB$3&lt;=Inputs!$C$15*12),Inputs!$E$24/12*(1+Inputs!$C$28)^(CB$5-1),0)</f>
        <v>0</v>
      </c>
      <c r="CC13" s="153">
        <f>IF(AND(CC$3&gt;=Inputs!$C$29,CC$3&lt;=Inputs!$C$15*12),Inputs!$E$24/12*(1+Inputs!$C$28)^(CC$5-1),0)</f>
        <v>0</v>
      </c>
      <c r="CD13" s="153">
        <f>IF(AND(CD$3&gt;=Inputs!$C$29,CD$3&lt;=Inputs!$C$15*12),Inputs!$E$24/12*(1+Inputs!$C$28)^(CD$5-1),0)</f>
        <v>0</v>
      </c>
      <c r="CE13" s="153">
        <f>IF(AND(CE$3&gt;=Inputs!$C$29,CE$3&lt;=Inputs!$C$15*12),Inputs!$E$24/12*(1+Inputs!$C$28)^(CE$5-1),0)</f>
        <v>0</v>
      </c>
      <c r="CF13" s="153">
        <f>IF(AND(CF$3&gt;=Inputs!$C$29,CF$3&lt;=Inputs!$C$15*12),Inputs!$E$24/12*(1+Inputs!$C$28)^(CF$5-1),0)</f>
        <v>0</v>
      </c>
      <c r="CG13" s="153">
        <f>IF(AND(CG$3&gt;=Inputs!$C$29,CG$3&lt;=Inputs!$C$15*12),Inputs!$E$24/12*(1+Inputs!$C$28)^(CG$5-1),0)</f>
        <v>0</v>
      </c>
      <c r="CH13" s="153">
        <f>IF(AND(CH$3&gt;=Inputs!$C$29,CH$3&lt;=Inputs!$C$15*12),Inputs!$E$24/12*(1+Inputs!$C$28)^(CH$5-1),0)</f>
        <v>0</v>
      </c>
      <c r="CI13" s="153">
        <f>IF(AND(CI$3&gt;=Inputs!$C$29,CI$3&lt;=Inputs!$C$15*12),Inputs!$E$24/12*(1+Inputs!$C$28)^(CI$5-1),0)</f>
        <v>0</v>
      </c>
      <c r="CJ13" s="153">
        <f>IF(AND(CJ$3&gt;=Inputs!$C$29,CJ$3&lt;=Inputs!$C$15*12),Inputs!$E$24/12*(1+Inputs!$C$28)^(CJ$5-1),0)</f>
        <v>0</v>
      </c>
      <c r="CK13" s="153">
        <f>IF(AND(CK$3&gt;=Inputs!$C$29,CK$3&lt;=Inputs!$C$15*12),Inputs!$E$24/12*(1+Inputs!$C$28)^(CK$5-1),0)</f>
        <v>0</v>
      </c>
      <c r="CL13" s="153">
        <f>IF(AND(CL$3&gt;=Inputs!$C$29,CL$3&lt;=Inputs!$C$15*12),Inputs!$E$24/12*(1+Inputs!$C$28)^(CL$5-1),0)</f>
        <v>0</v>
      </c>
      <c r="CM13" s="153">
        <f>IF(AND(CM$3&gt;=Inputs!$C$29,CM$3&lt;=Inputs!$C$15*12),Inputs!$E$24/12*(1+Inputs!$C$28)^(CM$5-1),0)</f>
        <v>0</v>
      </c>
      <c r="CN13" s="153">
        <f>IF(AND(CN$3&gt;=Inputs!$C$29,CN$3&lt;=Inputs!$C$15*12),Inputs!$E$24/12*(1+Inputs!$C$28)^(CN$5-1),0)</f>
        <v>0</v>
      </c>
      <c r="CO13" s="153">
        <f>IF(AND(CO$3&gt;=Inputs!$C$29,CO$3&lt;=Inputs!$C$15*12),Inputs!$E$24/12*(1+Inputs!$C$28)^(CO$5-1),0)</f>
        <v>0</v>
      </c>
      <c r="CP13" s="153">
        <f>IF(AND(CP$3&gt;=Inputs!$C$29,CP$3&lt;=Inputs!$C$15*12),Inputs!$E$24/12*(1+Inputs!$C$28)^(CP$5-1),0)</f>
        <v>0</v>
      </c>
      <c r="CQ13" s="153">
        <f>IF(AND(CQ$3&gt;=Inputs!$C$29,CQ$3&lt;=Inputs!$C$15*12),Inputs!$E$24/12*(1+Inputs!$C$28)^(CQ$5-1),0)</f>
        <v>0</v>
      </c>
      <c r="CR13" s="153">
        <f>IF(AND(CR$3&gt;=Inputs!$C$29,CR$3&lt;=Inputs!$C$15*12),Inputs!$E$24/12*(1+Inputs!$C$28)^(CR$5-1),0)</f>
        <v>0</v>
      </c>
      <c r="CS13" s="153">
        <f>IF(AND(CS$3&gt;=Inputs!$C$29,CS$3&lt;=Inputs!$C$15*12),Inputs!$E$24/12*(1+Inputs!$C$28)^(CS$5-1),0)</f>
        <v>0</v>
      </c>
      <c r="CT13" s="153">
        <f>IF(AND(CT$3&gt;=Inputs!$C$29,CT$3&lt;=Inputs!$C$15*12),Inputs!$E$24/12*(1+Inputs!$C$28)^(CT$5-1),0)</f>
        <v>0</v>
      </c>
      <c r="CU13" s="153">
        <f>IF(AND(CU$3&gt;=Inputs!$C$29,CU$3&lt;=Inputs!$C$15*12),Inputs!$E$24/12*(1+Inputs!$C$28)^(CU$5-1),0)</f>
        <v>0</v>
      </c>
      <c r="CV13" s="153">
        <f>IF(AND(CV$3&gt;=Inputs!$C$29,CV$3&lt;=Inputs!$C$15*12),Inputs!$E$24/12*(1+Inputs!$C$28)^(CV$5-1),0)</f>
        <v>0</v>
      </c>
      <c r="CW13" s="153">
        <f>IF(AND(CW$3&gt;=Inputs!$C$29,CW$3&lt;=Inputs!$C$15*12),Inputs!$E$24/12*(1+Inputs!$C$28)^(CW$5-1),0)</f>
        <v>0</v>
      </c>
      <c r="CX13" s="153">
        <f>IF(AND(CX$3&gt;=Inputs!$C$29,CX$3&lt;=Inputs!$C$15*12),Inputs!$E$24/12*(1+Inputs!$C$28)^(CX$5-1),0)</f>
        <v>0</v>
      </c>
      <c r="CY13" s="153">
        <f>IF(AND(CY$3&gt;=Inputs!$C$29,CY$3&lt;=Inputs!$C$15*12),Inputs!$E$24/12*(1+Inputs!$C$28)^(CY$5-1),0)</f>
        <v>0</v>
      </c>
      <c r="CZ13" s="153">
        <f>IF(AND(CZ$3&gt;=Inputs!$C$29,CZ$3&lt;=Inputs!$C$15*12),Inputs!$E$24/12*(1+Inputs!$C$28)^(CZ$5-1),0)</f>
        <v>0</v>
      </c>
      <c r="DA13" s="153">
        <f>IF(AND(DA$3&gt;=Inputs!$C$29,DA$3&lt;=Inputs!$C$15*12),Inputs!$E$24/12*(1+Inputs!$C$28)^(DA$5-1),0)</f>
        <v>0</v>
      </c>
      <c r="DB13" s="153">
        <f>IF(AND(DB$3&gt;=Inputs!$C$29,DB$3&lt;=Inputs!$C$15*12),Inputs!$E$24/12*(1+Inputs!$C$28)^(DB$5-1),0)</f>
        <v>0</v>
      </c>
      <c r="DC13" s="153">
        <f>IF(AND(DC$3&gt;=Inputs!$C$29,DC$3&lt;=Inputs!$C$15*12),Inputs!$E$24/12*(1+Inputs!$C$28)^(DC$5-1),0)</f>
        <v>0</v>
      </c>
      <c r="DD13" s="153">
        <f>IF(AND(DD$3&gt;=Inputs!$C$29,DD$3&lt;=Inputs!$C$15*12),Inputs!$E$24/12*(1+Inputs!$C$28)^(DD$5-1),0)</f>
        <v>0</v>
      </c>
      <c r="DE13" s="153">
        <f>IF(AND(DE$3&gt;=Inputs!$C$29,DE$3&lt;=Inputs!$C$15*12),Inputs!$E$24/12*(1+Inputs!$C$28)^(DE$5-1),0)</f>
        <v>0</v>
      </c>
      <c r="DF13" s="153">
        <f>IF(AND(DF$3&gt;=Inputs!$C$29,DF$3&lt;=Inputs!$C$15*12),Inputs!$E$24/12*(1+Inputs!$C$28)^(DF$5-1),0)</f>
        <v>0</v>
      </c>
      <c r="DG13" s="153">
        <f>IF(AND(DG$3&gt;=Inputs!$C$29,DG$3&lt;=Inputs!$C$15*12),Inputs!$E$24/12*(1+Inputs!$C$28)^(DG$5-1),0)</f>
        <v>0</v>
      </c>
      <c r="DH13" s="153">
        <f>IF(AND(DH$3&gt;=Inputs!$C$29,DH$3&lt;=Inputs!$C$15*12),Inputs!$E$24/12*(1+Inputs!$C$28)^(DH$5-1),0)</f>
        <v>0</v>
      </c>
      <c r="DI13" s="153">
        <f>IF(AND(DI$3&gt;=Inputs!$C$29,DI$3&lt;=Inputs!$C$15*12),Inputs!$E$24/12*(1+Inputs!$C$28)^(DI$5-1),0)</f>
        <v>0</v>
      </c>
      <c r="DJ13" s="153">
        <f>IF(AND(DJ$3&gt;=Inputs!$C$29,DJ$3&lt;=Inputs!$C$15*12),Inputs!$E$24/12*(1+Inputs!$C$28)^(DJ$5-1),0)</f>
        <v>0</v>
      </c>
      <c r="DK13" s="153">
        <f>IF(AND(DK$3&gt;=Inputs!$C$29,DK$3&lt;=Inputs!$C$15*12),Inputs!$E$24/12*(1+Inputs!$C$28)^(DK$5-1),0)</f>
        <v>0</v>
      </c>
      <c r="DL13" s="153">
        <f>IF(AND(DL$3&gt;=Inputs!$C$29,DL$3&lt;=Inputs!$C$15*12),Inputs!$E$24/12*(1+Inputs!$C$28)^(DL$5-1),0)</f>
        <v>0</v>
      </c>
      <c r="DM13" s="153">
        <f>IF(AND(DM$3&gt;=Inputs!$C$29,DM$3&lt;=Inputs!$C$15*12),Inputs!$E$24/12*(1+Inputs!$C$28)^(DM$5-1),0)</f>
        <v>0</v>
      </c>
      <c r="DN13" s="153">
        <f>IF(AND(DN$3&gt;=Inputs!$C$29,DN$3&lt;=Inputs!$C$15*12),Inputs!$E$24/12*(1+Inputs!$C$28)^(DN$5-1),0)</f>
        <v>0</v>
      </c>
      <c r="DO13" s="153">
        <f>IF(AND(DO$3&gt;=Inputs!$C$29,DO$3&lt;=Inputs!$C$15*12),Inputs!$E$24/12*(1+Inputs!$C$28)^(DO$5-1),0)</f>
        <v>0</v>
      </c>
      <c r="DP13" s="153">
        <f>IF(AND(DP$3&gt;=Inputs!$C$29,DP$3&lt;=Inputs!$C$15*12),Inputs!$E$24/12*(1+Inputs!$C$28)^(DP$5-1),0)</f>
        <v>0</v>
      </c>
      <c r="DQ13" s="153">
        <f>IF(AND(DQ$3&gt;=Inputs!$C$29,DQ$3&lt;=Inputs!$C$15*12),Inputs!$E$24/12*(1+Inputs!$C$28)^(DQ$5-1),0)</f>
        <v>0</v>
      </c>
      <c r="DR13" s="153">
        <f>IF(AND(DR$3&gt;=Inputs!$C$29,DR$3&lt;=Inputs!$C$15*12),Inputs!$E$24/12*(1+Inputs!$C$28)^(DR$5-1),0)</f>
        <v>0</v>
      </c>
      <c r="DS13" s="54"/>
    </row>
    <row r="14" ht="15.0" customHeight="1">
      <c r="A14" s="54"/>
      <c r="B14" s="56" t="str">
        <f>Inputs!B25</f>
        <v>  Other Income – Misc</v>
      </c>
      <c r="C14" s="152">
        <f>IF(AND(C$3&gt;=Inputs!$C$29,C$3&lt;=Inputs!$C$15*12),Inputs!$E$25/12*(1+Inputs!$C$28)^(C$5-1),0)</f>
        <v>0</v>
      </c>
      <c r="D14" s="153">
        <f>IF(AND(D$3&gt;=Inputs!$C$29,D$3&lt;=Inputs!$C$15*12),Inputs!$E$25/12*(1+Inputs!$C$28)^(D$5-1),0)</f>
        <v>0</v>
      </c>
      <c r="E14" s="153">
        <f>IF(AND(E$3&gt;=Inputs!$C$29,E$3&lt;=Inputs!$C$15*12),Inputs!$E$25/12*(1+Inputs!$C$28)^(E$5-1),0)</f>
        <v>0</v>
      </c>
      <c r="F14" s="153">
        <f>IF(AND(F$3&gt;=Inputs!$C$29,F$3&lt;=Inputs!$C$15*12),Inputs!$E$25/12*(1+Inputs!$C$28)^(F$5-1),0)</f>
        <v>0</v>
      </c>
      <c r="G14" s="153">
        <f>IF(AND(G$3&gt;=Inputs!$C$29,G$3&lt;=Inputs!$C$15*12),Inputs!$E$25/12*(1+Inputs!$C$28)^(G$5-1),0)</f>
        <v>0</v>
      </c>
      <c r="H14" s="153">
        <f>IF(AND(H$3&gt;=Inputs!$C$29,H$3&lt;=Inputs!$C$15*12),Inputs!$E$25/12*(1+Inputs!$C$28)^(H$5-1),0)</f>
        <v>0</v>
      </c>
      <c r="I14" s="153">
        <f>IF(AND(I$3&gt;=Inputs!$C$29,I$3&lt;=Inputs!$C$15*12),Inputs!$E$25/12*(1+Inputs!$C$28)^(I$5-1),0)</f>
        <v>0</v>
      </c>
      <c r="J14" s="153">
        <f>IF(AND(J$3&gt;=Inputs!$C$29,J$3&lt;=Inputs!$C$15*12),Inputs!$E$25/12*(1+Inputs!$C$28)^(J$5-1),0)</f>
        <v>0</v>
      </c>
      <c r="K14" s="153">
        <f>IF(AND(K$3&gt;=Inputs!$C$29,K$3&lt;=Inputs!$C$15*12),Inputs!$E$25/12*(1+Inputs!$C$28)^(K$5-1),0)</f>
        <v>0</v>
      </c>
      <c r="L14" s="153">
        <f>IF(AND(L$3&gt;=Inputs!$C$29,L$3&lt;=Inputs!$C$15*12),Inputs!$E$25/12*(1+Inputs!$C$28)^(L$5-1),0)</f>
        <v>0</v>
      </c>
      <c r="M14" s="153">
        <f>IF(AND(M$3&gt;=Inputs!$C$29,M$3&lt;=Inputs!$C$15*12),Inputs!$E$25/12*(1+Inputs!$C$28)^(M$5-1),0)</f>
        <v>0</v>
      </c>
      <c r="N14" s="153">
        <f>IF(AND(N$3&gt;=Inputs!$C$29,N$3&lt;=Inputs!$C$15*12),Inputs!$E$25/12*(1+Inputs!$C$28)^(N$5-1),0)</f>
        <v>0</v>
      </c>
      <c r="O14" s="153">
        <f>IF(AND(O$3&gt;=Inputs!$C$29,O$3&lt;=Inputs!$C$15*12),Inputs!$E$25/12*(1+Inputs!$C$28)^(O$5-1),0)</f>
        <v>0</v>
      </c>
      <c r="P14" s="153">
        <f>IF(AND(P$3&gt;=Inputs!$C$29,P$3&lt;=Inputs!$C$15*12),Inputs!$E$25/12*(1+Inputs!$C$28)^(P$5-1),0)</f>
        <v>0</v>
      </c>
      <c r="Q14" s="153">
        <f>IF(AND(Q$3&gt;=Inputs!$C$29,Q$3&lt;=Inputs!$C$15*12),Inputs!$E$25/12*(1+Inputs!$C$28)^(Q$5-1),0)</f>
        <v>0</v>
      </c>
      <c r="R14" s="153">
        <f>IF(AND(R$3&gt;=Inputs!$C$29,R$3&lt;=Inputs!$C$15*12),Inputs!$E$25/12*(1+Inputs!$C$28)^(R$5-1),0)</f>
        <v>0</v>
      </c>
      <c r="S14" s="153">
        <f>IF(AND(S$3&gt;=Inputs!$C$29,S$3&lt;=Inputs!$C$15*12),Inputs!$E$25/12*(1+Inputs!$C$28)^(S$5-1),0)</f>
        <v>0</v>
      </c>
      <c r="T14" s="153">
        <f>IF(AND(T$3&gt;=Inputs!$C$29,T$3&lt;=Inputs!$C$15*12),Inputs!$E$25/12*(1+Inputs!$C$28)^(T$5-1),0)</f>
        <v>0</v>
      </c>
      <c r="U14" s="153">
        <f>IF(AND(U$3&gt;=Inputs!$C$29,U$3&lt;=Inputs!$C$15*12),Inputs!$E$25/12*(1+Inputs!$C$28)^(U$5-1),0)</f>
        <v>0</v>
      </c>
      <c r="V14" s="153">
        <f>IF(AND(V$3&gt;=Inputs!$C$29,V$3&lt;=Inputs!$C$15*12),Inputs!$E$25/12*(1+Inputs!$C$28)^(V$5-1),0)</f>
        <v>0</v>
      </c>
      <c r="W14" s="153">
        <f>IF(AND(W$3&gt;=Inputs!$C$29,W$3&lt;=Inputs!$C$15*12),Inputs!$E$25/12*(1+Inputs!$C$28)^(W$5-1),0)</f>
        <v>0</v>
      </c>
      <c r="X14" s="153">
        <f>IF(AND(X$3&gt;=Inputs!$C$29,X$3&lt;=Inputs!$C$15*12),Inputs!$E$25/12*(1+Inputs!$C$28)^(X$5-1),0)</f>
        <v>0</v>
      </c>
      <c r="Y14" s="153">
        <f>IF(AND(Y$3&gt;=Inputs!$C$29,Y$3&lt;=Inputs!$C$15*12),Inputs!$E$25/12*(1+Inputs!$C$28)^(Y$5-1),0)</f>
        <v>0</v>
      </c>
      <c r="Z14" s="153">
        <f>IF(AND(Z$3&gt;=Inputs!$C$29,Z$3&lt;=Inputs!$C$15*12),Inputs!$E$25/12*(1+Inputs!$C$28)^(Z$5-1),0)</f>
        <v>0</v>
      </c>
      <c r="AA14" s="153">
        <f>IF(AND(AA$3&gt;=Inputs!$C$29,AA$3&lt;=Inputs!$C$15*12),Inputs!$E$25/12*(1+Inputs!$C$28)^(AA$5-1),0)</f>
        <v>0</v>
      </c>
      <c r="AB14" s="153">
        <f>IF(AND(AB$3&gt;=Inputs!$C$29,AB$3&lt;=Inputs!$C$15*12),Inputs!$E$25/12*(1+Inputs!$C$28)^(AB$5-1),0)</f>
        <v>0</v>
      </c>
      <c r="AC14" s="153">
        <f>IF(AND(AC$3&gt;=Inputs!$C$29,AC$3&lt;=Inputs!$C$15*12),Inputs!$E$25/12*(1+Inputs!$C$28)^(AC$5-1),0)</f>
        <v>0</v>
      </c>
      <c r="AD14" s="153">
        <f>IF(AND(AD$3&gt;=Inputs!$C$29,AD$3&lt;=Inputs!$C$15*12),Inputs!$E$25/12*(1+Inputs!$C$28)^(AD$5-1),0)</f>
        <v>0</v>
      </c>
      <c r="AE14" s="153">
        <f>IF(AND(AE$3&gt;=Inputs!$C$29,AE$3&lt;=Inputs!$C$15*12),Inputs!$E$25/12*(1+Inputs!$C$28)^(AE$5-1),0)</f>
        <v>0</v>
      </c>
      <c r="AF14" s="153">
        <f>IF(AND(AF$3&gt;=Inputs!$C$29,AF$3&lt;=Inputs!$C$15*12),Inputs!$E$25/12*(1+Inputs!$C$28)^(AF$5-1),0)</f>
        <v>0</v>
      </c>
      <c r="AG14" s="153">
        <f>IF(AND(AG$3&gt;=Inputs!$C$29,AG$3&lt;=Inputs!$C$15*12),Inputs!$E$25/12*(1+Inputs!$C$28)^(AG$5-1),0)</f>
        <v>0</v>
      </c>
      <c r="AH14" s="153">
        <f>IF(AND(AH$3&gt;=Inputs!$C$29,AH$3&lt;=Inputs!$C$15*12),Inputs!$E$25/12*(1+Inputs!$C$28)^(AH$5-1),0)</f>
        <v>0</v>
      </c>
      <c r="AI14" s="153">
        <f>IF(AND(AI$3&gt;=Inputs!$C$29,AI$3&lt;=Inputs!$C$15*12),Inputs!$E$25/12*(1+Inputs!$C$28)^(AI$5-1),0)</f>
        <v>0</v>
      </c>
      <c r="AJ14" s="153">
        <f>IF(AND(AJ$3&gt;=Inputs!$C$29,AJ$3&lt;=Inputs!$C$15*12),Inputs!$E$25/12*(1+Inputs!$C$28)^(AJ$5-1),0)</f>
        <v>0</v>
      </c>
      <c r="AK14" s="153">
        <f>IF(AND(AK$3&gt;=Inputs!$C$29,AK$3&lt;=Inputs!$C$15*12),Inputs!$E$25/12*(1+Inputs!$C$28)^(AK$5-1),0)</f>
        <v>0</v>
      </c>
      <c r="AL14" s="153">
        <f>IF(AND(AL$3&gt;=Inputs!$C$29,AL$3&lt;=Inputs!$C$15*12),Inputs!$E$25/12*(1+Inputs!$C$28)^(AL$5-1),0)</f>
        <v>0</v>
      </c>
      <c r="AM14" s="153">
        <f>IF(AND(AM$3&gt;=Inputs!$C$29,AM$3&lt;=Inputs!$C$15*12),Inputs!$E$25/12*(1+Inputs!$C$28)^(AM$5-1),0)</f>
        <v>0</v>
      </c>
      <c r="AN14" s="153">
        <f>IF(AND(AN$3&gt;=Inputs!$C$29,AN$3&lt;=Inputs!$C$15*12),Inputs!$E$25/12*(1+Inputs!$C$28)^(AN$5-1),0)</f>
        <v>0</v>
      </c>
      <c r="AO14" s="153">
        <f>IF(AND(AO$3&gt;=Inputs!$C$29,AO$3&lt;=Inputs!$C$15*12),Inputs!$E$25/12*(1+Inputs!$C$28)^(AO$5-1),0)</f>
        <v>0</v>
      </c>
      <c r="AP14" s="153">
        <f>IF(AND(AP$3&gt;=Inputs!$C$29,AP$3&lt;=Inputs!$C$15*12),Inputs!$E$25/12*(1+Inputs!$C$28)^(AP$5-1),0)</f>
        <v>0</v>
      </c>
      <c r="AQ14" s="153">
        <f>IF(AND(AQ$3&gt;=Inputs!$C$29,AQ$3&lt;=Inputs!$C$15*12),Inputs!$E$25/12*(1+Inputs!$C$28)^(AQ$5-1),0)</f>
        <v>0</v>
      </c>
      <c r="AR14" s="153">
        <f>IF(AND(AR$3&gt;=Inputs!$C$29,AR$3&lt;=Inputs!$C$15*12),Inputs!$E$25/12*(1+Inputs!$C$28)^(AR$5-1),0)</f>
        <v>0</v>
      </c>
      <c r="AS14" s="153">
        <f>IF(AND(AS$3&gt;=Inputs!$C$29,AS$3&lt;=Inputs!$C$15*12),Inputs!$E$25/12*(1+Inputs!$C$28)^(AS$5-1),0)</f>
        <v>0</v>
      </c>
      <c r="AT14" s="153">
        <f>IF(AND(AT$3&gt;=Inputs!$C$29,AT$3&lt;=Inputs!$C$15*12),Inputs!$E$25/12*(1+Inputs!$C$28)^(AT$5-1),0)</f>
        <v>0</v>
      </c>
      <c r="AU14" s="153">
        <f>IF(AND(AU$3&gt;=Inputs!$C$29,AU$3&lt;=Inputs!$C$15*12),Inputs!$E$25/12*(1+Inputs!$C$28)^(AU$5-1),0)</f>
        <v>0</v>
      </c>
      <c r="AV14" s="153">
        <f>IF(AND(AV$3&gt;=Inputs!$C$29,AV$3&lt;=Inputs!$C$15*12),Inputs!$E$25/12*(1+Inputs!$C$28)^(AV$5-1),0)</f>
        <v>0</v>
      </c>
      <c r="AW14" s="153">
        <f>IF(AND(AW$3&gt;=Inputs!$C$29,AW$3&lt;=Inputs!$C$15*12),Inputs!$E$25/12*(1+Inputs!$C$28)^(AW$5-1),0)</f>
        <v>0</v>
      </c>
      <c r="AX14" s="153">
        <f>IF(AND(AX$3&gt;=Inputs!$C$29,AX$3&lt;=Inputs!$C$15*12),Inputs!$E$25/12*(1+Inputs!$C$28)^(AX$5-1),0)</f>
        <v>0</v>
      </c>
      <c r="AY14" s="153">
        <f>IF(AND(AY$3&gt;=Inputs!$C$29,AY$3&lt;=Inputs!$C$15*12),Inputs!$E$25/12*(1+Inputs!$C$28)^(AY$5-1),0)</f>
        <v>0</v>
      </c>
      <c r="AZ14" s="153">
        <f>IF(AND(AZ$3&gt;=Inputs!$C$29,AZ$3&lt;=Inputs!$C$15*12),Inputs!$E$25/12*(1+Inputs!$C$28)^(AZ$5-1),0)</f>
        <v>0</v>
      </c>
      <c r="BA14" s="153">
        <f>IF(AND(BA$3&gt;=Inputs!$C$29,BA$3&lt;=Inputs!$C$15*12),Inputs!$E$25/12*(1+Inputs!$C$28)^(BA$5-1),0)</f>
        <v>0</v>
      </c>
      <c r="BB14" s="153">
        <f>IF(AND(BB$3&gt;=Inputs!$C$29,BB$3&lt;=Inputs!$C$15*12),Inputs!$E$25/12*(1+Inputs!$C$28)^(BB$5-1),0)</f>
        <v>0</v>
      </c>
      <c r="BC14" s="153">
        <f>IF(AND(BC$3&gt;=Inputs!$C$29,BC$3&lt;=Inputs!$C$15*12),Inputs!$E$25/12*(1+Inputs!$C$28)^(BC$5-1),0)</f>
        <v>0</v>
      </c>
      <c r="BD14" s="153">
        <f>IF(AND(BD$3&gt;=Inputs!$C$29,BD$3&lt;=Inputs!$C$15*12),Inputs!$E$25/12*(1+Inputs!$C$28)^(BD$5-1),0)</f>
        <v>0</v>
      </c>
      <c r="BE14" s="153">
        <f>IF(AND(BE$3&gt;=Inputs!$C$29,BE$3&lt;=Inputs!$C$15*12),Inputs!$E$25/12*(1+Inputs!$C$28)^(BE$5-1),0)</f>
        <v>0</v>
      </c>
      <c r="BF14" s="153">
        <f>IF(AND(BF$3&gt;=Inputs!$C$29,BF$3&lt;=Inputs!$C$15*12),Inputs!$E$25/12*(1+Inputs!$C$28)^(BF$5-1),0)</f>
        <v>0</v>
      </c>
      <c r="BG14" s="153">
        <f>IF(AND(BG$3&gt;=Inputs!$C$29,BG$3&lt;=Inputs!$C$15*12),Inputs!$E$25/12*(1+Inputs!$C$28)^(BG$5-1),0)</f>
        <v>0</v>
      </c>
      <c r="BH14" s="153">
        <f>IF(AND(BH$3&gt;=Inputs!$C$29,BH$3&lt;=Inputs!$C$15*12),Inputs!$E$25/12*(1+Inputs!$C$28)^(BH$5-1),0)</f>
        <v>0</v>
      </c>
      <c r="BI14" s="153">
        <f>IF(AND(BI$3&gt;=Inputs!$C$29,BI$3&lt;=Inputs!$C$15*12),Inputs!$E$25/12*(1+Inputs!$C$28)^(BI$5-1),0)</f>
        <v>0</v>
      </c>
      <c r="BJ14" s="153">
        <f>IF(AND(BJ$3&gt;=Inputs!$C$29,BJ$3&lt;=Inputs!$C$15*12),Inputs!$E$25/12*(1+Inputs!$C$28)^(BJ$5-1),0)</f>
        <v>0</v>
      </c>
      <c r="BK14" s="153">
        <f>IF(AND(BK$3&gt;=Inputs!$C$29,BK$3&lt;=Inputs!$C$15*12),Inputs!$E$25/12*(1+Inputs!$C$28)^(BK$5-1),0)</f>
        <v>0</v>
      </c>
      <c r="BL14" s="153">
        <f>IF(AND(BL$3&gt;=Inputs!$C$29,BL$3&lt;=Inputs!$C$15*12),Inputs!$E$25/12*(1+Inputs!$C$28)^(BL$5-1),0)</f>
        <v>0</v>
      </c>
      <c r="BM14" s="153">
        <f>IF(AND(BM$3&gt;=Inputs!$C$29,BM$3&lt;=Inputs!$C$15*12),Inputs!$E$25/12*(1+Inputs!$C$28)^(BM$5-1),0)</f>
        <v>0</v>
      </c>
      <c r="BN14" s="153">
        <f>IF(AND(BN$3&gt;=Inputs!$C$29,BN$3&lt;=Inputs!$C$15*12),Inputs!$E$25/12*(1+Inputs!$C$28)^(BN$5-1),0)</f>
        <v>0</v>
      </c>
      <c r="BO14" s="153">
        <f>IF(AND(BO$3&gt;=Inputs!$C$29,BO$3&lt;=Inputs!$C$15*12),Inputs!$E$25/12*(1+Inputs!$C$28)^(BO$5-1),0)</f>
        <v>0</v>
      </c>
      <c r="BP14" s="153">
        <f>IF(AND(BP$3&gt;=Inputs!$C$29,BP$3&lt;=Inputs!$C$15*12),Inputs!$E$25/12*(1+Inputs!$C$28)^(BP$5-1),0)</f>
        <v>0</v>
      </c>
      <c r="BQ14" s="153">
        <f>IF(AND(BQ$3&gt;=Inputs!$C$29,BQ$3&lt;=Inputs!$C$15*12),Inputs!$E$25/12*(1+Inputs!$C$28)^(BQ$5-1),0)</f>
        <v>0</v>
      </c>
      <c r="BR14" s="153">
        <f>IF(AND(BR$3&gt;=Inputs!$C$29,BR$3&lt;=Inputs!$C$15*12),Inputs!$E$25/12*(1+Inputs!$C$28)^(BR$5-1),0)</f>
        <v>0</v>
      </c>
      <c r="BS14" s="153">
        <f>IF(AND(BS$3&gt;=Inputs!$C$29,BS$3&lt;=Inputs!$C$15*12),Inputs!$E$25/12*(1+Inputs!$C$28)^(BS$5-1),0)</f>
        <v>0</v>
      </c>
      <c r="BT14" s="153">
        <f>IF(AND(BT$3&gt;=Inputs!$C$29,BT$3&lt;=Inputs!$C$15*12),Inputs!$E$25/12*(1+Inputs!$C$28)^(BT$5-1),0)</f>
        <v>0</v>
      </c>
      <c r="BU14" s="153">
        <f>IF(AND(BU$3&gt;=Inputs!$C$29,BU$3&lt;=Inputs!$C$15*12),Inputs!$E$25/12*(1+Inputs!$C$28)^(BU$5-1),0)</f>
        <v>0</v>
      </c>
      <c r="BV14" s="153">
        <f>IF(AND(BV$3&gt;=Inputs!$C$29,BV$3&lt;=Inputs!$C$15*12),Inputs!$E$25/12*(1+Inputs!$C$28)^(BV$5-1),0)</f>
        <v>0</v>
      </c>
      <c r="BW14" s="153">
        <f>IF(AND(BW$3&gt;=Inputs!$C$29,BW$3&lt;=Inputs!$C$15*12),Inputs!$E$25/12*(1+Inputs!$C$28)^(BW$5-1),0)</f>
        <v>0</v>
      </c>
      <c r="BX14" s="153">
        <f>IF(AND(BX$3&gt;=Inputs!$C$29,BX$3&lt;=Inputs!$C$15*12),Inputs!$E$25/12*(1+Inputs!$C$28)^(BX$5-1),0)</f>
        <v>0</v>
      </c>
      <c r="BY14" s="153">
        <f>IF(AND(BY$3&gt;=Inputs!$C$29,BY$3&lt;=Inputs!$C$15*12),Inputs!$E$25/12*(1+Inputs!$C$28)^(BY$5-1),0)</f>
        <v>0</v>
      </c>
      <c r="BZ14" s="153">
        <f>IF(AND(BZ$3&gt;=Inputs!$C$29,BZ$3&lt;=Inputs!$C$15*12),Inputs!$E$25/12*(1+Inputs!$C$28)^(BZ$5-1),0)</f>
        <v>0</v>
      </c>
      <c r="CA14" s="153">
        <f>IF(AND(CA$3&gt;=Inputs!$C$29,CA$3&lt;=Inputs!$C$15*12),Inputs!$E$25/12*(1+Inputs!$C$28)^(CA$5-1),0)</f>
        <v>0</v>
      </c>
      <c r="CB14" s="153">
        <f>IF(AND(CB$3&gt;=Inputs!$C$29,CB$3&lt;=Inputs!$C$15*12),Inputs!$E$25/12*(1+Inputs!$C$28)^(CB$5-1),0)</f>
        <v>0</v>
      </c>
      <c r="CC14" s="153">
        <f>IF(AND(CC$3&gt;=Inputs!$C$29,CC$3&lt;=Inputs!$C$15*12),Inputs!$E$25/12*(1+Inputs!$C$28)^(CC$5-1),0)</f>
        <v>0</v>
      </c>
      <c r="CD14" s="153">
        <f>IF(AND(CD$3&gt;=Inputs!$C$29,CD$3&lt;=Inputs!$C$15*12),Inputs!$E$25/12*(1+Inputs!$C$28)^(CD$5-1),0)</f>
        <v>0</v>
      </c>
      <c r="CE14" s="153">
        <f>IF(AND(CE$3&gt;=Inputs!$C$29,CE$3&lt;=Inputs!$C$15*12),Inputs!$E$25/12*(1+Inputs!$C$28)^(CE$5-1),0)</f>
        <v>0</v>
      </c>
      <c r="CF14" s="153">
        <f>IF(AND(CF$3&gt;=Inputs!$C$29,CF$3&lt;=Inputs!$C$15*12),Inputs!$E$25/12*(1+Inputs!$C$28)^(CF$5-1),0)</f>
        <v>0</v>
      </c>
      <c r="CG14" s="153">
        <f>IF(AND(CG$3&gt;=Inputs!$C$29,CG$3&lt;=Inputs!$C$15*12),Inputs!$E$25/12*(1+Inputs!$C$28)^(CG$5-1),0)</f>
        <v>0</v>
      </c>
      <c r="CH14" s="153">
        <f>IF(AND(CH$3&gt;=Inputs!$C$29,CH$3&lt;=Inputs!$C$15*12),Inputs!$E$25/12*(1+Inputs!$C$28)^(CH$5-1),0)</f>
        <v>0</v>
      </c>
      <c r="CI14" s="153">
        <f>IF(AND(CI$3&gt;=Inputs!$C$29,CI$3&lt;=Inputs!$C$15*12),Inputs!$E$25/12*(1+Inputs!$C$28)^(CI$5-1),0)</f>
        <v>0</v>
      </c>
      <c r="CJ14" s="153">
        <f>IF(AND(CJ$3&gt;=Inputs!$C$29,CJ$3&lt;=Inputs!$C$15*12),Inputs!$E$25/12*(1+Inputs!$C$28)^(CJ$5-1),0)</f>
        <v>0</v>
      </c>
      <c r="CK14" s="153">
        <f>IF(AND(CK$3&gt;=Inputs!$C$29,CK$3&lt;=Inputs!$C$15*12),Inputs!$E$25/12*(1+Inputs!$C$28)^(CK$5-1),0)</f>
        <v>0</v>
      </c>
      <c r="CL14" s="153">
        <f>IF(AND(CL$3&gt;=Inputs!$C$29,CL$3&lt;=Inputs!$C$15*12),Inputs!$E$25/12*(1+Inputs!$C$28)^(CL$5-1),0)</f>
        <v>0</v>
      </c>
      <c r="CM14" s="153">
        <f>IF(AND(CM$3&gt;=Inputs!$C$29,CM$3&lt;=Inputs!$C$15*12),Inputs!$E$25/12*(1+Inputs!$C$28)^(CM$5-1),0)</f>
        <v>0</v>
      </c>
      <c r="CN14" s="153">
        <f>IF(AND(CN$3&gt;=Inputs!$C$29,CN$3&lt;=Inputs!$C$15*12),Inputs!$E$25/12*(1+Inputs!$C$28)^(CN$5-1),0)</f>
        <v>0</v>
      </c>
      <c r="CO14" s="153">
        <f>IF(AND(CO$3&gt;=Inputs!$C$29,CO$3&lt;=Inputs!$C$15*12),Inputs!$E$25/12*(1+Inputs!$C$28)^(CO$5-1),0)</f>
        <v>0</v>
      </c>
      <c r="CP14" s="153">
        <f>IF(AND(CP$3&gt;=Inputs!$C$29,CP$3&lt;=Inputs!$C$15*12),Inputs!$E$25/12*(1+Inputs!$C$28)^(CP$5-1),0)</f>
        <v>0</v>
      </c>
      <c r="CQ14" s="153">
        <f>IF(AND(CQ$3&gt;=Inputs!$C$29,CQ$3&lt;=Inputs!$C$15*12),Inputs!$E$25/12*(1+Inputs!$C$28)^(CQ$5-1),0)</f>
        <v>0</v>
      </c>
      <c r="CR14" s="153">
        <f>IF(AND(CR$3&gt;=Inputs!$C$29,CR$3&lt;=Inputs!$C$15*12),Inputs!$E$25/12*(1+Inputs!$C$28)^(CR$5-1),0)</f>
        <v>0</v>
      </c>
      <c r="CS14" s="153">
        <f>IF(AND(CS$3&gt;=Inputs!$C$29,CS$3&lt;=Inputs!$C$15*12),Inputs!$E$25/12*(1+Inputs!$C$28)^(CS$5-1),0)</f>
        <v>0</v>
      </c>
      <c r="CT14" s="153">
        <f>IF(AND(CT$3&gt;=Inputs!$C$29,CT$3&lt;=Inputs!$C$15*12),Inputs!$E$25/12*(1+Inputs!$C$28)^(CT$5-1),0)</f>
        <v>0</v>
      </c>
      <c r="CU14" s="153">
        <f>IF(AND(CU$3&gt;=Inputs!$C$29,CU$3&lt;=Inputs!$C$15*12),Inputs!$E$25/12*(1+Inputs!$C$28)^(CU$5-1),0)</f>
        <v>0</v>
      </c>
      <c r="CV14" s="153">
        <f>IF(AND(CV$3&gt;=Inputs!$C$29,CV$3&lt;=Inputs!$C$15*12),Inputs!$E$25/12*(1+Inputs!$C$28)^(CV$5-1),0)</f>
        <v>0</v>
      </c>
      <c r="CW14" s="153">
        <f>IF(AND(CW$3&gt;=Inputs!$C$29,CW$3&lt;=Inputs!$C$15*12),Inputs!$E$25/12*(1+Inputs!$C$28)^(CW$5-1),0)</f>
        <v>0</v>
      </c>
      <c r="CX14" s="153">
        <f>IF(AND(CX$3&gt;=Inputs!$C$29,CX$3&lt;=Inputs!$C$15*12),Inputs!$E$25/12*(1+Inputs!$C$28)^(CX$5-1),0)</f>
        <v>0</v>
      </c>
      <c r="CY14" s="153">
        <f>IF(AND(CY$3&gt;=Inputs!$C$29,CY$3&lt;=Inputs!$C$15*12),Inputs!$E$25/12*(1+Inputs!$C$28)^(CY$5-1),0)</f>
        <v>0</v>
      </c>
      <c r="CZ14" s="153">
        <f>IF(AND(CZ$3&gt;=Inputs!$C$29,CZ$3&lt;=Inputs!$C$15*12),Inputs!$E$25/12*(1+Inputs!$C$28)^(CZ$5-1),0)</f>
        <v>0</v>
      </c>
      <c r="DA14" s="153">
        <f>IF(AND(DA$3&gt;=Inputs!$C$29,DA$3&lt;=Inputs!$C$15*12),Inputs!$E$25/12*(1+Inputs!$C$28)^(DA$5-1),0)</f>
        <v>0</v>
      </c>
      <c r="DB14" s="153">
        <f>IF(AND(DB$3&gt;=Inputs!$C$29,DB$3&lt;=Inputs!$C$15*12),Inputs!$E$25/12*(1+Inputs!$C$28)^(DB$5-1),0)</f>
        <v>0</v>
      </c>
      <c r="DC14" s="153">
        <f>IF(AND(DC$3&gt;=Inputs!$C$29,DC$3&lt;=Inputs!$C$15*12),Inputs!$E$25/12*(1+Inputs!$C$28)^(DC$5-1),0)</f>
        <v>0</v>
      </c>
      <c r="DD14" s="153">
        <f>IF(AND(DD$3&gt;=Inputs!$C$29,DD$3&lt;=Inputs!$C$15*12),Inputs!$E$25/12*(1+Inputs!$C$28)^(DD$5-1),0)</f>
        <v>0</v>
      </c>
      <c r="DE14" s="153">
        <f>IF(AND(DE$3&gt;=Inputs!$C$29,DE$3&lt;=Inputs!$C$15*12),Inputs!$E$25/12*(1+Inputs!$C$28)^(DE$5-1),0)</f>
        <v>0</v>
      </c>
      <c r="DF14" s="153">
        <f>IF(AND(DF$3&gt;=Inputs!$C$29,DF$3&lt;=Inputs!$C$15*12),Inputs!$E$25/12*(1+Inputs!$C$28)^(DF$5-1),0)</f>
        <v>0</v>
      </c>
      <c r="DG14" s="153">
        <f>IF(AND(DG$3&gt;=Inputs!$C$29,DG$3&lt;=Inputs!$C$15*12),Inputs!$E$25/12*(1+Inputs!$C$28)^(DG$5-1),0)</f>
        <v>0</v>
      </c>
      <c r="DH14" s="153">
        <f>IF(AND(DH$3&gt;=Inputs!$C$29,DH$3&lt;=Inputs!$C$15*12),Inputs!$E$25/12*(1+Inputs!$C$28)^(DH$5-1),0)</f>
        <v>0</v>
      </c>
      <c r="DI14" s="153">
        <f>IF(AND(DI$3&gt;=Inputs!$C$29,DI$3&lt;=Inputs!$C$15*12),Inputs!$E$25/12*(1+Inputs!$C$28)^(DI$5-1),0)</f>
        <v>0</v>
      </c>
      <c r="DJ14" s="153">
        <f>IF(AND(DJ$3&gt;=Inputs!$C$29,DJ$3&lt;=Inputs!$C$15*12),Inputs!$E$25/12*(1+Inputs!$C$28)^(DJ$5-1),0)</f>
        <v>0</v>
      </c>
      <c r="DK14" s="153">
        <f>IF(AND(DK$3&gt;=Inputs!$C$29,DK$3&lt;=Inputs!$C$15*12),Inputs!$E$25/12*(1+Inputs!$C$28)^(DK$5-1),0)</f>
        <v>0</v>
      </c>
      <c r="DL14" s="153">
        <f>IF(AND(DL$3&gt;=Inputs!$C$29,DL$3&lt;=Inputs!$C$15*12),Inputs!$E$25/12*(1+Inputs!$C$28)^(DL$5-1),0)</f>
        <v>0</v>
      </c>
      <c r="DM14" s="153">
        <f>IF(AND(DM$3&gt;=Inputs!$C$29,DM$3&lt;=Inputs!$C$15*12),Inputs!$E$25/12*(1+Inputs!$C$28)^(DM$5-1),0)</f>
        <v>0</v>
      </c>
      <c r="DN14" s="153">
        <f>IF(AND(DN$3&gt;=Inputs!$C$29,DN$3&lt;=Inputs!$C$15*12),Inputs!$E$25/12*(1+Inputs!$C$28)^(DN$5-1),0)</f>
        <v>0</v>
      </c>
      <c r="DO14" s="153">
        <f>IF(AND(DO$3&gt;=Inputs!$C$29,DO$3&lt;=Inputs!$C$15*12),Inputs!$E$25/12*(1+Inputs!$C$28)^(DO$5-1),0)</f>
        <v>0</v>
      </c>
      <c r="DP14" s="153">
        <f>IF(AND(DP$3&gt;=Inputs!$C$29,DP$3&lt;=Inputs!$C$15*12),Inputs!$E$25/12*(1+Inputs!$C$28)^(DP$5-1),0)</f>
        <v>0</v>
      </c>
      <c r="DQ14" s="153">
        <f>IF(AND(DQ$3&gt;=Inputs!$C$29,DQ$3&lt;=Inputs!$C$15*12),Inputs!$E$25/12*(1+Inputs!$C$28)^(DQ$5-1),0)</f>
        <v>0</v>
      </c>
      <c r="DR14" s="153">
        <f>IF(AND(DR$3&gt;=Inputs!$C$29,DR$3&lt;=Inputs!$C$15*12),Inputs!$E$25/12*(1+Inputs!$C$28)^(DR$5-1),0)</f>
        <v>0</v>
      </c>
      <c r="DS14" s="54"/>
    </row>
    <row r="15" ht="15.0" customHeight="1">
      <c r="A15" s="54"/>
      <c r="B15" s="61" t="str">
        <f>Inputs!B26</f>
        <v>  Other Income 4 </v>
      </c>
      <c r="C15" s="159">
        <f>IF(AND(C$3&gt;=Inputs!$C$29,C$3&lt;=Inputs!$C$15*12),Inputs!$E$26/12*(1+Inputs!$C$28)^(C$5-1),0)</f>
        <v>0</v>
      </c>
      <c r="D15" s="159">
        <f>IF(AND(D$3&gt;=Inputs!$C$29,D$3&lt;=Inputs!$C$15*12),Inputs!$E$26/12*(1+Inputs!$C$28)^(D$5-1),0)</f>
        <v>0</v>
      </c>
      <c r="E15" s="159">
        <f>IF(AND(E$3&gt;=Inputs!$C$29,E$3&lt;=Inputs!$C$15*12),Inputs!$E$26/12*(1+Inputs!$C$28)^(E$5-1),0)</f>
        <v>0</v>
      </c>
      <c r="F15" s="159">
        <f>IF(AND(F$3&gt;=Inputs!$C$29,F$3&lt;=Inputs!$C$15*12),Inputs!$E$26/12*(1+Inputs!$C$28)^(F$5-1),0)</f>
        <v>0</v>
      </c>
      <c r="G15" s="159">
        <f>IF(AND(G$3&gt;=Inputs!$C$29,G$3&lt;=Inputs!$C$15*12),Inputs!$E$26/12*(1+Inputs!$C$28)^(G$5-1),0)</f>
        <v>0</v>
      </c>
      <c r="H15" s="159">
        <f>IF(AND(H$3&gt;=Inputs!$C$29,H$3&lt;=Inputs!$C$15*12),Inputs!$E$26/12*(1+Inputs!$C$28)^(H$5-1),0)</f>
        <v>0</v>
      </c>
      <c r="I15" s="159">
        <f>IF(AND(I$3&gt;=Inputs!$C$29,I$3&lt;=Inputs!$C$15*12),Inputs!$E$26/12*(1+Inputs!$C$28)^(I$5-1),0)</f>
        <v>0</v>
      </c>
      <c r="J15" s="159">
        <f>IF(AND(J$3&gt;=Inputs!$C$29,J$3&lt;=Inputs!$C$15*12),Inputs!$E$26/12*(1+Inputs!$C$28)^(J$5-1),0)</f>
        <v>0</v>
      </c>
      <c r="K15" s="159">
        <f>IF(AND(K$3&gt;=Inputs!$C$29,K$3&lt;=Inputs!$C$15*12),Inputs!$E$26/12*(1+Inputs!$C$28)^(K$5-1),0)</f>
        <v>0</v>
      </c>
      <c r="L15" s="159">
        <f>IF(AND(L$3&gt;=Inputs!$C$29,L$3&lt;=Inputs!$C$15*12),Inputs!$E$26/12*(1+Inputs!$C$28)^(L$5-1),0)</f>
        <v>0</v>
      </c>
      <c r="M15" s="159">
        <f>IF(AND(M$3&gt;=Inputs!$C$29,M$3&lt;=Inputs!$C$15*12),Inputs!$E$26/12*(1+Inputs!$C$28)^(M$5-1),0)</f>
        <v>0</v>
      </c>
      <c r="N15" s="159">
        <f>IF(AND(N$3&gt;=Inputs!$C$29,N$3&lt;=Inputs!$C$15*12),Inputs!$E$26/12*(1+Inputs!$C$28)^(N$5-1),0)</f>
        <v>0</v>
      </c>
      <c r="O15" s="159">
        <f>IF(AND(O$3&gt;=Inputs!$C$29,O$3&lt;=Inputs!$C$15*12),Inputs!$E$26/12*(1+Inputs!$C$28)^(O$5-1),0)</f>
        <v>0</v>
      </c>
      <c r="P15" s="159">
        <f>IF(AND(P$3&gt;=Inputs!$C$29,P$3&lt;=Inputs!$C$15*12),Inputs!$E$26/12*(1+Inputs!$C$28)^(P$5-1),0)</f>
        <v>0</v>
      </c>
      <c r="Q15" s="159">
        <f>IF(AND(Q$3&gt;=Inputs!$C$29,Q$3&lt;=Inputs!$C$15*12),Inputs!$E$26/12*(1+Inputs!$C$28)^(Q$5-1),0)</f>
        <v>0</v>
      </c>
      <c r="R15" s="159">
        <f>IF(AND(R$3&gt;=Inputs!$C$29,R$3&lt;=Inputs!$C$15*12),Inputs!$E$26/12*(1+Inputs!$C$28)^(R$5-1),0)</f>
        <v>0</v>
      </c>
      <c r="S15" s="159">
        <f>IF(AND(S$3&gt;=Inputs!$C$29,S$3&lt;=Inputs!$C$15*12),Inputs!$E$26/12*(1+Inputs!$C$28)^(S$5-1),0)</f>
        <v>0</v>
      </c>
      <c r="T15" s="159">
        <f>IF(AND(T$3&gt;=Inputs!$C$29,T$3&lt;=Inputs!$C$15*12),Inputs!$E$26/12*(1+Inputs!$C$28)^(T$5-1),0)</f>
        <v>0</v>
      </c>
      <c r="U15" s="159">
        <f>IF(AND(U$3&gt;=Inputs!$C$29,U$3&lt;=Inputs!$C$15*12),Inputs!$E$26/12*(1+Inputs!$C$28)^(U$5-1),0)</f>
        <v>0</v>
      </c>
      <c r="V15" s="159">
        <f>IF(AND(V$3&gt;=Inputs!$C$29,V$3&lt;=Inputs!$C$15*12),Inputs!$E$26/12*(1+Inputs!$C$28)^(V$5-1),0)</f>
        <v>0</v>
      </c>
      <c r="W15" s="159">
        <f>IF(AND(W$3&gt;=Inputs!$C$29,W$3&lt;=Inputs!$C$15*12),Inputs!$E$26/12*(1+Inputs!$C$28)^(W$5-1),0)</f>
        <v>0</v>
      </c>
      <c r="X15" s="159">
        <f>IF(AND(X$3&gt;=Inputs!$C$29,X$3&lt;=Inputs!$C$15*12),Inputs!$E$26/12*(1+Inputs!$C$28)^(X$5-1),0)</f>
        <v>0</v>
      </c>
      <c r="Y15" s="159">
        <f>IF(AND(Y$3&gt;=Inputs!$C$29,Y$3&lt;=Inputs!$C$15*12),Inputs!$E$26/12*(1+Inputs!$C$28)^(Y$5-1),0)</f>
        <v>0</v>
      </c>
      <c r="Z15" s="159">
        <f>IF(AND(Z$3&gt;=Inputs!$C$29,Z$3&lt;=Inputs!$C$15*12),Inputs!$E$26/12*(1+Inputs!$C$28)^(Z$5-1),0)</f>
        <v>0</v>
      </c>
      <c r="AA15" s="159">
        <f>IF(AND(AA$3&gt;=Inputs!$C$29,AA$3&lt;=Inputs!$C$15*12),Inputs!$E$26/12*(1+Inputs!$C$28)^(AA$5-1),0)</f>
        <v>0</v>
      </c>
      <c r="AB15" s="159">
        <f>IF(AND(AB$3&gt;=Inputs!$C$29,AB$3&lt;=Inputs!$C$15*12),Inputs!$E$26/12*(1+Inputs!$C$28)^(AB$5-1),0)</f>
        <v>0</v>
      </c>
      <c r="AC15" s="159">
        <f>IF(AND(AC$3&gt;=Inputs!$C$29,AC$3&lt;=Inputs!$C$15*12),Inputs!$E$26/12*(1+Inputs!$C$28)^(AC$5-1),0)</f>
        <v>0</v>
      </c>
      <c r="AD15" s="159">
        <f>IF(AND(AD$3&gt;=Inputs!$C$29,AD$3&lt;=Inputs!$C$15*12),Inputs!$E$26/12*(1+Inputs!$C$28)^(AD$5-1),0)</f>
        <v>0</v>
      </c>
      <c r="AE15" s="159">
        <f>IF(AND(AE$3&gt;=Inputs!$C$29,AE$3&lt;=Inputs!$C$15*12),Inputs!$E$26/12*(1+Inputs!$C$28)^(AE$5-1),0)</f>
        <v>0</v>
      </c>
      <c r="AF15" s="159">
        <f>IF(AND(AF$3&gt;=Inputs!$C$29,AF$3&lt;=Inputs!$C$15*12),Inputs!$E$26/12*(1+Inputs!$C$28)^(AF$5-1),0)</f>
        <v>0</v>
      </c>
      <c r="AG15" s="159">
        <f>IF(AND(AG$3&gt;=Inputs!$C$29,AG$3&lt;=Inputs!$C$15*12),Inputs!$E$26/12*(1+Inputs!$C$28)^(AG$5-1),0)</f>
        <v>0</v>
      </c>
      <c r="AH15" s="159">
        <f>IF(AND(AH$3&gt;=Inputs!$C$29,AH$3&lt;=Inputs!$C$15*12),Inputs!$E$26/12*(1+Inputs!$C$28)^(AH$5-1),0)</f>
        <v>0</v>
      </c>
      <c r="AI15" s="159">
        <f>IF(AND(AI$3&gt;=Inputs!$C$29,AI$3&lt;=Inputs!$C$15*12),Inputs!$E$26/12*(1+Inputs!$C$28)^(AI$5-1),0)</f>
        <v>0</v>
      </c>
      <c r="AJ15" s="159">
        <f>IF(AND(AJ$3&gt;=Inputs!$C$29,AJ$3&lt;=Inputs!$C$15*12),Inputs!$E$26/12*(1+Inputs!$C$28)^(AJ$5-1),0)</f>
        <v>0</v>
      </c>
      <c r="AK15" s="159">
        <f>IF(AND(AK$3&gt;=Inputs!$C$29,AK$3&lt;=Inputs!$C$15*12),Inputs!$E$26/12*(1+Inputs!$C$28)^(AK$5-1),0)</f>
        <v>0</v>
      </c>
      <c r="AL15" s="159">
        <f>IF(AND(AL$3&gt;=Inputs!$C$29,AL$3&lt;=Inputs!$C$15*12),Inputs!$E$26/12*(1+Inputs!$C$28)^(AL$5-1),0)</f>
        <v>0</v>
      </c>
      <c r="AM15" s="159">
        <f>IF(AND(AM$3&gt;=Inputs!$C$29,AM$3&lt;=Inputs!$C$15*12),Inputs!$E$26/12*(1+Inputs!$C$28)^(AM$5-1),0)</f>
        <v>0</v>
      </c>
      <c r="AN15" s="159">
        <f>IF(AND(AN$3&gt;=Inputs!$C$29,AN$3&lt;=Inputs!$C$15*12),Inputs!$E$26/12*(1+Inputs!$C$28)^(AN$5-1),0)</f>
        <v>0</v>
      </c>
      <c r="AO15" s="159">
        <f>IF(AND(AO$3&gt;=Inputs!$C$29,AO$3&lt;=Inputs!$C$15*12),Inputs!$E$26/12*(1+Inputs!$C$28)^(AO$5-1),0)</f>
        <v>0</v>
      </c>
      <c r="AP15" s="159">
        <f>IF(AND(AP$3&gt;=Inputs!$C$29,AP$3&lt;=Inputs!$C$15*12),Inputs!$E$26/12*(1+Inputs!$C$28)^(AP$5-1),0)</f>
        <v>0</v>
      </c>
      <c r="AQ15" s="159">
        <f>IF(AND(AQ$3&gt;=Inputs!$C$29,AQ$3&lt;=Inputs!$C$15*12),Inputs!$E$26/12*(1+Inputs!$C$28)^(AQ$5-1),0)</f>
        <v>0</v>
      </c>
      <c r="AR15" s="159">
        <f>IF(AND(AR$3&gt;=Inputs!$C$29,AR$3&lt;=Inputs!$C$15*12),Inputs!$E$26/12*(1+Inputs!$C$28)^(AR$5-1),0)</f>
        <v>0</v>
      </c>
      <c r="AS15" s="159">
        <f>IF(AND(AS$3&gt;=Inputs!$C$29,AS$3&lt;=Inputs!$C$15*12),Inputs!$E$26/12*(1+Inputs!$C$28)^(AS$5-1),0)</f>
        <v>0</v>
      </c>
      <c r="AT15" s="159">
        <f>IF(AND(AT$3&gt;=Inputs!$C$29,AT$3&lt;=Inputs!$C$15*12),Inputs!$E$26/12*(1+Inputs!$C$28)^(AT$5-1),0)</f>
        <v>0</v>
      </c>
      <c r="AU15" s="159">
        <f>IF(AND(AU$3&gt;=Inputs!$C$29,AU$3&lt;=Inputs!$C$15*12),Inputs!$E$26/12*(1+Inputs!$C$28)^(AU$5-1),0)</f>
        <v>0</v>
      </c>
      <c r="AV15" s="159">
        <f>IF(AND(AV$3&gt;=Inputs!$C$29,AV$3&lt;=Inputs!$C$15*12),Inputs!$E$26/12*(1+Inputs!$C$28)^(AV$5-1),0)</f>
        <v>0</v>
      </c>
      <c r="AW15" s="159">
        <f>IF(AND(AW$3&gt;=Inputs!$C$29,AW$3&lt;=Inputs!$C$15*12),Inputs!$E$26/12*(1+Inputs!$C$28)^(AW$5-1),0)</f>
        <v>0</v>
      </c>
      <c r="AX15" s="159">
        <f>IF(AND(AX$3&gt;=Inputs!$C$29,AX$3&lt;=Inputs!$C$15*12),Inputs!$E$26/12*(1+Inputs!$C$28)^(AX$5-1),0)</f>
        <v>0</v>
      </c>
      <c r="AY15" s="159">
        <f>IF(AND(AY$3&gt;=Inputs!$C$29,AY$3&lt;=Inputs!$C$15*12),Inputs!$E$26/12*(1+Inputs!$C$28)^(AY$5-1),0)</f>
        <v>0</v>
      </c>
      <c r="AZ15" s="159">
        <f>IF(AND(AZ$3&gt;=Inputs!$C$29,AZ$3&lt;=Inputs!$C$15*12),Inputs!$E$26/12*(1+Inputs!$C$28)^(AZ$5-1),0)</f>
        <v>0</v>
      </c>
      <c r="BA15" s="159">
        <f>IF(AND(BA$3&gt;=Inputs!$C$29,BA$3&lt;=Inputs!$C$15*12),Inputs!$E$26/12*(1+Inputs!$C$28)^(BA$5-1),0)</f>
        <v>0</v>
      </c>
      <c r="BB15" s="159">
        <f>IF(AND(BB$3&gt;=Inputs!$C$29,BB$3&lt;=Inputs!$C$15*12),Inputs!$E$26/12*(1+Inputs!$C$28)^(BB$5-1),0)</f>
        <v>0</v>
      </c>
      <c r="BC15" s="159">
        <f>IF(AND(BC$3&gt;=Inputs!$C$29,BC$3&lt;=Inputs!$C$15*12),Inputs!$E$26/12*(1+Inputs!$C$28)^(BC$5-1),0)</f>
        <v>0</v>
      </c>
      <c r="BD15" s="159">
        <f>IF(AND(BD$3&gt;=Inputs!$C$29,BD$3&lt;=Inputs!$C$15*12),Inputs!$E$26/12*(1+Inputs!$C$28)^(BD$5-1),0)</f>
        <v>0</v>
      </c>
      <c r="BE15" s="159">
        <f>IF(AND(BE$3&gt;=Inputs!$C$29,BE$3&lt;=Inputs!$C$15*12),Inputs!$E$26/12*(1+Inputs!$C$28)^(BE$5-1),0)</f>
        <v>0</v>
      </c>
      <c r="BF15" s="159">
        <f>IF(AND(BF$3&gt;=Inputs!$C$29,BF$3&lt;=Inputs!$C$15*12),Inputs!$E$26/12*(1+Inputs!$C$28)^(BF$5-1),0)</f>
        <v>0</v>
      </c>
      <c r="BG15" s="159">
        <f>IF(AND(BG$3&gt;=Inputs!$C$29,BG$3&lt;=Inputs!$C$15*12),Inputs!$E$26/12*(1+Inputs!$C$28)^(BG$5-1),0)</f>
        <v>0</v>
      </c>
      <c r="BH15" s="159">
        <f>IF(AND(BH$3&gt;=Inputs!$C$29,BH$3&lt;=Inputs!$C$15*12),Inputs!$E$26/12*(1+Inputs!$C$28)^(BH$5-1),0)</f>
        <v>0</v>
      </c>
      <c r="BI15" s="159">
        <f>IF(AND(BI$3&gt;=Inputs!$C$29,BI$3&lt;=Inputs!$C$15*12),Inputs!$E$26/12*(1+Inputs!$C$28)^(BI$5-1),0)</f>
        <v>0</v>
      </c>
      <c r="BJ15" s="159">
        <f>IF(AND(BJ$3&gt;=Inputs!$C$29,BJ$3&lt;=Inputs!$C$15*12),Inputs!$E$26/12*(1+Inputs!$C$28)^(BJ$5-1),0)</f>
        <v>0</v>
      </c>
      <c r="BK15" s="159">
        <f>IF(AND(BK$3&gt;=Inputs!$C$29,BK$3&lt;=Inputs!$C$15*12),Inputs!$E$26/12*(1+Inputs!$C$28)^(BK$5-1),0)</f>
        <v>0</v>
      </c>
      <c r="BL15" s="159">
        <f>IF(AND(BL$3&gt;=Inputs!$C$29,BL$3&lt;=Inputs!$C$15*12),Inputs!$E$26/12*(1+Inputs!$C$28)^(BL$5-1),0)</f>
        <v>0</v>
      </c>
      <c r="BM15" s="159">
        <f>IF(AND(BM$3&gt;=Inputs!$C$29,BM$3&lt;=Inputs!$C$15*12),Inputs!$E$26/12*(1+Inputs!$C$28)^(BM$5-1),0)</f>
        <v>0</v>
      </c>
      <c r="BN15" s="159">
        <f>IF(AND(BN$3&gt;=Inputs!$C$29,BN$3&lt;=Inputs!$C$15*12),Inputs!$E$26/12*(1+Inputs!$C$28)^(BN$5-1),0)</f>
        <v>0</v>
      </c>
      <c r="BO15" s="159">
        <f>IF(AND(BO$3&gt;=Inputs!$C$29,BO$3&lt;=Inputs!$C$15*12),Inputs!$E$26/12*(1+Inputs!$C$28)^(BO$5-1),0)</f>
        <v>0</v>
      </c>
      <c r="BP15" s="159">
        <f>IF(AND(BP$3&gt;=Inputs!$C$29,BP$3&lt;=Inputs!$C$15*12),Inputs!$E$26/12*(1+Inputs!$C$28)^(BP$5-1),0)</f>
        <v>0</v>
      </c>
      <c r="BQ15" s="159">
        <f>IF(AND(BQ$3&gt;=Inputs!$C$29,BQ$3&lt;=Inputs!$C$15*12),Inputs!$E$26/12*(1+Inputs!$C$28)^(BQ$5-1),0)</f>
        <v>0</v>
      </c>
      <c r="BR15" s="159">
        <f>IF(AND(BR$3&gt;=Inputs!$C$29,BR$3&lt;=Inputs!$C$15*12),Inputs!$E$26/12*(1+Inputs!$C$28)^(BR$5-1),0)</f>
        <v>0</v>
      </c>
      <c r="BS15" s="159">
        <f>IF(AND(BS$3&gt;=Inputs!$C$29,BS$3&lt;=Inputs!$C$15*12),Inputs!$E$26/12*(1+Inputs!$C$28)^(BS$5-1),0)</f>
        <v>0</v>
      </c>
      <c r="BT15" s="159">
        <f>IF(AND(BT$3&gt;=Inputs!$C$29,BT$3&lt;=Inputs!$C$15*12),Inputs!$E$26/12*(1+Inputs!$C$28)^(BT$5-1),0)</f>
        <v>0</v>
      </c>
      <c r="BU15" s="159">
        <f>IF(AND(BU$3&gt;=Inputs!$C$29,BU$3&lt;=Inputs!$C$15*12),Inputs!$E$26/12*(1+Inputs!$C$28)^(BU$5-1),0)</f>
        <v>0</v>
      </c>
      <c r="BV15" s="159">
        <f>IF(AND(BV$3&gt;=Inputs!$C$29,BV$3&lt;=Inputs!$C$15*12),Inputs!$E$26/12*(1+Inputs!$C$28)^(BV$5-1),0)</f>
        <v>0</v>
      </c>
      <c r="BW15" s="159">
        <f>IF(AND(BW$3&gt;=Inputs!$C$29,BW$3&lt;=Inputs!$C$15*12),Inputs!$E$26/12*(1+Inputs!$C$28)^(BW$5-1),0)</f>
        <v>0</v>
      </c>
      <c r="BX15" s="159">
        <f>IF(AND(BX$3&gt;=Inputs!$C$29,BX$3&lt;=Inputs!$C$15*12),Inputs!$E$26/12*(1+Inputs!$C$28)^(BX$5-1),0)</f>
        <v>0</v>
      </c>
      <c r="BY15" s="159">
        <f>IF(AND(BY$3&gt;=Inputs!$C$29,BY$3&lt;=Inputs!$C$15*12),Inputs!$E$26/12*(1+Inputs!$C$28)^(BY$5-1),0)</f>
        <v>0</v>
      </c>
      <c r="BZ15" s="159">
        <f>IF(AND(BZ$3&gt;=Inputs!$C$29,BZ$3&lt;=Inputs!$C$15*12),Inputs!$E$26/12*(1+Inputs!$C$28)^(BZ$5-1),0)</f>
        <v>0</v>
      </c>
      <c r="CA15" s="159">
        <f>IF(AND(CA$3&gt;=Inputs!$C$29,CA$3&lt;=Inputs!$C$15*12),Inputs!$E$26/12*(1+Inputs!$C$28)^(CA$5-1),0)</f>
        <v>0</v>
      </c>
      <c r="CB15" s="159">
        <f>IF(AND(CB$3&gt;=Inputs!$C$29,CB$3&lt;=Inputs!$C$15*12),Inputs!$E$26/12*(1+Inputs!$C$28)^(CB$5-1),0)</f>
        <v>0</v>
      </c>
      <c r="CC15" s="159">
        <f>IF(AND(CC$3&gt;=Inputs!$C$29,CC$3&lt;=Inputs!$C$15*12),Inputs!$E$26/12*(1+Inputs!$C$28)^(CC$5-1),0)</f>
        <v>0</v>
      </c>
      <c r="CD15" s="159">
        <f>IF(AND(CD$3&gt;=Inputs!$C$29,CD$3&lt;=Inputs!$C$15*12),Inputs!$E$26/12*(1+Inputs!$C$28)^(CD$5-1),0)</f>
        <v>0</v>
      </c>
      <c r="CE15" s="159">
        <f>IF(AND(CE$3&gt;=Inputs!$C$29,CE$3&lt;=Inputs!$C$15*12),Inputs!$E$26/12*(1+Inputs!$C$28)^(CE$5-1),0)</f>
        <v>0</v>
      </c>
      <c r="CF15" s="159">
        <f>IF(AND(CF$3&gt;=Inputs!$C$29,CF$3&lt;=Inputs!$C$15*12),Inputs!$E$26/12*(1+Inputs!$C$28)^(CF$5-1),0)</f>
        <v>0</v>
      </c>
      <c r="CG15" s="159">
        <f>IF(AND(CG$3&gt;=Inputs!$C$29,CG$3&lt;=Inputs!$C$15*12),Inputs!$E$26/12*(1+Inputs!$C$28)^(CG$5-1),0)</f>
        <v>0</v>
      </c>
      <c r="CH15" s="159">
        <f>IF(AND(CH$3&gt;=Inputs!$C$29,CH$3&lt;=Inputs!$C$15*12),Inputs!$E$26/12*(1+Inputs!$C$28)^(CH$5-1),0)</f>
        <v>0</v>
      </c>
      <c r="CI15" s="159">
        <f>IF(AND(CI$3&gt;=Inputs!$C$29,CI$3&lt;=Inputs!$C$15*12),Inputs!$E$26/12*(1+Inputs!$C$28)^(CI$5-1),0)</f>
        <v>0</v>
      </c>
      <c r="CJ15" s="159">
        <f>IF(AND(CJ$3&gt;=Inputs!$C$29,CJ$3&lt;=Inputs!$C$15*12),Inputs!$E$26/12*(1+Inputs!$C$28)^(CJ$5-1),0)</f>
        <v>0</v>
      </c>
      <c r="CK15" s="159">
        <f>IF(AND(CK$3&gt;=Inputs!$C$29,CK$3&lt;=Inputs!$C$15*12),Inputs!$E$26/12*(1+Inputs!$C$28)^(CK$5-1),0)</f>
        <v>0</v>
      </c>
      <c r="CL15" s="159">
        <f>IF(AND(CL$3&gt;=Inputs!$C$29,CL$3&lt;=Inputs!$C$15*12),Inputs!$E$26/12*(1+Inputs!$C$28)^(CL$5-1),0)</f>
        <v>0</v>
      </c>
      <c r="CM15" s="159">
        <f>IF(AND(CM$3&gt;=Inputs!$C$29,CM$3&lt;=Inputs!$C$15*12),Inputs!$E$26/12*(1+Inputs!$C$28)^(CM$5-1),0)</f>
        <v>0</v>
      </c>
      <c r="CN15" s="159">
        <f>IF(AND(CN$3&gt;=Inputs!$C$29,CN$3&lt;=Inputs!$C$15*12),Inputs!$E$26/12*(1+Inputs!$C$28)^(CN$5-1),0)</f>
        <v>0</v>
      </c>
      <c r="CO15" s="159">
        <f>IF(AND(CO$3&gt;=Inputs!$C$29,CO$3&lt;=Inputs!$C$15*12),Inputs!$E$26/12*(1+Inputs!$C$28)^(CO$5-1),0)</f>
        <v>0</v>
      </c>
      <c r="CP15" s="159">
        <f>IF(AND(CP$3&gt;=Inputs!$C$29,CP$3&lt;=Inputs!$C$15*12),Inputs!$E$26/12*(1+Inputs!$C$28)^(CP$5-1),0)</f>
        <v>0</v>
      </c>
      <c r="CQ15" s="159">
        <f>IF(AND(CQ$3&gt;=Inputs!$C$29,CQ$3&lt;=Inputs!$C$15*12),Inputs!$E$26/12*(1+Inputs!$C$28)^(CQ$5-1),0)</f>
        <v>0</v>
      </c>
      <c r="CR15" s="159">
        <f>IF(AND(CR$3&gt;=Inputs!$C$29,CR$3&lt;=Inputs!$C$15*12),Inputs!$E$26/12*(1+Inputs!$C$28)^(CR$5-1),0)</f>
        <v>0</v>
      </c>
      <c r="CS15" s="159">
        <f>IF(AND(CS$3&gt;=Inputs!$C$29,CS$3&lt;=Inputs!$C$15*12),Inputs!$E$26/12*(1+Inputs!$C$28)^(CS$5-1),0)</f>
        <v>0</v>
      </c>
      <c r="CT15" s="159">
        <f>IF(AND(CT$3&gt;=Inputs!$C$29,CT$3&lt;=Inputs!$C$15*12),Inputs!$E$26/12*(1+Inputs!$C$28)^(CT$5-1),0)</f>
        <v>0</v>
      </c>
      <c r="CU15" s="159">
        <f>IF(AND(CU$3&gt;=Inputs!$C$29,CU$3&lt;=Inputs!$C$15*12),Inputs!$E$26/12*(1+Inputs!$C$28)^(CU$5-1),0)</f>
        <v>0</v>
      </c>
      <c r="CV15" s="159">
        <f>IF(AND(CV$3&gt;=Inputs!$C$29,CV$3&lt;=Inputs!$C$15*12),Inputs!$E$26/12*(1+Inputs!$C$28)^(CV$5-1),0)</f>
        <v>0</v>
      </c>
      <c r="CW15" s="159">
        <f>IF(AND(CW$3&gt;=Inputs!$C$29,CW$3&lt;=Inputs!$C$15*12),Inputs!$E$26/12*(1+Inputs!$C$28)^(CW$5-1),0)</f>
        <v>0</v>
      </c>
      <c r="CX15" s="159">
        <f>IF(AND(CX$3&gt;=Inputs!$C$29,CX$3&lt;=Inputs!$C$15*12),Inputs!$E$26/12*(1+Inputs!$C$28)^(CX$5-1),0)</f>
        <v>0</v>
      </c>
      <c r="CY15" s="159">
        <f>IF(AND(CY$3&gt;=Inputs!$C$29,CY$3&lt;=Inputs!$C$15*12),Inputs!$E$26/12*(1+Inputs!$C$28)^(CY$5-1),0)</f>
        <v>0</v>
      </c>
      <c r="CZ15" s="159">
        <f>IF(AND(CZ$3&gt;=Inputs!$C$29,CZ$3&lt;=Inputs!$C$15*12),Inputs!$E$26/12*(1+Inputs!$C$28)^(CZ$5-1),0)</f>
        <v>0</v>
      </c>
      <c r="DA15" s="159">
        <f>IF(AND(DA$3&gt;=Inputs!$C$29,DA$3&lt;=Inputs!$C$15*12),Inputs!$E$26/12*(1+Inputs!$C$28)^(DA$5-1),0)</f>
        <v>0</v>
      </c>
      <c r="DB15" s="159">
        <f>IF(AND(DB$3&gt;=Inputs!$C$29,DB$3&lt;=Inputs!$C$15*12),Inputs!$E$26/12*(1+Inputs!$C$28)^(DB$5-1),0)</f>
        <v>0</v>
      </c>
      <c r="DC15" s="159">
        <f>IF(AND(DC$3&gt;=Inputs!$C$29,DC$3&lt;=Inputs!$C$15*12),Inputs!$E$26/12*(1+Inputs!$C$28)^(DC$5-1),0)</f>
        <v>0</v>
      </c>
      <c r="DD15" s="159">
        <f>IF(AND(DD$3&gt;=Inputs!$C$29,DD$3&lt;=Inputs!$C$15*12),Inputs!$E$26/12*(1+Inputs!$C$28)^(DD$5-1),0)</f>
        <v>0</v>
      </c>
      <c r="DE15" s="159">
        <f>IF(AND(DE$3&gt;=Inputs!$C$29,DE$3&lt;=Inputs!$C$15*12),Inputs!$E$26/12*(1+Inputs!$C$28)^(DE$5-1),0)</f>
        <v>0</v>
      </c>
      <c r="DF15" s="159">
        <f>IF(AND(DF$3&gt;=Inputs!$C$29,DF$3&lt;=Inputs!$C$15*12),Inputs!$E$26/12*(1+Inputs!$C$28)^(DF$5-1),0)</f>
        <v>0</v>
      </c>
      <c r="DG15" s="159">
        <f>IF(AND(DG$3&gt;=Inputs!$C$29,DG$3&lt;=Inputs!$C$15*12),Inputs!$E$26/12*(1+Inputs!$C$28)^(DG$5-1),0)</f>
        <v>0</v>
      </c>
      <c r="DH15" s="159">
        <f>IF(AND(DH$3&gt;=Inputs!$C$29,DH$3&lt;=Inputs!$C$15*12),Inputs!$E$26/12*(1+Inputs!$C$28)^(DH$5-1),0)</f>
        <v>0</v>
      </c>
      <c r="DI15" s="159">
        <f>IF(AND(DI$3&gt;=Inputs!$C$29,DI$3&lt;=Inputs!$C$15*12),Inputs!$E$26/12*(1+Inputs!$C$28)^(DI$5-1),0)</f>
        <v>0</v>
      </c>
      <c r="DJ15" s="159">
        <f>IF(AND(DJ$3&gt;=Inputs!$C$29,DJ$3&lt;=Inputs!$C$15*12),Inputs!$E$26/12*(1+Inputs!$C$28)^(DJ$5-1),0)</f>
        <v>0</v>
      </c>
      <c r="DK15" s="159">
        <f>IF(AND(DK$3&gt;=Inputs!$C$29,DK$3&lt;=Inputs!$C$15*12),Inputs!$E$26/12*(1+Inputs!$C$28)^(DK$5-1),0)</f>
        <v>0</v>
      </c>
      <c r="DL15" s="159">
        <f>IF(AND(DL$3&gt;=Inputs!$C$29,DL$3&lt;=Inputs!$C$15*12),Inputs!$E$26/12*(1+Inputs!$C$28)^(DL$5-1),0)</f>
        <v>0</v>
      </c>
      <c r="DM15" s="159">
        <f>IF(AND(DM$3&gt;=Inputs!$C$29,DM$3&lt;=Inputs!$C$15*12),Inputs!$E$26/12*(1+Inputs!$C$28)^(DM$5-1),0)</f>
        <v>0</v>
      </c>
      <c r="DN15" s="159">
        <f>IF(AND(DN$3&gt;=Inputs!$C$29,DN$3&lt;=Inputs!$C$15*12),Inputs!$E$26/12*(1+Inputs!$C$28)^(DN$5-1),0)</f>
        <v>0</v>
      </c>
      <c r="DO15" s="159">
        <f>IF(AND(DO$3&gt;=Inputs!$C$29,DO$3&lt;=Inputs!$C$15*12),Inputs!$E$26/12*(1+Inputs!$C$28)^(DO$5-1),0)</f>
        <v>0</v>
      </c>
      <c r="DP15" s="159">
        <f>IF(AND(DP$3&gt;=Inputs!$C$29,DP$3&lt;=Inputs!$C$15*12),Inputs!$E$26/12*(1+Inputs!$C$28)^(DP$5-1),0)</f>
        <v>0</v>
      </c>
      <c r="DQ15" s="159">
        <f>IF(AND(DQ$3&gt;=Inputs!$C$29,DQ$3&lt;=Inputs!$C$15*12),Inputs!$E$26/12*(1+Inputs!$C$28)^(DQ$5-1),0)</f>
        <v>0</v>
      </c>
      <c r="DR15" s="159">
        <f>IF(AND(DR$3&gt;=Inputs!$C$29,DR$3&lt;=Inputs!$C$15*12),Inputs!$E$26/12*(1+Inputs!$C$28)^(DR$5-1),0)</f>
        <v>0</v>
      </c>
      <c r="DS15" s="54"/>
    </row>
    <row r="16" ht="15.0" customHeight="1">
      <c r="A16" s="54"/>
      <c r="B16" s="61" t="str">
        <f>Inputs!B27</f>
        <v>  Other Income 5 </v>
      </c>
      <c r="C16" s="160">
        <f>IF(AND(C$3&gt;=Inputs!$C$29,C$3&lt;=Inputs!$C$15*12),Inputs!$E$27/12*(1+Inputs!$C$28)^(C$5-1),0)</f>
        <v>0</v>
      </c>
      <c r="D16" s="160">
        <f>IF(AND(D$3&gt;=Inputs!$C$29,D$3&lt;=Inputs!$C$15*12),Inputs!$E$27/12*(1+Inputs!$C$28)^(D$5-1),0)</f>
        <v>0</v>
      </c>
      <c r="E16" s="160">
        <f>IF(AND(E$3&gt;=Inputs!$C$29,E$3&lt;=Inputs!$C$15*12),Inputs!$E$27/12*(1+Inputs!$C$28)^(E$5-1),0)</f>
        <v>0</v>
      </c>
      <c r="F16" s="160">
        <f>IF(AND(F$3&gt;=Inputs!$C$29,F$3&lt;=Inputs!$C$15*12),Inputs!$E$27/12*(1+Inputs!$C$28)^(F$5-1),0)</f>
        <v>0</v>
      </c>
      <c r="G16" s="160">
        <f>IF(AND(G$3&gt;=Inputs!$C$29,G$3&lt;=Inputs!$C$15*12),Inputs!$E$27/12*(1+Inputs!$C$28)^(G$5-1),0)</f>
        <v>0</v>
      </c>
      <c r="H16" s="160">
        <f>IF(AND(H$3&gt;=Inputs!$C$29,H$3&lt;=Inputs!$C$15*12),Inputs!$E$27/12*(1+Inputs!$C$28)^(H$5-1),0)</f>
        <v>0</v>
      </c>
      <c r="I16" s="160">
        <f>IF(AND(I$3&gt;=Inputs!$C$29,I$3&lt;=Inputs!$C$15*12),Inputs!$E$27/12*(1+Inputs!$C$28)^(I$5-1),0)</f>
        <v>0</v>
      </c>
      <c r="J16" s="160">
        <f>IF(AND(J$3&gt;=Inputs!$C$29,J$3&lt;=Inputs!$C$15*12),Inputs!$E$27/12*(1+Inputs!$C$28)^(J$5-1),0)</f>
        <v>0</v>
      </c>
      <c r="K16" s="160">
        <f>IF(AND(K$3&gt;=Inputs!$C$29,K$3&lt;=Inputs!$C$15*12),Inputs!$E$27/12*(1+Inputs!$C$28)^(K$5-1),0)</f>
        <v>0</v>
      </c>
      <c r="L16" s="160">
        <f>IF(AND(L$3&gt;=Inputs!$C$29,L$3&lt;=Inputs!$C$15*12),Inputs!$E$27/12*(1+Inputs!$C$28)^(L$5-1),0)</f>
        <v>0</v>
      </c>
      <c r="M16" s="160">
        <f>IF(AND(M$3&gt;=Inputs!$C$29,M$3&lt;=Inputs!$C$15*12),Inputs!$E$27/12*(1+Inputs!$C$28)^(M$5-1),0)</f>
        <v>0</v>
      </c>
      <c r="N16" s="160">
        <f>IF(AND(N$3&gt;=Inputs!$C$29,N$3&lt;=Inputs!$C$15*12),Inputs!$E$27/12*(1+Inputs!$C$28)^(N$5-1),0)</f>
        <v>0</v>
      </c>
      <c r="O16" s="160">
        <f>IF(AND(O$3&gt;=Inputs!$C$29,O$3&lt;=Inputs!$C$15*12),Inputs!$E$27/12*(1+Inputs!$C$28)^(O$5-1),0)</f>
        <v>0</v>
      </c>
      <c r="P16" s="160">
        <f>IF(AND(P$3&gt;=Inputs!$C$29,P$3&lt;=Inputs!$C$15*12),Inputs!$E$27/12*(1+Inputs!$C$28)^(P$5-1),0)</f>
        <v>0</v>
      </c>
      <c r="Q16" s="160">
        <f>IF(AND(Q$3&gt;=Inputs!$C$29,Q$3&lt;=Inputs!$C$15*12),Inputs!$E$27/12*(1+Inputs!$C$28)^(Q$5-1),0)</f>
        <v>0</v>
      </c>
      <c r="R16" s="160">
        <f>IF(AND(R$3&gt;=Inputs!$C$29,R$3&lt;=Inputs!$C$15*12),Inputs!$E$27/12*(1+Inputs!$C$28)^(R$5-1),0)</f>
        <v>0</v>
      </c>
      <c r="S16" s="160">
        <f>IF(AND(S$3&gt;=Inputs!$C$29,S$3&lt;=Inputs!$C$15*12),Inputs!$E$27/12*(1+Inputs!$C$28)^(S$5-1),0)</f>
        <v>0</v>
      </c>
      <c r="T16" s="160">
        <f>IF(AND(T$3&gt;=Inputs!$C$29,T$3&lt;=Inputs!$C$15*12),Inputs!$E$27/12*(1+Inputs!$C$28)^(T$5-1),0)</f>
        <v>0</v>
      </c>
      <c r="U16" s="160">
        <f>IF(AND(U$3&gt;=Inputs!$C$29,U$3&lt;=Inputs!$C$15*12),Inputs!$E$27/12*(1+Inputs!$C$28)^(U$5-1),0)</f>
        <v>0</v>
      </c>
      <c r="V16" s="160">
        <f>IF(AND(V$3&gt;=Inputs!$C$29,V$3&lt;=Inputs!$C$15*12),Inputs!$E$27/12*(1+Inputs!$C$28)^(V$5-1),0)</f>
        <v>0</v>
      </c>
      <c r="W16" s="160">
        <f>IF(AND(W$3&gt;=Inputs!$C$29,W$3&lt;=Inputs!$C$15*12),Inputs!$E$27/12*(1+Inputs!$C$28)^(W$5-1),0)</f>
        <v>0</v>
      </c>
      <c r="X16" s="160">
        <f>IF(AND(X$3&gt;=Inputs!$C$29,X$3&lt;=Inputs!$C$15*12),Inputs!$E$27/12*(1+Inputs!$C$28)^(X$5-1),0)</f>
        <v>0</v>
      </c>
      <c r="Y16" s="160">
        <f>IF(AND(Y$3&gt;=Inputs!$C$29,Y$3&lt;=Inputs!$C$15*12),Inputs!$E$27/12*(1+Inputs!$C$28)^(Y$5-1),0)</f>
        <v>0</v>
      </c>
      <c r="Z16" s="160">
        <f>IF(AND(Z$3&gt;=Inputs!$C$29,Z$3&lt;=Inputs!$C$15*12),Inputs!$E$27/12*(1+Inputs!$C$28)^(Z$5-1),0)</f>
        <v>0</v>
      </c>
      <c r="AA16" s="160">
        <f>IF(AND(AA$3&gt;=Inputs!$C$29,AA$3&lt;=Inputs!$C$15*12),Inputs!$E$27/12*(1+Inputs!$C$28)^(AA$5-1),0)</f>
        <v>0</v>
      </c>
      <c r="AB16" s="160">
        <f>IF(AND(AB$3&gt;=Inputs!$C$29,AB$3&lt;=Inputs!$C$15*12),Inputs!$E$27/12*(1+Inputs!$C$28)^(AB$5-1),0)</f>
        <v>0</v>
      </c>
      <c r="AC16" s="160">
        <f>IF(AND(AC$3&gt;=Inputs!$C$29,AC$3&lt;=Inputs!$C$15*12),Inputs!$E$27/12*(1+Inputs!$C$28)^(AC$5-1),0)</f>
        <v>0</v>
      </c>
      <c r="AD16" s="160">
        <f>IF(AND(AD$3&gt;=Inputs!$C$29,AD$3&lt;=Inputs!$C$15*12),Inputs!$E$27/12*(1+Inputs!$C$28)^(AD$5-1),0)</f>
        <v>0</v>
      </c>
      <c r="AE16" s="160">
        <f>IF(AND(AE$3&gt;=Inputs!$C$29,AE$3&lt;=Inputs!$C$15*12),Inputs!$E$27/12*(1+Inputs!$C$28)^(AE$5-1),0)</f>
        <v>0</v>
      </c>
      <c r="AF16" s="160">
        <f>IF(AND(AF$3&gt;=Inputs!$C$29,AF$3&lt;=Inputs!$C$15*12),Inputs!$E$27/12*(1+Inputs!$C$28)^(AF$5-1),0)</f>
        <v>0</v>
      </c>
      <c r="AG16" s="160">
        <f>IF(AND(AG$3&gt;=Inputs!$C$29,AG$3&lt;=Inputs!$C$15*12),Inputs!$E$27/12*(1+Inputs!$C$28)^(AG$5-1),0)</f>
        <v>0</v>
      </c>
      <c r="AH16" s="160">
        <f>IF(AND(AH$3&gt;=Inputs!$C$29,AH$3&lt;=Inputs!$C$15*12),Inputs!$E$27/12*(1+Inputs!$C$28)^(AH$5-1),0)</f>
        <v>0</v>
      </c>
      <c r="AI16" s="160">
        <f>IF(AND(AI$3&gt;=Inputs!$C$29,AI$3&lt;=Inputs!$C$15*12),Inputs!$E$27/12*(1+Inputs!$C$28)^(AI$5-1),0)</f>
        <v>0</v>
      </c>
      <c r="AJ16" s="160">
        <f>IF(AND(AJ$3&gt;=Inputs!$C$29,AJ$3&lt;=Inputs!$C$15*12),Inputs!$E$27/12*(1+Inputs!$C$28)^(AJ$5-1),0)</f>
        <v>0</v>
      </c>
      <c r="AK16" s="160">
        <f>IF(AND(AK$3&gt;=Inputs!$C$29,AK$3&lt;=Inputs!$C$15*12),Inputs!$E$27/12*(1+Inputs!$C$28)^(AK$5-1),0)</f>
        <v>0</v>
      </c>
      <c r="AL16" s="160">
        <f>IF(AND(AL$3&gt;=Inputs!$C$29,AL$3&lt;=Inputs!$C$15*12),Inputs!$E$27/12*(1+Inputs!$C$28)^(AL$5-1),0)</f>
        <v>0</v>
      </c>
      <c r="AM16" s="160">
        <f>IF(AND(AM$3&gt;=Inputs!$C$29,AM$3&lt;=Inputs!$C$15*12),Inputs!$E$27/12*(1+Inputs!$C$28)^(AM$5-1),0)</f>
        <v>0</v>
      </c>
      <c r="AN16" s="160">
        <f>IF(AND(AN$3&gt;=Inputs!$C$29,AN$3&lt;=Inputs!$C$15*12),Inputs!$E$27/12*(1+Inputs!$C$28)^(AN$5-1),0)</f>
        <v>0</v>
      </c>
      <c r="AO16" s="160">
        <f>IF(AND(AO$3&gt;=Inputs!$C$29,AO$3&lt;=Inputs!$C$15*12),Inputs!$E$27/12*(1+Inputs!$C$28)^(AO$5-1),0)</f>
        <v>0</v>
      </c>
      <c r="AP16" s="160">
        <f>IF(AND(AP$3&gt;=Inputs!$C$29,AP$3&lt;=Inputs!$C$15*12),Inputs!$E$27/12*(1+Inputs!$C$28)^(AP$5-1),0)</f>
        <v>0</v>
      </c>
      <c r="AQ16" s="160">
        <f>IF(AND(AQ$3&gt;=Inputs!$C$29,AQ$3&lt;=Inputs!$C$15*12),Inputs!$E$27/12*(1+Inputs!$C$28)^(AQ$5-1),0)</f>
        <v>0</v>
      </c>
      <c r="AR16" s="160">
        <f>IF(AND(AR$3&gt;=Inputs!$C$29,AR$3&lt;=Inputs!$C$15*12),Inputs!$E$27/12*(1+Inputs!$C$28)^(AR$5-1),0)</f>
        <v>0</v>
      </c>
      <c r="AS16" s="160">
        <f>IF(AND(AS$3&gt;=Inputs!$C$29,AS$3&lt;=Inputs!$C$15*12),Inputs!$E$27/12*(1+Inputs!$C$28)^(AS$5-1),0)</f>
        <v>0</v>
      </c>
      <c r="AT16" s="160">
        <f>IF(AND(AT$3&gt;=Inputs!$C$29,AT$3&lt;=Inputs!$C$15*12),Inputs!$E$27/12*(1+Inputs!$C$28)^(AT$5-1),0)</f>
        <v>0</v>
      </c>
      <c r="AU16" s="160">
        <f>IF(AND(AU$3&gt;=Inputs!$C$29,AU$3&lt;=Inputs!$C$15*12),Inputs!$E$27/12*(1+Inputs!$C$28)^(AU$5-1),0)</f>
        <v>0</v>
      </c>
      <c r="AV16" s="160">
        <f>IF(AND(AV$3&gt;=Inputs!$C$29,AV$3&lt;=Inputs!$C$15*12),Inputs!$E$27/12*(1+Inputs!$C$28)^(AV$5-1),0)</f>
        <v>0</v>
      </c>
      <c r="AW16" s="160">
        <f>IF(AND(AW$3&gt;=Inputs!$C$29,AW$3&lt;=Inputs!$C$15*12),Inputs!$E$27/12*(1+Inputs!$C$28)^(AW$5-1),0)</f>
        <v>0</v>
      </c>
      <c r="AX16" s="160">
        <f>IF(AND(AX$3&gt;=Inputs!$C$29,AX$3&lt;=Inputs!$C$15*12),Inputs!$E$27/12*(1+Inputs!$C$28)^(AX$5-1),0)</f>
        <v>0</v>
      </c>
      <c r="AY16" s="160">
        <f>IF(AND(AY$3&gt;=Inputs!$C$29,AY$3&lt;=Inputs!$C$15*12),Inputs!$E$27/12*(1+Inputs!$C$28)^(AY$5-1),0)</f>
        <v>0</v>
      </c>
      <c r="AZ16" s="160">
        <f>IF(AND(AZ$3&gt;=Inputs!$C$29,AZ$3&lt;=Inputs!$C$15*12),Inputs!$E$27/12*(1+Inputs!$C$28)^(AZ$5-1),0)</f>
        <v>0</v>
      </c>
      <c r="BA16" s="160">
        <f>IF(AND(BA$3&gt;=Inputs!$C$29,BA$3&lt;=Inputs!$C$15*12),Inputs!$E$27/12*(1+Inputs!$C$28)^(BA$5-1),0)</f>
        <v>0</v>
      </c>
      <c r="BB16" s="160">
        <f>IF(AND(BB$3&gt;=Inputs!$C$29,BB$3&lt;=Inputs!$C$15*12),Inputs!$E$27/12*(1+Inputs!$C$28)^(BB$5-1),0)</f>
        <v>0</v>
      </c>
      <c r="BC16" s="160">
        <f>IF(AND(BC$3&gt;=Inputs!$C$29,BC$3&lt;=Inputs!$C$15*12),Inputs!$E$27/12*(1+Inputs!$C$28)^(BC$5-1),0)</f>
        <v>0</v>
      </c>
      <c r="BD16" s="160">
        <f>IF(AND(BD$3&gt;=Inputs!$C$29,BD$3&lt;=Inputs!$C$15*12),Inputs!$E$27/12*(1+Inputs!$C$28)^(BD$5-1),0)</f>
        <v>0</v>
      </c>
      <c r="BE16" s="160">
        <f>IF(AND(BE$3&gt;=Inputs!$C$29,BE$3&lt;=Inputs!$C$15*12),Inputs!$E$27/12*(1+Inputs!$C$28)^(BE$5-1),0)</f>
        <v>0</v>
      </c>
      <c r="BF16" s="160">
        <f>IF(AND(BF$3&gt;=Inputs!$C$29,BF$3&lt;=Inputs!$C$15*12),Inputs!$E$27/12*(1+Inputs!$C$28)^(BF$5-1),0)</f>
        <v>0</v>
      </c>
      <c r="BG16" s="160">
        <f>IF(AND(BG$3&gt;=Inputs!$C$29,BG$3&lt;=Inputs!$C$15*12),Inputs!$E$27/12*(1+Inputs!$C$28)^(BG$5-1),0)</f>
        <v>0</v>
      </c>
      <c r="BH16" s="160">
        <f>IF(AND(BH$3&gt;=Inputs!$C$29,BH$3&lt;=Inputs!$C$15*12),Inputs!$E$27/12*(1+Inputs!$C$28)^(BH$5-1),0)</f>
        <v>0</v>
      </c>
      <c r="BI16" s="160">
        <f>IF(AND(BI$3&gt;=Inputs!$C$29,BI$3&lt;=Inputs!$C$15*12),Inputs!$E$27/12*(1+Inputs!$C$28)^(BI$5-1),0)</f>
        <v>0</v>
      </c>
      <c r="BJ16" s="160">
        <f>IF(AND(BJ$3&gt;=Inputs!$C$29,BJ$3&lt;=Inputs!$C$15*12),Inputs!$E$27/12*(1+Inputs!$C$28)^(BJ$5-1),0)</f>
        <v>0</v>
      </c>
      <c r="BK16" s="160">
        <f>IF(AND(BK$3&gt;=Inputs!$C$29,BK$3&lt;=Inputs!$C$15*12),Inputs!$E$27/12*(1+Inputs!$C$28)^(BK$5-1),0)</f>
        <v>0</v>
      </c>
      <c r="BL16" s="160">
        <f>IF(AND(BL$3&gt;=Inputs!$C$29,BL$3&lt;=Inputs!$C$15*12),Inputs!$E$27/12*(1+Inputs!$C$28)^(BL$5-1),0)</f>
        <v>0</v>
      </c>
      <c r="BM16" s="160">
        <f>IF(AND(BM$3&gt;=Inputs!$C$29,BM$3&lt;=Inputs!$C$15*12),Inputs!$E$27/12*(1+Inputs!$C$28)^(BM$5-1),0)</f>
        <v>0</v>
      </c>
      <c r="BN16" s="160">
        <f>IF(AND(BN$3&gt;=Inputs!$C$29,BN$3&lt;=Inputs!$C$15*12),Inputs!$E$27/12*(1+Inputs!$C$28)^(BN$5-1),0)</f>
        <v>0</v>
      </c>
      <c r="BO16" s="160">
        <f>IF(AND(BO$3&gt;=Inputs!$C$29,BO$3&lt;=Inputs!$C$15*12),Inputs!$E$27/12*(1+Inputs!$C$28)^(BO$5-1),0)</f>
        <v>0</v>
      </c>
      <c r="BP16" s="160">
        <f>IF(AND(BP$3&gt;=Inputs!$C$29,BP$3&lt;=Inputs!$C$15*12),Inputs!$E$27/12*(1+Inputs!$C$28)^(BP$5-1),0)</f>
        <v>0</v>
      </c>
      <c r="BQ16" s="160">
        <f>IF(AND(BQ$3&gt;=Inputs!$C$29,BQ$3&lt;=Inputs!$C$15*12),Inputs!$E$27/12*(1+Inputs!$C$28)^(BQ$5-1),0)</f>
        <v>0</v>
      </c>
      <c r="BR16" s="160">
        <f>IF(AND(BR$3&gt;=Inputs!$C$29,BR$3&lt;=Inputs!$C$15*12),Inputs!$E$27/12*(1+Inputs!$C$28)^(BR$5-1),0)</f>
        <v>0</v>
      </c>
      <c r="BS16" s="160">
        <f>IF(AND(BS$3&gt;=Inputs!$C$29,BS$3&lt;=Inputs!$C$15*12),Inputs!$E$27/12*(1+Inputs!$C$28)^(BS$5-1),0)</f>
        <v>0</v>
      </c>
      <c r="BT16" s="160">
        <f>IF(AND(BT$3&gt;=Inputs!$C$29,BT$3&lt;=Inputs!$C$15*12),Inputs!$E$27/12*(1+Inputs!$C$28)^(BT$5-1),0)</f>
        <v>0</v>
      </c>
      <c r="BU16" s="160">
        <f>IF(AND(BU$3&gt;=Inputs!$C$29,BU$3&lt;=Inputs!$C$15*12),Inputs!$E$27/12*(1+Inputs!$C$28)^(BU$5-1),0)</f>
        <v>0</v>
      </c>
      <c r="BV16" s="160">
        <f>IF(AND(BV$3&gt;=Inputs!$C$29,BV$3&lt;=Inputs!$C$15*12),Inputs!$E$27/12*(1+Inputs!$C$28)^(BV$5-1),0)</f>
        <v>0</v>
      </c>
      <c r="BW16" s="160">
        <f>IF(AND(BW$3&gt;=Inputs!$C$29,BW$3&lt;=Inputs!$C$15*12),Inputs!$E$27/12*(1+Inputs!$C$28)^(BW$5-1),0)</f>
        <v>0</v>
      </c>
      <c r="BX16" s="160">
        <f>IF(AND(BX$3&gt;=Inputs!$C$29,BX$3&lt;=Inputs!$C$15*12),Inputs!$E$27/12*(1+Inputs!$C$28)^(BX$5-1),0)</f>
        <v>0</v>
      </c>
      <c r="BY16" s="160">
        <f>IF(AND(BY$3&gt;=Inputs!$C$29,BY$3&lt;=Inputs!$C$15*12),Inputs!$E$27/12*(1+Inputs!$C$28)^(BY$5-1),0)</f>
        <v>0</v>
      </c>
      <c r="BZ16" s="160">
        <f>IF(AND(BZ$3&gt;=Inputs!$C$29,BZ$3&lt;=Inputs!$C$15*12),Inputs!$E$27/12*(1+Inputs!$C$28)^(BZ$5-1),0)</f>
        <v>0</v>
      </c>
      <c r="CA16" s="160">
        <f>IF(AND(CA$3&gt;=Inputs!$C$29,CA$3&lt;=Inputs!$C$15*12),Inputs!$E$27/12*(1+Inputs!$C$28)^(CA$5-1),0)</f>
        <v>0</v>
      </c>
      <c r="CB16" s="160">
        <f>IF(AND(CB$3&gt;=Inputs!$C$29,CB$3&lt;=Inputs!$C$15*12),Inputs!$E$27/12*(1+Inputs!$C$28)^(CB$5-1),0)</f>
        <v>0</v>
      </c>
      <c r="CC16" s="160">
        <f>IF(AND(CC$3&gt;=Inputs!$C$29,CC$3&lt;=Inputs!$C$15*12),Inputs!$E$27/12*(1+Inputs!$C$28)^(CC$5-1),0)</f>
        <v>0</v>
      </c>
      <c r="CD16" s="160">
        <f>IF(AND(CD$3&gt;=Inputs!$C$29,CD$3&lt;=Inputs!$C$15*12),Inputs!$E$27/12*(1+Inputs!$C$28)^(CD$5-1),0)</f>
        <v>0</v>
      </c>
      <c r="CE16" s="160">
        <f>IF(AND(CE$3&gt;=Inputs!$C$29,CE$3&lt;=Inputs!$C$15*12),Inputs!$E$27/12*(1+Inputs!$C$28)^(CE$5-1),0)</f>
        <v>0</v>
      </c>
      <c r="CF16" s="160">
        <f>IF(AND(CF$3&gt;=Inputs!$C$29,CF$3&lt;=Inputs!$C$15*12),Inputs!$E$27/12*(1+Inputs!$C$28)^(CF$5-1),0)</f>
        <v>0</v>
      </c>
      <c r="CG16" s="160">
        <f>IF(AND(CG$3&gt;=Inputs!$C$29,CG$3&lt;=Inputs!$C$15*12),Inputs!$E$27/12*(1+Inputs!$C$28)^(CG$5-1),0)</f>
        <v>0</v>
      </c>
      <c r="CH16" s="160">
        <f>IF(AND(CH$3&gt;=Inputs!$C$29,CH$3&lt;=Inputs!$C$15*12),Inputs!$E$27/12*(1+Inputs!$C$28)^(CH$5-1),0)</f>
        <v>0</v>
      </c>
      <c r="CI16" s="160">
        <f>IF(AND(CI$3&gt;=Inputs!$C$29,CI$3&lt;=Inputs!$C$15*12),Inputs!$E$27/12*(1+Inputs!$C$28)^(CI$5-1),0)</f>
        <v>0</v>
      </c>
      <c r="CJ16" s="160">
        <f>IF(AND(CJ$3&gt;=Inputs!$C$29,CJ$3&lt;=Inputs!$C$15*12),Inputs!$E$27/12*(1+Inputs!$C$28)^(CJ$5-1),0)</f>
        <v>0</v>
      </c>
      <c r="CK16" s="160">
        <f>IF(AND(CK$3&gt;=Inputs!$C$29,CK$3&lt;=Inputs!$C$15*12),Inputs!$E$27/12*(1+Inputs!$C$28)^(CK$5-1),0)</f>
        <v>0</v>
      </c>
      <c r="CL16" s="160">
        <f>IF(AND(CL$3&gt;=Inputs!$C$29,CL$3&lt;=Inputs!$C$15*12),Inputs!$E$27/12*(1+Inputs!$C$28)^(CL$5-1),0)</f>
        <v>0</v>
      </c>
      <c r="CM16" s="160">
        <f>IF(AND(CM$3&gt;=Inputs!$C$29,CM$3&lt;=Inputs!$C$15*12),Inputs!$E$27/12*(1+Inputs!$C$28)^(CM$5-1),0)</f>
        <v>0</v>
      </c>
      <c r="CN16" s="160">
        <f>IF(AND(CN$3&gt;=Inputs!$C$29,CN$3&lt;=Inputs!$C$15*12),Inputs!$E$27/12*(1+Inputs!$C$28)^(CN$5-1),0)</f>
        <v>0</v>
      </c>
      <c r="CO16" s="160">
        <f>IF(AND(CO$3&gt;=Inputs!$C$29,CO$3&lt;=Inputs!$C$15*12),Inputs!$E$27/12*(1+Inputs!$C$28)^(CO$5-1),0)</f>
        <v>0</v>
      </c>
      <c r="CP16" s="160">
        <f>IF(AND(CP$3&gt;=Inputs!$C$29,CP$3&lt;=Inputs!$C$15*12),Inputs!$E$27/12*(1+Inputs!$C$28)^(CP$5-1),0)</f>
        <v>0</v>
      </c>
      <c r="CQ16" s="160">
        <f>IF(AND(CQ$3&gt;=Inputs!$C$29,CQ$3&lt;=Inputs!$C$15*12),Inputs!$E$27/12*(1+Inputs!$C$28)^(CQ$5-1),0)</f>
        <v>0</v>
      </c>
      <c r="CR16" s="160">
        <f>IF(AND(CR$3&gt;=Inputs!$C$29,CR$3&lt;=Inputs!$C$15*12),Inputs!$E$27/12*(1+Inputs!$C$28)^(CR$5-1),0)</f>
        <v>0</v>
      </c>
      <c r="CS16" s="160">
        <f>IF(AND(CS$3&gt;=Inputs!$C$29,CS$3&lt;=Inputs!$C$15*12),Inputs!$E$27/12*(1+Inputs!$C$28)^(CS$5-1),0)</f>
        <v>0</v>
      </c>
      <c r="CT16" s="160">
        <f>IF(AND(CT$3&gt;=Inputs!$C$29,CT$3&lt;=Inputs!$C$15*12),Inputs!$E$27/12*(1+Inputs!$C$28)^(CT$5-1),0)</f>
        <v>0</v>
      </c>
      <c r="CU16" s="160">
        <f>IF(AND(CU$3&gt;=Inputs!$C$29,CU$3&lt;=Inputs!$C$15*12),Inputs!$E$27/12*(1+Inputs!$C$28)^(CU$5-1),0)</f>
        <v>0</v>
      </c>
      <c r="CV16" s="160">
        <f>IF(AND(CV$3&gt;=Inputs!$C$29,CV$3&lt;=Inputs!$C$15*12),Inputs!$E$27/12*(1+Inputs!$C$28)^(CV$5-1),0)</f>
        <v>0</v>
      </c>
      <c r="CW16" s="160">
        <f>IF(AND(CW$3&gt;=Inputs!$C$29,CW$3&lt;=Inputs!$C$15*12),Inputs!$E$27/12*(1+Inputs!$C$28)^(CW$5-1),0)</f>
        <v>0</v>
      </c>
      <c r="CX16" s="160">
        <f>IF(AND(CX$3&gt;=Inputs!$C$29,CX$3&lt;=Inputs!$C$15*12),Inputs!$E$27/12*(1+Inputs!$C$28)^(CX$5-1),0)</f>
        <v>0</v>
      </c>
      <c r="CY16" s="160">
        <f>IF(AND(CY$3&gt;=Inputs!$C$29,CY$3&lt;=Inputs!$C$15*12),Inputs!$E$27/12*(1+Inputs!$C$28)^(CY$5-1),0)</f>
        <v>0</v>
      </c>
      <c r="CZ16" s="160">
        <f>IF(AND(CZ$3&gt;=Inputs!$C$29,CZ$3&lt;=Inputs!$C$15*12),Inputs!$E$27/12*(1+Inputs!$C$28)^(CZ$5-1),0)</f>
        <v>0</v>
      </c>
      <c r="DA16" s="160">
        <f>IF(AND(DA$3&gt;=Inputs!$C$29,DA$3&lt;=Inputs!$C$15*12),Inputs!$E$27/12*(1+Inputs!$C$28)^(DA$5-1),0)</f>
        <v>0</v>
      </c>
      <c r="DB16" s="160">
        <f>IF(AND(DB$3&gt;=Inputs!$C$29,DB$3&lt;=Inputs!$C$15*12),Inputs!$E$27/12*(1+Inputs!$C$28)^(DB$5-1),0)</f>
        <v>0</v>
      </c>
      <c r="DC16" s="160">
        <f>IF(AND(DC$3&gt;=Inputs!$C$29,DC$3&lt;=Inputs!$C$15*12),Inputs!$E$27/12*(1+Inputs!$C$28)^(DC$5-1),0)</f>
        <v>0</v>
      </c>
      <c r="DD16" s="160">
        <f>IF(AND(DD$3&gt;=Inputs!$C$29,DD$3&lt;=Inputs!$C$15*12),Inputs!$E$27/12*(1+Inputs!$C$28)^(DD$5-1),0)</f>
        <v>0</v>
      </c>
      <c r="DE16" s="160">
        <f>IF(AND(DE$3&gt;=Inputs!$C$29,DE$3&lt;=Inputs!$C$15*12),Inputs!$E$27/12*(1+Inputs!$C$28)^(DE$5-1),0)</f>
        <v>0</v>
      </c>
      <c r="DF16" s="160">
        <f>IF(AND(DF$3&gt;=Inputs!$C$29,DF$3&lt;=Inputs!$C$15*12),Inputs!$E$27/12*(1+Inputs!$C$28)^(DF$5-1),0)</f>
        <v>0</v>
      </c>
      <c r="DG16" s="160">
        <f>IF(AND(DG$3&gt;=Inputs!$C$29,DG$3&lt;=Inputs!$C$15*12),Inputs!$E$27/12*(1+Inputs!$C$28)^(DG$5-1),0)</f>
        <v>0</v>
      </c>
      <c r="DH16" s="160">
        <f>IF(AND(DH$3&gt;=Inputs!$C$29,DH$3&lt;=Inputs!$C$15*12),Inputs!$E$27/12*(1+Inputs!$C$28)^(DH$5-1),0)</f>
        <v>0</v>
      </c>
      <c r="DI16" s="160">
        <f>IF(AND(DI$3&gt;=Inputs!$C$29,DI$3&lt;=Inputs!$C$15*12),Inputs!$E$27/12*(1+Inputs!$C$28)^(DI$5-1),0)</f>
        <v>0</v>
      </c>
      <c r="DJ16" s="160">
        <f>IF(AND(DJ$3&gt;=Inputs!$C$29,DJ$3&lt;=Inputs!$C$15*12),Inputs!$E$27/12*(1+Inputs!$C$28)^(DJ$5-1),0)</f>
        <v>0</v>
      </c>
      <c r="DK16" s="160">
        <f>IF(AND(DK$3&gt;=Inputs!$C$29,DK$3&lt;=Inputs!$C$15*12),Inputs!$E$27/12*(1+Inputs!$C$28)^(DK$5-1),0)</f>
        <v>0</v>
      </c>
      <c r="DL16" s="160">
        <f>IF(AND(DL$3&gt;=Inputs!$C$29,DL$3&lt;=Inputs!$C$15*12),Inputs!$E$27/12*(1+Inputs!$C$28)^(DL$5-1),0)</f>
        <v>0</v>
      </c>
      <c r="DM16" s="160">
        <f>IF(AND(DM$3&gt;=Inputs!$C$29,DM$3&lt;=Inputs!$C$15*12),Inputs!$E$27/12*(1+Inputs!$C$28)^(DM$5-1),0)</f>
        <v>0</v>
      </c>
      <c r="DN16" s="160">
        <f>IF(AND(DN$3&gt;=Inputs!$C$29,DN$3&lt;=Inputs!$C$15*12),Inputs!$E$27/12*(1+Inputs!$C$28)^(DN$5-1),0)</f>
        <v>0</v>
      </c>
      <c r="DO16" s="160">
        <f>IF(AND(DO$3&gt;=Inputs!$C$29,DO$3&lt;=Inputs!$C$15*12),Inputs!$E$27/12*(1+Inputs!$C$28)^(DO$5-1),0)</f>
        <v>0</v>
      </c>
      <c r="DP16" s="160">
        <f>IF(AND(DP$3&gt;=Inputs!$C$29,DP$3&lt;=Inputs!$C$15*12),Inputs!$E$27/12*(1+Inputs!$C$28)^(DP$5-1),0)</f>
        <v>0</v>
      </c>
      <c r="DQ16" s="160">
        <f>IF(AND(DQ$3&gt;=Inputs!$C$29,DQ$3&lt;=Inputs!$C$15*12),Inputs!$E$27/12*(1+Inputs!$C$28)^(DQ$5-1),0)</f>
        <v>0</v>
      </c>
      <c r="DR16" s="160">
        <f>IF(AND(DR$3&gt;=Inputs!$C$29,DR$3&lt;=Inputs!$C$15*12),Inputs!$E$27/12*(1+Inputs!$C$28)^(DR$5-1),0)</f>
        <v>0</v>
      </c>
      <c r="DS16" s="54"/>
    </row>
    <row r="17" ht="16.5" customHeight="1">
      <c r="A17" s="54"/>
      <c r="B17" s="161" t="s">
        <v>309</v>
      </c>
      <c r="C17" s="162">
        <f t="shared" ref="C17:DR17" si="5">C11+C12+C13+C14+C15+C16</f>
        <v>0</v>
      </c>
      <c r="D17" s="163">
        <f t="shared" si="5"/>
        <v>0</v>
      </c>
      <c r="E17" s="163">
        <f t="shared" si="5"/>
        <v>0</v>
      </c>
      <c r="F17" s="163">
        <f t="shared" si="5"/>
        <v>0</v>
      </c>
      <c r="G17" s="163">
        <f t="shared" si="5"/>
        <v>0</v>
      </c>
      <c r="H17" s="163">
        <f t="shared" si="5"/>
        <v>0</v>
      </c>
      <c r="I17" s="163">
        <f t="shared" si="5"/>
        <v>0</v>
      </c>
      <c r="J17" s="163">
        <f t="shared" si="5"/>
        <v>0</v>
      </c>
      <c r="K17" s="163">
        <f t="shared" si="5"/>
        <v>0</v>
      </c>
      <c r="L17" s="163">
        <f t="shared" si="5"/>
        <v>0</v>
      </c>
      <c r="M17" s="163">
        <f t="shared" si="5"/>
        <v>0</v>
      </c>
      <c r="N17" s="163">
        <f t="shared" si="5"/>
        <v>0</v>
      </c>
      <c r="O17" s="163">
        <f t="shared" si="5"/>
        <v>0</v>
      </c>
      <c r="P17" s="163">
        <f t="shared" si="5"/>
        <v>0</v>
      </c>
      <c r="Q17" s="163">
        <f t="shared" si="5"/>
        <v>0</v>
      </c>
      <c r="R17" s="163">
        <f t="shared" si="5"/>
        <v>0</v>
      </c>
      <c r="S17" s="163">
        <f t="shared" si="5"/>
        <v>0</v>
      </c>
      <c r="T17" s="163">
        <f t="shared" si="5"/>
        <v>0</v>
      </c>
      <c r="U17" s="163">
        <f t="shared" si="5"/>
        <v>0</v>
      </c>
      <c r="V17" s="163">
        <f t="shared" si="5"/>
        <v>0</v>
      </c>
      <c r="W17" s="163">
        <f t="shared" si="5"/>
        <v>0</v>
      </c>
      <c r="X17" s="163">
        <f t="shared" si="5"/>
        <v>0</v>
      </c>
      <c r="Y17" s="163">
        <f t="shared" si="5"/>
        <v>0</v>
      </c>
      <c r="Z17" s="163">
        <f t="shared" si="5"/>
        <v>0</v>
      </c>
      <c r="AA17" s="163">
        <f t="shared" si="5"/>
        <v>0</v>
      </c>
      <c r="AB17" s="163">
        <f t="shared" si="5"/>
        <v>0</v>
      </c>
      <c r="AC17" s="163">
        <f t="shared" si="5"/>
        <v>0</v>
      </c>
      <c r="AD17" s="163">
        <f t="shared" si="5"/>
        <v>0</v>
      </c>
      <c r="AE17" s="163">
        <f t="shared" si="5"/>
        <v>0</v>
      </c>
      <c r="AF17" s="163">
        <f t="shared" si="5"/>
        <v>0</v>
      </c>
      <c r="AG17" s="163">
        <f t="shared" si="5"/>
        <v>0</v>
      </c>
      <c r="AH17" s="163">
        <f t="shared" si="5"/>
        <v>0</v>
      </c>
      <c r="AI17" s="163">
        <f t="shared" si="5"/>
        <v>0</v>
      </c>
      <c r="AJ17" s="163">
        <f t="shared" si="5"/>
        <v>0</v>
      </c>
      <c r="AK17" s="163">
        <f t="shared" si="5"/>
        <v>0</v>
      </c>
      <c r="AL17" s="163">
        <f t="shared" si="5"/>
        <v>0</v>
      </c>
      <c r="AM17" s="163">
        <f t="shared" si="5"/>
        <v>0</v>
      </c>
      <c r="AN17" s="163">
        <f t="shared" si="5"/>
        <v>0</v>
      </c>
      <c r="AO17" s="163">
        <f t="shared" si="5"/>
        <v>0</v>
      </c>
      <c r="AP17" s="163">
        <f t="shared" si="5"/>
        <v>0</v>
      </c>
      <c r="AQ17" s="163">
        <f t="shared" si="5"/>
        <v>0</v>
      </c>
      <c r="AR17" s="163">
        <f t="shared" si="5"/>
        <v>0</v>
      </c>
      <c r="AS17" s="163">
        <f t="shared" si="5"/>
        <v>0</v>
      </c>
      <c r="AT17" s="163">
        <f t="shared" si="5"/>
        <v>0</v>
      </c>
      <c r="AU17" s="163">
        <f t="shared" si="5"/>
        <v>0</v>
      </c>
      <c r="AV17" s="163">
        <f t="shared" si="5"/>
        <v>0</v>
      </c>
      <c r="AW17" s="163">
        <f t="shared" si="5"/>
        <v>0</v>
      </c>
      <c r="AX17" s="163">
        <f t="shared" si="5"/>
        <v>0</v>
      </c>
      <c r="AY17" s="163">
        <f t="shared" si="5"/>
        <v>0</v>
      </c>
      <c r="AZ17" s="163">
        <f t="shared" si="5"/>
        <v>0</v>
      </c>
      <c r="BA17" s="163">
        <f t="shared" si="5"/>
        <v>0</v>
      </c>
      <c r="BB17" s="163">
        <f t="shared" si="5"/>
        <v>0</v>
      </c>
      <c r="BC17" s="163">
        <f t="shared" si="5"/>
        <v>0</v>
      </c>
      <c r="BD17" s="163">
        <f t="shared" si="5"/>
        <v>0</v>
      </c>
      <c r="BE17" s="163">
        <f t="shared" si="5"/>
        <v>0</v>
      </c>
      <c r="BF17" s="163">
        <f t="shared" si="5"/>
        <v>0</v>
      </c>
      <c r="BG17" s="163">
        <f t="shared" si="5"/>
        <v>0</v>
      </c>
      <c r="BH17" s="163">
        <f t="shared" si="5"/>
        <v>0</v>
      </c>
      <c r="BI17" s="163">
        <f t="shared" si="5"/>
        <v>0</v>
      </c>
      <c r="BJ17" s="163">
        <f t="shared" si="5"/>
        <v>0</v>
      </c>
      <c r="BK17" s="163">
        <f t="shared" si="5"/>
        <v>0</v>
      </c>
      <c r="BL17" s="163">
        <f t="shared" si="5"/>
        <v>0</v>
      </c>
      <c r="BM17" s="163">
        <f t="shared" si="5"/>
        <v>0</v>
      </c>
      <c r="BN17" s="163">
        <f t="shared" si="5"/>
        <v>0</v>
      </c>
      <c r="BO17" s="163">
        <f t="shared" si="5"/>
        <v>0</v>
      </c>
      <c r="BP17" s="163">
        <f t="shared" si="5"/>
        <v>0</v>
      </c>
      <c r="BQ17" s="163">
        <f t="shared" si="5"/>
        <v>0</v>
      </c>
      <c r="BR17" s="163">
        <f t="shared" si="5"/>
        <v>0</v>
      </c>
      <c r="BS17" s="163">
        <f t="shared" si="5"/>
        <v>0</v>
      </c>
      <c r="BT17" s="163">
        <f t="shared" si="5"/>
        <v>0</v>
      </c>
      <c r="BU17" s="163">
        <f t="shared" si="5"/>
        <v>0</v>
      </c>
      <c r="BV17" s="163">
        <f t="shared" si="5"/>
        <v>0</v>
      </c>
      <c r="BW17" s="163">
        <f t="shared" si="5"/>
        <v>0</v>
      </c>
      <c r="BX17" s="163">
        <f t="shared" si="5"/>
        <v>0</v>
      </c>
      <c r="BY17" s="163">
        <f t="shared" si="5"/>
        <v>0</v>
      </c>
      <c r="BZ17" s="163">
        <f t="shared" si="5"/>
        <v>0</v>
      </c>
      <c r="CA17" s="163">
        <f t="shared" si="5"/>
        <v>0</v>
      </c>
      <c r="CB17" s="163">
        <f t="shared" si="5"/>
        <v>0</v>
      </c>
      <c r="CC17" s="163">
        <f t="shared" si="5"/>
        <v>0</v>
      </c>
      <c r="CD17" s="163">
        <f t="shared" si="5"/>
        <v>0</v>
      </c>
      <c r="CE17" s="163">
        <f t="shared" si="5"/>
        <v>0</v>
      </c>
      <c r="CF17" s="163">
        <f t="shared" si="5"/>
        <v>0</v>
      </c>
      <c r="CG17" s="163">
        <f t="shared" si="5"/>
        <v>0</v>
      </c>
      <c r="CH17" s="163">
        <f t="shared" si="5"/>
        <v>0</v>
      </c>
      <c r="CI17" s="163">
        <f t="shared" si="5"/>
        <v>0</v>
      </c>
      <c r="CJ17" s="163">
        <f t="shared" si="5"/>
        <v>0</v>
      </c>
      <c r="CK17" s="163">
        <f t="shared" si="5"/>
        <v>0</v>
      </c>
      <c r="CL17" s="163">
        <f t="shared" si="5"/>
        <v>0</v>
      </c>
      <c r="CM17" s="163">
        <f t="shared" si="5"/>
        <v>0</v>
      </c>
      <c r="CN17" s="163">
        <f t="shared" si="5"/>
        <v>0</v>
      </c>
      <c r="CO17" s="163">
        <f t="shared" si="5"/>
        <v>0</v>
      </c>
      <c r="CP17" s="163">
        <f t="shared" si="5"/>
        <v>0</v>
      </c>
      <c r="CQ17" s="163">
        <f t="shared" si="5"/>
        <v>0</v>
      </c>
      <c r="CR17" s="163">
        <f t="shared" si="5"/>
        <v>0</v>
      </c>
      <c r="CS17" s="163">
        <f t="shared" si="5"/>
        <v>0</v>
      </c>
      <c r="CT17" s="163">
        <f t="shared" si="5"/>
        <v>0</v>
      </c>
      <c r="CU17" s="163">
        <f t="shared" si="5"/>
        <v>0</v>
      </c>
      <c r="CV17" s="163">
        <f t="shared" si="5"/>
        <v>0</v>
      </c>
      <c r="CW17" s="163">
        <f t="shared" si="5"/>
        <v>0</v>
      </c>
      <c r="CX17" s="163">
        <f t="shared" si="5"/>
        <v>0</v>
      </c>
      <c r="CY17" s="163">
        <f t="shared" si="5"/>
        <v>0</v>
      </c>
      <c r="CZ17" s="163">
        <f t="shared" si="5"/>
        <v>0</v>
      </c>
      <c r="DA17" s="163">
        <f t="shared" si="5"/>
        <v>0</v>
      </c>
      <c r="DB17" s="163">
        <f t="shared" si="5"/>
        <v>0</v>
      </c>
      <c r="DC17" s="163">
        <f t="shared" si="5"/>
        <v>0</v>
      </c>
      <c r="DD17" s="163">
        <f t="shared" si="5"/>
        <v>0</v>
      </c>
      <c r="DE17" s="163">
        <f t="shared" si="5"/>
        <v>0</v>
      </c>
      <c r="DF17" s="163">
        <f t="shared" si="5"/>
        <v>0</v>
      </c>
      <c r="DG17" s="163">
        <f t="shared" si="5"/>
        <v>0</v>
      </c>
      <c r="DH17" s="163">
        <f t="shared" si="5"/>
        <v>0</v>
      </c>
      <c r="DI17" s="163">
        <f t="shared" si="5"/>
        <v>0</v>
      </c>
      <c r="DJ17" s="163">
        <f t="shared" si="5"/>
        <v>0</v>
      </c>
      <c r="DK17" s="163">
        <f t="shared" si="5"/>
        <v>0</v>
      </c>
      <c r="DL17" s="163">
        <f t="shared" si="5"/>
        <v>0</v>
      </c>
      <c r="DM17" s="163">
        <f t="shared" si="5"/>
        <v>0</v>
      </c>
      <c r="DN17" s="163">
        <f t="shared" si="5"/>
        <v>0</v>
      </c>
      <c r="DO17" s="163">
        <f t="shared" si="5"/>
        <v>0</v>
      </c>
      <c r="DP17" s="163">
        <f t="shared" si="5"/>
        <v>0</v>
      </c>
      <c r="DQ17" s="163">
        <f t="shared" si="5"/>
        <v>0</v>
      </c>
      <c r="DR17" s="163">
        <f t="shared" si="5"/>
        <v>0</v>
      </c>
      <c r="DS17" s="54"/>
    </row>
    <row r="18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/>
      <c r="BL18" s="54"/>
      <c r="BM18" s="54"/>
      <c r="BN18" s="54"/>
      <c r="BO18" s="54"/>
      <c r="BP18" s="54"/>
      <c r="BQ18" s="54"/>
      <c r="BR18" s="54"/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  <c r="CG18" s="54"/>
      <c r="CH18" s="54"/>
      <c r="CI18" s="54"/>
      <c r="CJ18" s="54"/>
      <c r="CK18" s="54"/>
      <c r="CL18" s="54"/>
      <c r="CM18" s="54"/>
      <c r="CN18" s="54"/>
      <c r="CO18" s="54"/>
      <c r="CP18" s="54"/>
      <c r="CQ18" s="54"/>
      <c r="CR18" s="54"/>
      <c r="CS18" s="54"/>
      <c r="CT18" s="54"/>
      <c r="CU18" s="54"/>
      <c r="CV18" s="54"/>
      <c r="CW18" s="54"/>
      <c r="CX18" s="54"/>
      <c r="CY18" s="54"/>
      <c r="CZ18" s="54"/>
      <c r="DA18" s="54"/>
      <c r="DB18" s="54"/>
      <c r="DC18" s="54"/>
      <c r="DD18" s="54"/>
      <c r="DE18" s="54"/>
      <c r="DF18" s="54"/>
      <c r="DG18" s="54"/>
      <c r="DH18" s="54"/>
      <c r="DI18" s="54"/>
      <c r="DJ18" s="54"/>
      <c r="DK18" s="54"/>
      <c r="DL18" s="54"/>
      <c r="DM18" s="54"/>
      <c r="DN18" s="54"/>
      <c r="DO18" s="54"/>
      <c r="DP18" s="54"/>
      <c r="DQ18" s="54"/>
      <c r="DR18" s="54"/>
      <c r="DS18" s="54"/>
    </row>
    <row r="19" ht="16.5" customHeight="1">
      <c r="A19" s="54"/>
      <c r="B19" s="55" t="s">
        <v>310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3"/>
      <c r="DS19" s="54"/>
    </row>
    <row r="20" ht="15.0" customHeight="1">
      <c r="A20" s="54"/>
      <c r="B20" s="56" t="str">
        <f>Inputs!B32</f>
        <v>  Property Taxes</v>
      </c>
      <c r="C20" s="153">
        <f>IF(AND(C$3&gt;=Inputs!$C$48,C$3&lt;=Inputs!$C$15*12),-Inputs!$E$32/12*(1+Inputs!$C$47)^(C$5-1),0)</f>
        <v>0</v>
      </c>
      <c r="D20" s="153">
        <f>IF(AND(D$3&gt;=Inputs!$C$48,D$3&lt;=Inputs!$C$15*12),-Inputs!$E$32/12*(1+Inputs!$C$47)^(D$5-1),0)</f>
        <v>0</v>
      </c>
      <c r="E20" s="153">
        <f>IF(AND(E$3&gt;=Inputs!$C$48,E$3&lt;=Inputs!$C$15*12),-Inputs!$E$32/12*(1+Inputs!$C$47)^(E$5-1),0)</f>
        <v>0</v>
      </c>
      <c r="F20" s="153">
        <f>IF(AND(F$3&gt;=Inputs!$C$48,F$3&lt;=Inputs!$C$15*12),-Inputs!$E$32/12*(1+Inputs!$C$47)^(F$5-1),0)</f>
        <v>0</v>
      </c>
      <c r="G20" s="153">
        <f>IF(AND(G$3&gt;=Inputs!$C$48,G$3&lt;=Inputs!$C$15*12),-Inputs!$E$32/12*(1+Inputs!$C$47)^(G$5-1),0)</f>
        <v>0</v>
      </c>
      <c r="H20" s="153">
        <f>IF(AND(H$3&gt;=Inputs!$C$48,H$3&lt;=Inputs!$C$15*12),-Inputs!$E$32/12*(1+Inputs!$C$47)^(H$5-1),0)</f>
        <v>0</v>
      </c>
      <c r="I20" s="153">
        <f>IF(AND(I$3&gt;=Inputs!$C$48,I$3&lt;=Inputs!$C$15*12),-Inputs!$E$32/12*(1+Inputs!$C$47)^(I$5-1),0)</f>
        <v>0</v>
      </c>
      <c r="J20" s="153">
        <f>IF(AND(J$3&gt;=Inputs!$C$48,J$3&lt;=Inputs!$C$15*12),-Inputs!$E$32/12*(1+Inputs!$C$47)^(J$5-1),0)</f>
        <v>0</v>
      </c>
      <c r="K20" s="153">
        <f>IF(AND(K$3&gt;=Inputs!$C$48,K$3&lt;=Inputs!$C$15*12),-Inputs!$E$32/12*(1+Inputs!$C$47)^(K$5-1),0)</f>
        <v>0</v>
      </c>
      <c r="L20" s="153">
        <f>IF(AND(L$3&gt;=Inputs!$C$48,L$3&lt;=Inputs!$C$15*12),-Inputs!$E$32/12*(1+Inputs!$C$47)^(L$5-1),0)</f>
        <v>0</v>
      </c>
      <c r="M20" s="153">
        <f>IF(AND(M$3&gt;=Inputs!$C$48,M$3&lt;=Inputs!$C$15*12),-Inputs!$E$32/12*(1+Inputs!$C$47)^(M$5-1),0)</f>
        <v>0</v>
      </c>
      <c r="N20" s="153">
        <f>IF(AND(N$3&gt;=Inputs!$C$48,N$3&lt;=Inputs!$C$15*12),-Inputs!$E$32/12*(1+Inputs!$C$47)^(N$5-1),0)</f>
        <v>0</v>
      </c>
      <c r="O20" s="153">
        <f>IF(AND(O$3&gt;=Inputs!$C$48,O$3&lt;=Inputs!$C$15*12),-Inputs!$E$32/12*(1+Inputs!$C$47)^(O$5-1),0)</f>
        <v>0</v>
      </c>
      <c r="P20" s="153">
        <f>IF(AND(P$3&gt;=Inputs!$C$48,P$3&lt;=Inputs!$C$15*12),-Inputs!$E$32/12*(1+Inputs!$C$47)^(P$5-1),0)</f>
        <v>0</v>
      </c>
      <c r="Q20" s="153">
        <f>IF(AND(Q$3&gt;=Inputs!$C$48,Q$3&lt;=Inputs!$C$15*12),-Inputs!$E$32/12*(1+Inputs!$C$47)^(Q$5-1),0)</f>
        <v>0</v>
      </c>
      <c r="R20" s="153">
        <f>IF(AND(R$3&gt;=Inputs!$C$48,R$3&lt;=Inputs!$C$15*12),-Inputs!$E$32/12*(1+Inputs!$C$47)^(R$5-1),0)</f>
        <v>0</v>
      </c>
      <c r="S20" s="153">
        <f>IF(AND(S$3&gt;=Inputs!$C$48,S$3&lt;=Inputs!$C$15*12),-Inputs!$E$32/12*(1+Inputs!$C$47)^(S$5-1),0)</f>
        <v>0</v>
      </c>
      <c r="T20" s="153">
        <f>IF(AND(T$3&gt;=Inputs!$C$48,T$3&lt;=Inputs!$C$15*12),-Inputs!$E$32/12*(1+Inputs!$C$47)^(T$5-1),0)</f>
        <v>0</v>
      </c>
      <c r="U20" s="153">
        <f>IF(AND(U$3&gt;=Inputs!$C$48,U$3&lt;=Inputs!$C$15*12),-Inputs!$E$32/12*(1+Inputs!$C$47)^(U$5-1),0)</f>
        <v>0</v>
      </c>
      <c r="V20" s="153">
        <f>IF(AND(V$3&gt;=Inputs!$C$48,V$3&lt;=Inputs!$C$15*12),-Inputs!$E$32/12*(1+Inputs!$C$47)^(V$5-1),0)</f>
        <v>0</v>
      </c>
      <c r="W20" s="153">
        <f>IF(AND(W$3&gt;=Inputs!$C$48,W$3&lt;=Inputs!$C$15*12),-Inputs!$E$32/12*(1+Inputs!$C$47)^(W$5-1),0)</f>
        <v>0</v>
      </c>
      <c r="X20" s="153">
        <f>IF(AND(X$3&gt;=Inputs!$C$48,X$3&lt;=Inputs!$C$15*12),-Inputs!$E$32/12*(1+Inputs!$C$47)^(X$5-1),0)</f>
        <v>0</v>
      </c>
      <c r="Y20" s="153">
        <f>IF(AND(Y$3&gt;=Inputs!$C$48,Y$3&lt;=Inputs!$C$15*12),-Inputs!$E$32/12*(1+Inputs!$C$47)^(Y$5-1),0)</f>
        <v>0</v>
      </c>
      <c r="Z20" s="153">
        <f>IF(AND(Z$3&gt;=Inputs!$C$48,Z$3&lt;=Inputs!$C$15*12),-Inputs!$E$32/12*(1+Inputs!$C$47)^(Z$5-1),0)</f>
        <v>0</v>
      </c>
      <c r="AA20" s="153">
        <f>IF(AND(AA$3&gt;=Inputs!$C$48,AA$3&lt;=Inputs!$C$15*12),-Inputs!$E$32/12*(1+Inputs!$C$47)^(AA$5-1),0)</f>
        <v>0</v>
      </c>
      <c r="AB20" s="153">
        <f>IF(AND(AB$3&gt;=Inputs!$C$48,AB$3&lt;=Inputs!$C$15*12),-Inputs!$E$32/12*(1+Inputs!$C$47)^(AB$5-1),0)</f>
        <v>0</v>
      </c>
      <c r="AC20" s="153">
        <f>IF(AND(AC$3&gt;=Inputs!$C$48,AC$3&lt;=Inputs!$C$15*12),-Inputs!$E$32/12*(1+Inputs!$C$47)^(AC$5-1),0)</f>
        <v>0</v>
      </c>
      <c r="AD20" s="153">
        <f>IF(AND(AD$3&gt;=Inputs!$C$48,AD$3&lt;=Inputs!$C$15*12),-Inputs!$E$32/12*(1+Inputs!$C$47)^(AD$5-1),0)</f>
        <v>0</v>
      </c>
      <c r="AE20" s="153">
        <f>IF(AND(AE$3&gt;=Inputs!$C$48,AE$3&lt;=Inputs!$C$15*12),-Inputs!$E$32/12*(1+Inputs!$C$47)^(AE$5-1),0)</f>
        <v>0</v>
      </c>
      <c r="AF20" s="153">
        <f>IF(AND(AF$3&gt;=Inputs!$C$48,AF$3&lt;=Inputs!$C$15*12),-Inputs!$E$32/12*(1+Inputs!$C$47)^(AF$5-1),0)</f>
        <v>0</v>
      </c>
      <c r="AG20" s="153">
        <f>IF(AND(AG$3&gt;=Inputs!$C$48,AG$3&lt;=Inputs!$C$15*12),-Inputs!$E$32/12*(1+Inputs!$C$47)^(AG$5-1),0)</f>
        <v>0</v>
      </c>
      <c r="AH20" s="153">
        <f>IF(AND(AH$3&gt;=Inputs!$C$48,AH$3&lt;=Inputs!$C$15*12),-Inputs!$E$32/12*(1+Inputs!$C$47)^(AH$5-1),0)</f>
        <v>0</v>
      </c>
      <c r="AI20" s="153">
        <f>IF(AND(AI$3&gt;=Inputs!$C$48,AI$3&lt;=Inputs!$C$15*12),-Inputs!$E$32/12*(1+Inputs!$C$47)^(AI$5-1),0)</f>
        <v>0</v>
      </c>
      <c r="AJ20" s="153">
        <f>IF(AND(AJ$3&gt;=Inputs!$C$48,AJ$3&lt;=Inputs!$C$15*12),-Inputs!$E$32/12*(1+Inputs!$C$47)^(AJ$5-1),0)</f>
        <v>0</v>
      </c>
      <c r="AK20" s="153">
        <f>IF(AND(AK$3&gt;=Inputs!$C$48,AK$3&lt;=Inputs!$C$15*12),-Inputs!$E$32/12*(1+Inputs!$C$47)^(AK$5-1),0)</f>
        <v>0</v>
      </c>
      <c r="AL20" s="153">
        <f>IF(AND(AL$3&gt;=Inputs!$C$48,AL$3&lt;=Inputs!$C$15*12),-Inputs!$E$32/12*(1+Inputs!$C$47)^(AL$5-1),0)</f>
        <v>0</v>
      </c>
      <c r="AM20" s="153">
        <f>IF(AND(AM$3&gt;=Inputs!$C$48,AM$3&lt;=Inputs!$C$15*12),-Inputs!$E$32/12*(1+Inputs!$C$47)^(AM$5-1),0)</f>
        <v>0</v>
      </c>
      <c r="AN20" s="153">
        <f>IF(AND(AN$3&gt;=Inputs!$C$48,AN$3&lt;=Inputs!$C$15*12),-Inputs!$E$32/12*(1+Inputs!$C$47)^(AN$5-1),0)</f>
        <v>0</v>
      </c>
      <c r="AO20" s="153">
        <f>IF(AND(AO$3&gt;=Inputs!$C$48,AO$3&lt;=Inputs!$C$15*12),-Inputs!$E$32/12*(1+Inputs!$C$47)^(AO$5-1),0)</f>
        <v>0</v>
      </c>
      <c r="AP20" s="153">
        <f>IF(AND(AP$3&gt;=Inputs!$C$48,AP$3&lt;=Inputs!$C$15*12),-Inputs!$E$32/12*(1+Inputs!$C$47)^(AP$5-1),0)</f>
        <v>0</v>
      </c>
      <c r="AQ20" s="153">
        <f>IF(AND(AQ$3&gt;=Inputs!$C$48,AQ$3&lt;=Inputs!$C$15*12),-Inputs!$E$32/12*(1+Inputs!$C$47)^(AQ$5-1),0)</f>
        <v>0</v>
      </c>
      <c r="AR20" s="153">
        <f>IF(AND(AR$3&gt;=Inputs!$C$48,AR$3&lt;=Inputs!$C$15*12),-Inputs!$E$32/12*(1+Inputs!$C$47)^(AR$5-1),0)</f>
        <v>0</v>
      </c>
      <c r="AS20" s="153">
        <f>IF(AND(AS$3&gt;=Inputs!$C$48,AS$3&lt;=Inputs!$C$15*12),-Inputs!$E$32/12*(1+Inputs!$C$47)^(AS$5-1),0)</f>
        <v>0</v>
      </c>
      <c r="AT20" s="153">
        <f>IF(AND(AT$3&gt;=Inputs!$C$48,AT$3&lt;=Inputs!$C$15*12),-Inputs!$E$32/12*(1+Inputs!$C$47)^(AT$5-1),0)</f>
        <v>0</v>
      </c>
      <c r="AU20" s="153">
        <f>IF(AND(AU$3&gt;=Inputs!$C$48,AU$3&lt;=Inputs!$C$15*12),-Inputs!$E$32/12*(1+Inputs!$C$47)^(AU$5-1),0)</f>
        <v>0</v>
      </c>
      <c r="AV20" s="153">
        <f>IF(AND(AV$3&gt;=Inputs!$C$48,AV$3&lt;=Inputs!$C$15*12),-Inputs!$E$32/12*(1+Inputs!$C$47)^(AV$5-1),0)</f>
        <v>0</v>
      </c>
      <c r="AW20" s="153">
        <f>IF(AND(AW$3&gt;=Inputs!$C$48,AW$3&lt;=Inputs!$C$15*12),-Inputs!$E$32/12*(1+Inputs!$C$47)^(AW$5-1),0)</f>
        <v>0</v>
      </c>
      <c r="AX20" s="153">
        <f>IF(AND(AX$3&gt;=Inputs!$C$48,AX$3&lt;=Inputs!$C$15*12),-Inputs!$E$32/12*(1+Inputs!$C$47)^(AX$5-1),0)</f>
        <v>0</v>
      </c>
      <c r="AY20" s="153">
        <f>IF(AND(AY$3&gt;=Inputs!$C$48,AY$3&lt;=Inputs!$C$15*12),-Inputs!$E$32/12*(1+Inputs!$C$47)^(AY$5-1),0)</f>
        <v>0</v>
      </c>
      <c r="AZ20" s="153">
        <f>IF(AND(AZ$3&gt;=Inputs!$C$48,AZ$3&lt;=Inputs!$C$15*12),-Inputs!$E$32/12*(1+Inputs!$C$47)^(AZ$5-1),0)</f>
        <v>0</v>
      </c>
      <c r="BA20" s="153">
        <f>IF(AND(BA$3&gt;=Inputs!$C$48,BA$3&lt;=Inputs!$C$15*12),-Inputs!$E$32/12*(1+Inputs!$C$47)^(BA$5-1),0)</f>
        <v>0</v>
      </c>
      <c r="BB20" s="153">
        <f>IF(AND(BB$3&gt;=Inputs!$C$48,BB$3&lt;=Inputs!$C$15*12),-Inputs!$E$32/12*(1+Inputs!$C$47)^(BB$5-1),0)</f>
        <v>0</v>
      </c>
      <c r="BC20" s="153">
        <f>IF(AND(BC$3&gt;=Inputs!$C$48,BC$3&lt;=Inputs!$C$15*12),-Inputs!$E$32/12*(1+Inputs!$C$47)^(BC$5-1),0)</f>
        <v>0</v>
      </c>
      <c r="BD20" s="153">
        <f>IF(AND(BD$3&gt;=Inputs!$C$48,BD$3&lt;=Inputs!$C$15*12),-Inputs!$E$32/12*(1+Inputs!$C$47)^(BD$5-1),0)</f>
        <v>0</v>
      </c>
      <c r="BE20" s="153">
        <f>IF(AND(BE$3&gt;=Inputs!$C$48,BE$3&lt;=Inputs!$C$15*12),-Inputs!$E$32/12*(1+Inputs!$C$47)^(BE$5-1),0)</f>
        <v>0</v>
      </c>
      <c r="BF20" s="153">
        <f>IF(AND(BF$3&gt;=Inputs!$C$48,BF$3&lt;=Inputs!$C$15*12),-Inputs!$E$32/12*(1+Inputs!$C$47)^(BF$5-1),0)</f>
        <v>0</v>
      </c>
      <c r="BG20" s="153">
        <f>IF(AND(BG$3&gt;=Inputs!$C$48,BG$3&lt;=Inputs!$C$15*12),-Inputs!$E$32/12*(1+Inputs!$C$47)^(BG$5-1),0)</f>
        <v>0</v>
      </c>
      <c r="BH20" s="153">
        <f>IF(AND(BH$3&gt;=Inputs!$C$48,BH$3&lt;=Inputs!$C$15*12),-Inputs!$E$32/12*(1+Inputs!$C$47)^(BH$5-1),0)</f>
        <v>0</v>
      </c>
      <c r="BI20" s="153">
        <f>IF(AND(BI$3&gt;=Inputs!$C$48,BI$3&lt;=Inputs!$C$15*12),-Inputs!$E$32/12*(1+Inputs!$C$47)^(BI$5-1),0)</f>
        <v>0</v>
      </c>
      <c r="BJ20" s="153">
        <f>IF(AND(BJ$3&gt;=Inputs!$C$48,BJ$3&lt;=Inputs!$C$15*12),-Inputs!$E$32/12*(1+Inputs!$C$47)^(BJ$5-1),0)</f>
        <v>0</v>
      </c>
      <c r="BK20" s="153">
        <f>IF(AND(BK$3&gt;=Inputs!$C$48,BK$3&lt;=Inputs!$C$15*12),-Inputs!$E$32/12*(1+Inputs!$C$47)^(BK$5-1),0)</f>
        <v>0</v>
      </c>
      <c r="BL20" s="153">
        <f>IF(AND(BL$3&gt;=Inputs!$C$48,BL$3&lt;=Inputs!$C$15*12),-Inputs!$E$32/12*(1+Inputs!$C$47)^(BL$5-1),0)</f>
        <v>0</v>
      </c>
      <c r="BM20" s="153">
        <f>IF(AND(BM$3&gt;=Inputs!$C$48,BM$3&lt;=Inputs!$C$15*12),-Inputs!$E$32/12*(1+Inputs!$C$47)^(BM$5-1),0)</f>
        <v>0</v>
      </c>
      <c r="BN20" s="153">
        <f>IF(AND(BN$3&gt;=Inputs!$C$48,BN$3&lt;=Inputs!$C$15*12),-Inputs!$E$32/12*(1+Inputs!$C$47)^(BN$5-1),0)</f>
        <v>0</v>
      </c>
      <c r="BO20" s="153">
        <f>IF(AND(BO$3&gt;=Inputs!$C$48,BO$3&lt;=Inputs!$C$15*12),-Inputs!$E$32/12*(1+Inputs!$C$47)^(BO$5-1),0)</f>
        <v>0</v>
      </c>
      <c r="BP20" s="153">
        <f>IF(AND(BP$3&gt;=Inputs!$C$48,BP$3&lt;=Inputs!$C$15*12),-Inputs!$E$32/12*(1+Inputs!$C$47)^(BP$5-1),0)</f>
        <v>0</v>
      </c>
      <c r="BQ20" s="153">
        <f>IF(AND(BQ$3&gt;=Inputs!$C$48,BQ$3&lt;=Inputs!$C$15*12),-Inputs!$E$32/12*(1+Inputs!$C$47)^(BQ$5-1),0)</f>
        <v>0</v>
      </c>
      <c r="BR20" s="153">
        <f>IF(AND(BR$3&gt;=Inputs!$C$48,BR$3&lt;=Inputs!$C$15*12),-Inputs!$E$32/12*(1+Inputs!$C$47)^(BR$5-1),0)</f>
        <v>0</v>
      </c>
      <c r="BS20" s="153">
        <f>IF(AND(BS$3&gt;=Inputs!$C$48,BS$3&lt;=Inputs!$C$15*12),-Inputs!$E$32/12*(1+Inputs!$C$47)^(BS$5-1),0)</f>
        <v>0</v>
      </c>
      <c r="BT20" s="153">
        <f>IF(AND(BT$3&gt;=Inputs!$C$48,BT$3&lt;=Inputs!$C$15*12),-Inputs!$E$32/12*(1+Inputs!$C$47)^(BT$5-1),0)</f>
        <v>0</v>
      </c>
      <c r="BU20" s="153">
        <f>IF(AND(BU$3&gt;=Inputs!$C$48,BU$3&lt;=Inputs!$C$15*12),-Inputs!$E$32/12*(1+Inputs!$C$47)^(BU$5-1),0)</f>
        <v>0</v>
      </c>
      <c r="BV20" s="153">
        <f>IF(AND(BV$3&gt;=Inputs!$C$48,BV$3&lt;=Inputs!$C$15*12),-Inputs!$E$32/12*(1+Inputs!$C$47)^(BV$5-1),0)</f>
        <v>0</v>
      </c>
      <c r="BW20" s="153">
        <f>IF(AND(BW$3&gt;=Inputs!$C$48,BW$3&lt;=Inputs!$C$15*12),-Inputs!$E$32/12*(1+Inputs!$C$47)^(BW$5-1),0)</f>
        <v>0</v>
      </c>
      <c r="BX20" s="153">
        <f>IF(AND(BX$3&gt;=Inputs!$C$48,BX$3&lt;=Inputs!$C$15*12),-Inputs!$E$32/12*(1+Inputs!$C$47)^(BX$5-1),0)</f>
        <v>0</v>
      </c>
      <c r="BY20" s="153">
        <f>IF(AND(BY$3&gt;=Inputs!$C$48,BY$3&lt;=Inputs!$C$15*12),-Inputs!$E$32/12*(1+Inputs!$C$47)^(BY$5-1),0)</f>
        <v>0</v>
      </c>
      <c r="BZ20" s="153">
        <f>IF(AND(BZ$3&gt;=Inputs!$C$48,BZ$3&lt;=Inputs!$C$15*12),-Inputs!$E$32/12*(1+Inputs!$C$47)^(BZ$5-1),0)</f>
        <v>0</v>
      </c>
      <c r="CA20" s="153">
        <f>IF(AND(CA$3&gt;=Inputs!$C$48,CA$3&lt;=Inputs!$C$15*12),-Inputs!$E$32/12*(1+Inputs!$C$47)^(CA$5-1),0)</f>
        <v>0</v>
      </c>
      <c r="CB20" s="153">
        <f>IF(AND(CB$3&gt;=Inputs!$C$48,CB$3&lt;=Inputs!$C$15*12),-Inputs!$E$32/12*(1+Inputs!$C$47)^(CB$5-1),0)</f>
        <v>0</v>
      </c>
      <c r="CC20" s="153">
        <f>IF(AND(CC$3&gt;=Inputs!$C$48,CC$3&lt;=Inputs!$C$15*12),-Inputs!$E$32/12*(1+Inputs!$C$47)^(CC$5-1),0)</f>
        <v>0</v>
      </c>
      <c r="CD20" s="153">
        <f>IF(AND(CD$3&gt;=Inputs!$C$48,CD$3&lt;=Inputs!$C$15*12),-Inputs!$E$32/12*(1+Inputs!$C$47)^(CD$5-1),0)</f>
        <v>0</v>
      </c>
      <c r="CE20" s="153">
        <f>IF(AND(CE$3&gt;=Inputs!$C$48,CE$3&lt;=Inputs!$C$15*12),-Inputs!$E$32/12*(1+Inputs!$C$47)^(CE$5-1),0)</f>
        <v>0</v>
      </c>
      <c r="CF20" s="153">
        <f>IF(AND(CF$3&gt;=Inputs!$C$48,CF$3&lt;=Inputs!$C$15*12),-Inputs!$E$32/12*(1+Inputs!$C$47)^(CF$5-1),0)</f>
        <v>0</v>
      </c>
      <c r="CG20" s="153">
        <f>IF(AND(CG$3&gt;=Inputs!$C$48,CG$3&lt;=Inputs!$C$15*12),-Inputs!$E$32/12*(1+Inputs!$C$47)^(CG$5-1),0)</f>
        <v>0</v>
      </c>
      <c r="CH20" s="153">
        <f>IF(AND(CH$3&gt;=Inputs!$C$48,CH$3&lt;=Inputs!$C$15*12),-Inputs!$E$32/12*(1+Inputs!$C$47)^(CH$5-1),0)</f>
        <v>0</v>
      </c>
      <c r="CI20" s="153">
        <f>IF(AND(CI$3&gt;=Inputs!$C$48,CI$3&lt;=Inputs!$C$15*12),-Inputs!$E$32/12*(1+Inputs!$C$47)^(CI$5-1),0)</f>
        <v>0</v>
      </c>
      <c r="CJ20" s="153">
        <f>IF(AND(CJ$3&gt;=Inputs!$C$48,CJ$3&lt;=Inputs!$C$15*12),-Inputs!$E$32/12*(1+Inputs!$C$47)^(CJ$5-1),0)</f>
        <v>0</v>
      </c>
      <c r="CK20" s="153">
        <f>IF(AND(CK$3&gt;=Inputs!$C$48,CK$3&lt;=Inputs!$C$15*12),-Inputs!$E$32/12*(1+Inputs!$C$47)^(CK$5-1),0)</f>
        <v>0</v>
      </c>
      <c r="CL20" s="153">
        <f>IF(AND(CL$3&gt;=Inputs!$C$48,CL$3&lt;=Inputs!$C$15*12),-Inputs!$E$32/12*(1+Inputs!$C$47)^(CL$5-1),0)</f>
        <v>0</v>
      </c>
      <c r="CM20" s="153">
        <f>IF(AND(CM$3&gt;=Inputs!$C$48,CM$3&lt;=Inputs!$C$15*12),-Inputs!$E$32/12*(1+Inputs!$C$47)^(CM$5-1),0)</f>
        <v>0</v>
      </c>
      <c r="CN20" s="153">
        <f>IF(AND(CN$3&gt;=Inputs!$C$48,CN$3&lt;=Inputs!$C$15*12),-Inputs!$E$32/12*(1+Inputs!$C$47)^(CN$5-1),0)</f>
        <v>0</v>
      </c>
      <c r="CO20" s="153">
        <f>IF(AND(CO$3&gt;=Inputs!$C$48,CO$3&lt;=Inputs!$C$15*12),-Inputs!$E$32/12*(1+Inputs!$C$47)^(CO$5-1),0)</f>
        <v>0</v>
      </c>
      <c r="CP20" s="153">
        <f>IF(AND(CP$3&gt;=Inputs!$C$48,CP$3&lt;=Inputs!$C$15*12),-Inputs!$E$32/12*(1+Inputs!$C$47)^(CP$5-1),0)</f>
        <v>0</v>
      </c>
      <c r="CQ20" s="153">
        <f>IF(AND(CQ$3&gt;=Inputs!$C$48,CQ$3&lt;=Inputs!$C$15*12),-Inputs!$E$32/12*(1+Inputs!$C$47)^(CQ$5-1),0)</f>
        <v>0</v>
      </c>
      <c r="CR20" s="153">
        <f>IF(AND(CR$3&gt;=Inputs!$C$48,CR$3&lt;=Inputs!$C$15*12),-Inputs!$E$32/12*(1+Inputs!$C$47)^(CR$5-1),0)</f>
        <v>0</v>
      </c>
      <c r="CS20" s="153">
        <f>IF(AND(CS$3&gt;=Inputs!$C$48,CS$3&lt;=Inputs!$C$15*12),-Inputs!$E$32/12*(1+Inputs!$C$47)^(CS$5-1),0)</f>
        <v>0</v>
      </c>
      <c r="CT20" s="153">
        <f>IF(AND(CT$3&gt;=Inputs!$C$48,CT$3&lt;=Inputs!$C$15*12),-Inputs!$E$32/12*(1+Inputs!$C$47)^(CT$5-1),0)</f>
        <v>0</v>
      </c>
      <c r="CU20" s="153">
        <f>IF(AND(CU$3&gt;=Inputs!$C$48,CU$3&lt;=Inputs!$C$15*12),-Inputs!$E$32/12*(1+Inputs!$C$47)^(CU$5-1),0)</f>
        <v>0</v>
      </c>
      <c r="CV20" s="153">
        <f>IF(AND(CV$3&gt;=Inputs!$C$48,CV$3&lt;=Inputs!$C$15*12),-Inputs!$E$32/12*(1+Inputs!$C$47)^(CV$5-1),0)</f>
        <v>0</v>
      </c>
      <c r="CW20" s="153">
        <f>IF(AND(CW$3&gt;=Inputs!$C$48,CW$3&lt;=Inputs!$C$15*12),-Inputs!$E$32/12*(1+Inputs!$C$47)^(CW$5-1),0)</f>
        <v>0</v>
      </c>
      <c r="CX20" s="153">
        <f>IF(AND(CX$3&gt;=Inputs!$C$48,CX$3&lt;=Inputs!$C$15*12),-Inputs!$E$32/12*(1+Inputs!$C$47)^(CX$5-1),0)</f>
        <v>0</v>
      </c>
      <c r="CY20" s="153">
        <f>IF(AND(CY$3&gt;=Inputs!$C$48,CY$3&lt;=Inputs!$C$15*12),-Inputs!$E$32/12*(1+Inputs!$C$47)^(CY$5-1),0)</f>
        <v>0</v>
      </c>
      <c r="CZ20" s="153">
        <f>IF(AND(CZ$3&gt;=Inputs!$C$48,CZ$3&lt;=Inputs!$C$15*12),-Inputs!$E$32/12*(1+Inputs!$C$47)^(CZ$5-1),0)</f>
        <v>0</v>
      </c>
      <c r="DA20" s="153">
        <f>IF(AND(DA$3&gt;=Inputs!$C$48,DA$3&lt;=Inputs!$C$15*12),-Inputs!$E$32/12*(1+Inputs!$C$47)^(DA$5-1),0)</f>
        <v>0</v>
      </c>
      <c r="DB20" s="153">
        <f>IF(AND(DB$3&gt;=Inputs!$C$48,DB$3&lt;=Inputs!$C$15*12),-Inputs!$E$32/12*(1+Inputs!$C$47)^(DB$5-1),0)</f>
        <v>0</v>
      </c>
      <c r="DC20" s="153">
        <f>IF(AND(DC$3&gt;=Inputs!$C$48,DC$3&lt;=Inputs!$C$15*12),-Inputs!$E$32/12*(1+Inputs!$C$47)^(DC$5-1),0)</f>
        <v>0</v>
      </c>
      <c r="DD20" s="153">
        <f>IF(AND(DD$3&gt;=Inputs!$C$48,DD$3&lt;=Inputs!$C$15*12),-Inputs!$E$32/12*(1+Inputs!$C$47)^(DD$5-1),0)</f>
        <v>0</v>
      </c>
      <c r="DE20" s="153">
        <f>IF(AND(DE$3&gt;=Inputs!$C$48,DE$3&lt;=Inputs!$C$15*12),-Inputs!$E$32/12*(1+Inputs!$C$47)^(DE$5-1),0)</f>
        <v>0</v>
      </c>
      <c r="DF20" s="153">
        <f>IF(AND(DF$3&gt;=Inputs!$C$48,DF$3&lt;=Inputs!$C$15*12),-Inputs!$E$32/12*(1+Inputs!$C$47)^(DF$5-1),0)</f>
        <v>0</v>
      </c>
      <c r="DG20" s="153">
        <f>IF(AND(DG$3&gt;=Inputs!$C$48,DG$3&lt;=Inputs!$C$15*12),-Inputs!$E$32/12*(1+Inputs!$C$47)^(DG$5-1),0)</f>
        <v>0</v>
      </c>
      <c r="DH20" s="153">
        <f>IF(AND(DH$3&gt;=Inputs!$C$48,DH$3&lt;=Inputs!$C$15*12),-Inputs!$E$32/12*(1+Inputs!$C$47)^(DH$5-1),0)</f>
        <v>0</v>
      </c>
      <c r="DI20" s="153">
        <f>IF(AND(DI$3&gt;=Inputs!$C$48,DI$3&lt;=Inputs!$C$15*12),-Inputs!$E$32/12*(1+Inputs!$C$47)^(DI$5-1),0)</f>
        <v>0</v>
      </c>
      <c r="DJ20" s="153">
        <f>IF(AND(DJ$3&gt;=Inputs!$C$48,DJ$3&lt;=Inputs!$C$15*12),-Inputs!$E$32/12*(1+Inputs!$C$47)^(DJ$5-1),0)</f>
        <v>0</v>
      </c>
      <c r="DK20" s="153">
        <f>IF(AND(DK$3&gt;=Inputs!$C$48,DK$3&lt;=Inputs!$C$15*12),-Inputs!$E$32/12*(1+Inputs!$C$47)^(DK$5-1),0)</f>
        <v>0</v>
      </c>
      <c r="DL20" s="153">
        <f>IF(AND(DL$3&gt;=Inputs!$C$48,DL$3&lt;=Inputs!$C$15*12),-Inputs!$E$32/12*(1+Inputs!$C$47)^(DL$5-1),0)</f>
        <v>0</v>
      </c>
      <c r="DM20" s="153">
        <f>IF(AND(DM$3&gt;=Inputs!$C$48,DM$3&lt;=Inputs!$C$15*12),-Inputs!$E$32/12*(1+Inputs!$C$47)^(DM$5-1),0)</f>
        <v>0</v>
      </c>
      <c r="DN20" s="153">
        <f>IF(AND(DN$3&gt;=Inputs!$C$48,DN$3&lt;=Inputs!$C$15*12),-Inputs!$E$32/12*(1+Inputs!$C$47)^(DN$5-1),0)</f>
        <v>0</v>
      </c>
      <c r="DO20" s="153">
        <f>IF(AND(DO$3&gt;=Inputs!$C$48,DO$3&lt;=Inputs!$C$15*12),-Inputs!$E$32/12*(1+Inputs!$C$47)^(DO$5-1),0)</f>
        <v>0</v>
      </c>
      <c r="DP20" s="153">
        <f>IF(AND(DP$3&gt;=Inputs!$C$48,DP$3&lt;=Inputs!$C$15*12),-Inputs!$E$32/12*(1+Inputs!$C$47)^(DP$5-1),0)</f>
        <v>0</v>
      </c>
      <c r="DQ20" s="153">
        <f>IF(AND(DQ$3&gt;=Inputs!$C$48,DQ$3&lt;=Inputs!$C$15*12),-Inputs!$E$32/12*(1+Inputs!$C$47)^(DQ$5-1),0)</f>
        <v>0</v>
      </c>
      <c r="DR20" s="153">
        <f>IF(AND(DR$3&gt;=Inputs!$C$48,DR$3&lt;=Inputs!$C$15*12),-Inputs!$E$32/12*(1+Inputs!$C$47)^(DR$5-1),0)</f>
        <v>0</v>
      </c>
      <c r="DS20" s="54"/>
    </row>
    <row r="21" ht="15.0" customHeight="1">
      <c r="A21" s="54"/>
      <c r="B21" s="56" t="str">
        <f>Inputs!B33</f>
        <v>  Insurance</v>
      </c>
      <c r="C21" s="153">
        <f>IF(AND(C$3&gt;=Inputs!$C$48,C$3&lt;=Inputs!$C$15*12),-Inputs!$E$33/12*(1+Inputs!$C$47)^(C$5-1),0)</f>
        <v>0</v>
      </c>
      <c r="D21" s="153">
        <f>IF(AND(D$3&gt;=Inputs!$C$48,D$3&lt;=Inputs!$C$15*12),-Inputs!$E$33/12*(1+Inputs!$C$47)^(D$5-1),0)</f>
        <v>0</v>
      </c>
      <c r="E21" s="153">
        <f>IF(AND(E$3&gt;=Inputs!$C$48,E$3&lt;=Inputs!$C$15*12),-Inputs!$E$33/12*(1+Inputs!$C$47)^(E$5-1),0)</f>
        <v>0</v>
      </c>
      <c r="F21" s="153">
        <f>IF(AND(F$3&gt;=Inputs!$C$48,F$3&lt;=Inputs!$C$15*12),-Inputs!$E$33/12*(1+Inputs!$C$47)^(F$5-1),0)</f>
        <v>0</v>
      </c>
      <c r="G21" s="153">
        <f>IF(AND(G$3&gt;=Inputs!$C$48,G$3&lt;=Inputs!$C$15*12),-Inputs!$E$33/12*(1+Inputs!$C$47)^(G$5-1),0)</f>
        <v>0</v>
      </c>
      <c r="H21" s="153">
        <f>IF(AND(H$3&gt;=Inputs!$C$48,H$3&lt;=Inputs!$C$15*12),-Inputs!$E$33/12*(1+Inputs!$C$47)^(H$5-1),0)</f>
        <v>0</v>
      </c>
      <c r="I21" s="153">
        <f>IF(AND(I$3&gt;=Inputs!$C$48,I$3&lt;=Inputs!$C$15*12),-Inputs!$E$33/12*(1+Inputs!$C$47)^(I$5-1),0)</f>
        <v>0</v>
      </c>
      <c r="J21" s="153">
        <f>IF(AND(J$3&gt;=Inputs!$C$48,J$3&lt;=Inputs!$C$15*12),-Inputs!$E$33/12*(1+Inputs!$C$47)^(J$5-1),0)</f>
        <v>0</v>
      </c>
      <c r="K21" s="153">
        <f>IF(AND(K$3&gt;=Inputs!$C$48,K$3&lt;=Inputs!$C$15*12),-Inputs!$E$33/12*(1+Inputs!$C$47)^(K$5-1),0)</f>
        <v>0</v>
      </c>
      <c r="L21" s="153">
        <f>IF(AND(L$3&gt;=Inputs!$C$48,L$3&lt;=Inputs!$C$15*12),-Inputs!$E$33/12*(1+Inputs!$C$47)^(L$5-1),0)</f>
        <v>0</v>
      </c>
      <c r="M21" s="153">
        <f>IF(AND(M$3&gt;=Inputs!$C$48,M$3&lt;=Inputs!$C$15*12),-Inputs!$E$33/12*(1+Inputs!$C$47)^(M$5-1),0)</f>
        <v>0</v>
      </c>
      <c r="N21" s="153">
        <f>IF(AND(N$3&gt;=Inputs!$C$48,N$3&lt;=Inputs!$C$15*12),-Inputs!$E$33/12*(1+Inputs!$C$47)^(N$5-1),0)</f>
        <v>0</v>
      </c>
      <c r="O21" s="153">
        <f>IF(AND(O$3&gt;=Inputs!$C$48,O$3&lt;=Inputs!$C$15*12),-Inputs!$E$33/12*(1+Inputs!$C$47)^(O$5-1),0)</f>
        <v>0</v>
      </c>
      <c r="P21" s="153">
        <f>IF(AND(P$3&gt;=Inputs!$C$48,P$3&lt;=Inputs!$C$15*12),-Inputs!$E$33/12*(1+Inputs!$C$47)^(P$5-1),0)</f>
        <v>0</v>
      </c>
      <c r="Q21" s="153">
        <f>IF(AND(Q$3&gt;=Inputs!$C$48,Q$3&lt;=Inputs!$C$15*12),-Inputs!$E$33/12*(1+Inputs!$C$47)^(Q$5-1),0)</f>
        <v>0</v>
      </c>
      <c r="R21" s="153">
        <f>IF(AND(R$3&gt;=Inputs!$C$48,R$3&lt;=Inputs!$C$15*12),-Inputs!$E$33/12*(1+Inputs!$C$47)^(R$5-1),0)</f>
        <v>0</v>
      </c>
      <c r="S21" s="153">
        <f>IF(AND(S$3&gt;=Inputs!$C$48,S$3&lt;=Inputs!$C$15*12),-Inputs!$E$33/12*(1+Inputs!$C$47)^(S$5-1),0)</f>
        <v>0</v>
      </c>
      <c r="T21" s="153">
        <f>IF(AND(T$3&gt;=Inputs!$C$48,T$3&lt;=Inputs!$C$15*12),-Inputs!$E$33/12*(1+Inputs!$C$47)^(T$5-1),0)</f>
        <v>0</v>
      </c>
      <c r="U21" s="153">
        <f>IF(AND(U$3&gt;=Inputs!$C$48,U$3&lt;=Inputs!$C$15*12),-Inputs!$E$33/12*(1+Inputs!$C$47)^(U$5-1),0)</f>
        <v>0</v>
      </c>
      <c r="V21" s="153">
        <f>IF(AND(V$3&gt;=Inputs!$C$48,V$3&lt;=Inputs!$C$15*12),-Inputs!$E$33/12*(1+Inputs!$C$47)^(V$5-1),0)</f>
        <v>0</v>
      </c>
      <c r="W21" s="153">
        <f>IF(AND(W$3&gt;=Inputs!$C$48,W$3&lt;=Inputs!$C$15*12),-Inputs!$E$33/12*(1+Inputs!$C$47)^(W$5-1),0)</f>
        <v>0</v>
      </c>
      <c r="X21" s="153">
        <f>IF(AND(X$3&gt;=Inputs!$C$48,X$3&lt;=Inputs!$C$15*12),-Inputs!$E$33/12*(1+Inputs!$C$47)^(X$5-1),0)</f>
        <v>0</v>
      </c>
      <c r="Y21" s="153">
        <f>IF(AND(Y$3&gt;=Inputs!$C$48,Y$3&lt;=Inputs!$C$15*12),-Inputs!$E$33/12*(1+Inputs!$C$47)^(Y$5-1),0)</f>
        <v>0</v>
      </c>
      <c r="Z21" s="153">
        <f>IF(AND(Z$3&gt;=Inputs!$C$48,Z$3&lt;=Inputs!$C$15*12),-Inputs!$E$33/12*(1+Inputs!$C$47)^(Z$5-1),0)</f>
        <v>0</v>
      </c>
      <c r="AA21" s="153">
        <f>IF(AND(AA$3&gt;=Inputs!$C$48,AA$3&lt;=Inputs!$C$15*12),-Inputs!$E$33/12*(1+Inputs!$C$47)^(AA$5-1),0)</f>
        <v>0</v>
      </c>
      <c r="AB21" s="153">
        <f>IF(AND(AB$3&gt;=Inputs!$C$48,AB$3&lt;=Inputs!$C$15*12),-Inputs!$E$33/12*(1+Inputs!$C$47)^(AB$5-1),0)</f>
        <v>0</v>
      </c>
      <c r="AC21" s="153">
        <f>IF(AND(AC$3&gt;=Inputs!$C$48,AC$3&lt;=Inputs!$C$15*12),-Inputs!$E$33/12*(1+Inputs!$C$47)^(AC$5-1),0)</f>
        <v>0</v>
      </c>
      <c r="AD21" s="153">
        <f>IF(AND(AD$3&gt;=Inputs!$C$48,AD$3&lt;=Inputs!$C$15*12),-Inputs!$E$33/12*(1+Inputs!$C$47)^(AD$5-1),0)</f>
        <v>0</v>
      </c>
      <c r="AE21" s="153">
        <f>IF(AND(AE$3&gt;=Inputs!$C$48,AE$3&lt;=Inputs!$C$15*12),-Inputs!$E$33/12*(1+Inputs!$C$47)^(AE$5-1),0)</f>
        <v>0</v>
      </c>
      <c r="AF21" s="153">
        <f>IF(AND(AF$3&gt;=Inputs!$C$48,AF$3&lt;=Inputs!$C$15*12),-Inputs!$E$33/12*(1+Inputs!$C$47)^(AF$5-1),0)</f>
        <v>0</v>
      </c>
      <c r="AG21" s="153">
        <f>IF(AND(AG$3&gt;=Inputs!$C$48,AG$3&lt;=Inputs!$C$15*12),-Inputs!$E$33/12*(1+Inputs!$C$47)^(AG$5-1),0)</f>
        <v>0</v>
      </c>
      <c r="AH21" s="153">
        <f>IF(AND(AH$3&gt;=Inputs!$C$48,AH$3&lt;=Inputs!$C$15*12),-Inputs!$E$33/12*(1+Inputs!$C$47)^(AH$5-1),0)</f>
        <v>0</v>
      </c>
      <c r="AI21" s="153">
        <f>IF(AND(AI$3&gt;=Inputs!$C$48,AI$3&lt;=Inputs!$C$15*12),-Inputs!$E$33/12*(1+Inputs!$C$47)^(AI$5-1),0)</f>
        <v>0</v>
      </c>
      <c r="AJ21" s="153">
        <f>IF(AND(AJ$3&gt;=Inputs!$C$48,AJ$3&lt;=Inputs!$C$15*12),-Inputs!$E$33/12*(1+Inputs!$C$47)^(AJ$5-1),0)</f>
        <v>0</v>
      </c>
      <c r="AK21" s="153">
        <f>IF(AND(AK$3&gt;=Inputs!$C$48,AK$3&lt;=Inputs!$C$15*12),-Inputs!$E$33/12*(1+Inputs!$C$47)^(AK$5-1),0)</f>
        <v>0</v>
      </c>
      <c r="AL21" s="153">
        <f>IF(AND(AL$3&gt;=Inputs!$C$48,AL$3&lt;=Inputs!$C$15*12),-Inputs!$E$33/12*(1+Inputs!$C$47)^(AL$5-1),0)</f>
        <v>0</v>
      </c>
      <c r="AM21" s="153">
        <f>IF(AND(AM$3&gt;=Inputs!$C$48,AM$3&lt;=Inputs!$C$15*12),-Inputs!$E$33/12*(1+Inputs!$C$47)^(AM$5-1),0)</f>
        <v>0</v>
      </c>
      <c r="AN21" s="153">
        <f>IF(AND(AN$3&gt;=Inputs!$C$48,AN$3&lt;=Inputs!$C$15*12),-Inputs!$E$33/12*(1+Inputs!$C$47)^(AN$5-1),0)</f>
        <v>0</v>
      </c>
      <c r="AO21" s="153">
        <f>IF(AND(AO$3&gt;=Inputs!$C$48,AO$3&lt;=Inputs!$C$15*12),-Inputs!$E$33/12*(1+Inputs!$C$47)^(AO$5-1),0)</f>
        <v>0</v>
      </c>
      <c r="AP21" s="153">
        <f>IF(AND(AP$3&gt;=Inputs!$C$48,AP$3&lt;=Inputs!$C$15*12),-Inputs!$E$33/12*(1+Inputs!$C$47)^(AP$5-1),0)</f>
        <v>0</v>
      </c>
      <c r="AQ21" s="153">
        <f>IF(AND(AQ$3&gt;=Inputs!$C$48,AQ$3&lt;=Inputs!$C$15*12),-Inputs!$E$33/12*(1+Inputs!$C$47)^(AQ$5-1),0)</f>
        <v>0</v>
      </c>
      <c r="AR21" s="153">
        <f>IF(AND(AR$3&gt;=Inputs!$C$48,AR$3&lt;=Inputs!$C$15*12),-Inputs!$E$33/12*(1+Inputs!$C$47)^(AR$5-1),0)</f>
        <v>0</v>
      </c>
      <c r="AS21" s="153">
        <f>IF(AND(AS$3&gt;=Inputs!$C$48,AS$3&lt;=Inputs!$C$15*12),-Inputs!$E$33/12*(1+Inputs!$C$47)^(AS$5-1),0)</f>
        <v>0</v>
      </c>
      <c r="AT21" s="153">
        <f>IF(AND(AT$3&gt;=Inputs!$C$48,AT$3&lt;=Inputs!$C$15*12),-Inputs!$E$33/12*(1+Inputs!$C$47)^(AT$5-1),0)</f>
        <v>0</v>
      </c>
      <c r="AU21" s="153">
        <f>IF(AND(AU$3&gt;=Inputs!$C$48,AU$3&lt;=Inputs!$C$15*12),-Inputs!$E$33/12*(1+Inputs!$C$47)^(AU$5-1),0)</f>
        <v>0</v>
      </c>
      <c r="AV21" s="153">
        <f>IF(AND(AV$3&gt;=Inputs!$C$48,AV$3&lt;=Inputs!$C$15*12),-Inputs!$E$33/12*(1+Inputs!$C$47)^(AV$5-1),0)</f>
        <v>0</v>
      </c>
      <c r="AW21" s="153">
        <f>IF(AND(AW$3&gt;=Inputs!$C$48,AW$3&lt;=Inputs!$C$15*12),-Inputs!$E$33/12*(1+Inputs!$C$47)^(AW$5-1),0)</f>
        <v>0</v>
      </c>
      <c r="AX21" s="153">
        <f>IF(AND(AX$3&gt;=Inputs!$C$48,AX$3&lt;=Inputs!$C$15*12),-Inputs!$E$33/12*(1+Inputs!$C$47)^(AX$5-1),0)</f>
        <v>0</v>
      </c>
      <c r="AY21" s="153">
        <f>IF(AND(AY$3&gt;=Inputs!$C$48,AY$3&lt;=Inputs!$C$15*12),-Inputs!$E$33/12*(1+Inputs!$C$47)^(AY$5-1),0)</f>
        <v>0</v>
      </c>
      <c r="AZ21" s="153">
        <f>IF(AND(AZ$3&gt;=Inputs!$C$48,AZ$3&lt;=Inputs!$C$15*12),-Inputs!$E$33/12*(1+Inputs!$C$47)^(AZ$5-1),0)</f>
        <v>0</v>
      </c>
      <c r="BA21" s="153">
        <f>IF(AND(BA$3&gt;=Inputs!$C$48,BA$3&lt;=Inputs!$C$15*12),-Inputs!$E$33/12*(1+Inputs!$C$47)^(BA$5-1),0)</f>
        <v>0</v>
      </c>
      <c r="BB21" s="153">
        <f>IF(AND(BB$3&gt;=Inputs!$C$48,BB$3&lt;=Inputs!$C$15*12),-Inputs!$E$33/12*(1+Inputs!$C$47)^(BB$5-1),0)</f>
        <v>0</v>
      </c>
      <c r="BC21" s="153">
        <f>IF(AND(BC$3&gt;=Inputs!$C$48,BC$3&lt;=Inputs!$C$15*12),-Inputs!$E$33/12*(1+Inputs!$C$47)^(BC$5-1),0)</f>
        <v>0</v>
      </c>
      <c r="BD21" s="153">
        <f>IF(AND(BD$3&gt;=Inputs!$C$48,BD$3&lt;=Inputs!$C$15*12),-Inputs!$E$33/12*(1+Inputs!$C$47)^(BD$5-1),0)</f>
        <v>0</v>
      </c>
      <c r="BE21" s="153">
        <f>IF(AND(BE$3&gt;=Inputs!$C$48,BE$3&lt;=Inputs!$C$15*12),-Inputs!$E$33/12*(1+Inputs!$C$47)^(BE$5-1),0)</f>
        <v>0</v>
      </c>
      <c r="BF21" s="153">
        <f>IF(AND(BF$3&gt;=Inputs!$C$48,BF$3&lt;=Inputs!$C$15*12),-Inputs!$E$33/12*(1+Inputs!$C$47)^(BF$5-1),0)</f>
        <v>0</v>
      </c>
      <c r="BG21" s="153">
        <f>IF(AND(BG$3&gt;=Inputs!$C$48,BG$3&lt;=Inputs!$C$15*12),-Inputs!$E$33/12*(1+Inputs!$C$47)^(BG$5-1),0)</f>
        <v>0</v>
      </c>
      <c r="BH21" s="153">
        <f>IF(AND(BH$3&gt;=Inputs!$C$48,BH$3&lt;=Inputs!$C$15*12),-Inputs!$E$33/12*(1+Inputs!$C$47)^(BH$5-1),0)</f>
        <v>0</v>
      </c>
      <c r="BI21" s="153">
        <f>IF(AND(BI$3&gt;=Inputs!$C$48,BI$3&lt;=Inputs!$C$15*12),-Inputs!$E$33/12*(1+Inputs!$C$47)^(BI$5-1),0)</f>
        <v>0</v>
      </c>
      <c r="BJ21" s="153">
        <f>IF(AND(BJ$3&gt;=Inputs!$C$48,BJ$3&lt;=Inputs!$C$15*12),-Inputs!$E$33/12*(1+Inputs!$C$47)^(BJ$5-1),0)</f>
        <v>0</v>
      </c>
      <c r="BK21" s="153">
        <f>IF(AND(BK$3&gt;=Inputs!$C$48,BK$3&lt;=Inputs!$C$15*12),-Inputs!$E$33/12*(1+Inputs!$C$47)^(BK$5-1),0)</f>
        <v>0</v>
      </c>
      <c r="BL21" s="153">
        <f>IF(AND(BL$3&gt;=Inputs!$C$48,BL$3&lt;=Inputs!$C$15*12),-Inputs!$E$33/12*(1+Inputs!$C$47)^(BL$5-1),0)</f>
        <v>0</v>
      </c>
      <c r="BM21" s="153">
        <f>IF(AND(BM$3&gt;=Inputs!$C$48,BM$3&lt;=Inputs!$C$15*12),-Inputs!$E$33/12*(1+Inputs!$C$47)^(BM$5-1),0)</f>
        <v>0</v>
      </c>
      <c r="BN21" s="153">
        <f>IF(AND(BN$3&gt;=Inputs!$C$48,BN$3&lt;=Inputs!$C$15*12),-Inputs!$E$33/12*(1+Inputs!$C$47)^(BN$5-1),0)</f>
        <v>0</v>
      </c>
      <c r="BO21" s="153">
        <f>IF(AND(BO$3&gt;=Inputs!$C$48,BO$3&lt;=Inputs!$C$15*12),-Inputs!$E$33/12*(1+Inputs!$C$47)^(BO$5-1),0)</f>
        <v>0</v>
      </c>
      <c r="BP21" s="153">
        <f>IF(AND(BP$3&gt;=Inputs!$C$48,BP$3&lt;=Inputs!$C$15*12),-Inputs!$E$33/12*(1+Inputs!$C$47)^(BP$5-1),0)</f>
        <v>0</v>
      </c>
      <c r="BQ21" s="153">
        <f>IF(AND(BQ$3&gt;=Inputs!$C$48,BQ$3&lt;=Inputs!$C$15*12),-Inputs!$E$33/12*(1+Inputs!$C$47)^(BQ$5-1),0)</f>
        <v>0</v>
      </c>
      <c r="BR21" s="153">
        <f>IF(AND(BR$3&gt;=Inputs!$C$48,BR$3&lt;=Inputs!$C$15*12),-Inputs!$E$33/12*(1+Inputs!$C$47)^(BR$5-1),0)</f>
        <v>0</v>
      </c>
      <c r="BS21" s="153">
        <f>IF(AND(BS$3&gt;=Inputs!$C$48,BS$3&lt;=Inputs!$C$15*12),-Inputs!$E$33/12*(1+Inputs!$C$47)^(BS$5-1),0)</f>
        <v>0</v>
      </c>
      <c r="BT21" s="153">
        <f>IF(AND(BT$3&gt;=Inputs!$C$48,BT$3&lt;=Inputs!$C$15*12),-Inputs!$E$33/12*(1+Inputs!$C$47)^(BT$5-1),0)</f>
        <v>0</v>
      </c>
      <c r="BU21" s="153">
        <f>IF(AND(BU$3&gt;=Inputs!$C$48,BU$3&lt;=Inputs!$C$15*12),-Inputs!$E$33/12*(1+Inputs!$C$47)^(BU$5-1),0)</f>
        <v>0</v>
      </c>
      <c r="BV21" s="153">
        <f>IF(AND(BV$3&gt;=Inputs!$C$48,BV$3&lt;=Inputs!$C$15*12),-Inputs!$E$33/12*(1+Inputs!$C$47)^(BV$5-1),0)</f>
        <v>0</v>
      </c>
      <c r="BW21" s="153">
        <f>IF(AND(BW$3&gt;=Inputs!$C$48,BW$3&lt;=Inputs!$C$15*12),-Inputs!$E$33/12*(1+Inputs!$C$47)^(BW$5-1),0)</f>
        <v>0</v>
      </c>
      <c r="BX21" s="153">
        <f>IF(AND(BX$3&gt;=Inputs!$C$48,BX$3&lt;=Inputs!$C$15*12),-Inputs!$E$33/12*(1+Inputs!$C$47)^(BX$5-1),0)</f>
        <v>0</v>
      </c>
      <c r="BY21" s="153">
        <f>IF(AND(BY$3&gt;=Inputs!$C$48,BY$3&lt;=Inputs!$C$15*12),-Inputs!$E$33/12*(1+Inputs!$C$47)^(BY$5-1),0)</f>
        <v>0</v>
      </c>
      <c r="BZ21" s="153">
        <f>IF(AND(BZ$3&gt;=Inputs!$C$48,BZ$3&lt;=Inputs!$C$15*12),-Inputs!$E$33/12*(1+Inputs!$C$47)^(BZ$5-1),0)</f>
        <v>0</v>
      </c>
      <c r="CA21" s="153">
        <f>IF(AND(CA$3&gt;=Inputs!$C$48,CA$3&lt;=Inputs!$C$15*12),-Inputs!$E$33/12*(1+Inputs!$C$47)^(CA$5-1),0)</f>
        <v>0</v>
      </c>
      <c r="CB21" s="153">
        <f>IF(AND(CB$3&gt;=Inputs!$C$48,CB$3&lt;=Inputs!$C$15*12),-Inputs!$E$33/12*(1+Inputs!$C$47)^(CB$5-1),0)</f>
        <v>0</v>
      </c>
      <c r="CC21" s="153">
        <f>IF(AND(CC$3&gt;=Inputs!$C$48,CC$3&lt;=Inputs!$C$15*12),-Inputs!$E$33/12*(1+Inputs!$C$47)^(CC$5-1),0)</f>
        <v>0</v>
      </c>
      <c r="CD21" s="153">
        <f>IF(AND(CD$3&gt;=Inputs!$C$48,CD$3&lt;=Inputs!$C$15*12),-Inputs!$E$33/12*(1+Inputs!$C$47)^(CD$5-1),0)</f>
        <v>0</v>
      </c>
      <c r="CE21" s="153">
        <f>IF(AND(CE$3&gt;=Inputs!$C$48,CE$3&lt;=Inputs!$C$15*12),-Inputs!$E$33/12*(1+Inputs!$C$47)^(CE$5-1),0)</f>
        <v>0</v>
      </c>
      <c r="CF21" s="153">
        <f>IF(AND(CF$3&gt;=Inputs!$C$48,CF$3&lt;=Inputs!$C$15*12),-Inputs!$E$33/12*(1+Inputs!$C$47)^(CF$5-1),0)</f>
        <v>0</v>
      </c>
      <c r="CG21" s="153">
        <f>IF(AND(CG$3&gt;=Inputs!$C$48,CG$3&lt;=Inputs!$C$15*12),-Inputs!$E$33/12*(1+Inputs!$C$47)^(CG$5-1),0)</f>
        <v>0</v>
      </c>
      <c r="CH21" s="153">
        <f>IF(AND(CH$3&gt;=Inputs!$C$48,CH$3&lt;=Inputs!$C$15*12),-Inputs!$E$33/12*(1+Inputs!$C$47)^(CH$5-1),0)</f>
        <v>0</v>
      </c>
      <c r="CI21" s="153">
        <f>IF(AND(CI$3&gt;=Inputs!$C$48,CI$3&lt;=Inputs!$C$15*12),-Inputs!$E$33/12*(1+Inputs!$C$47)^(CI$5-1),0)</f>
        <v>0</v>
      </c>
      <c r="CJ21" s="153">
        <f>IF(AND(CJ$3&gt;=Inputs!$C$48,CJ$3&lt;=Inputs!$C$15*12),-Inputs!$E$33/12*(1+Inputs!$C$47)^(CJ$5-1),0)</f>
        <v>0</v>
      </c>
      <c r="CK21" s="153">
        <f>IF(AND(CK$3&gt;=Inputs!$C$48,CK$3&lt;=Inputs!$C$15*12),-Inputs!$E$33/12*(1+Inputs!$C$47)^(CK$5-1),0)</f>
        <v>0</v>
      </c>
      <c r="CL21" s="153">
        <f>IF(AND(CL$3&gt;=Inputs!$C$48,CL$3&lt;=Inputs!$C$15*12),-Inputs!$E$33/12*(1+Inputs!$C$47)^(CL$5-1),0)</f>
        <v>0</v>
      </c>
      <c r="CM21" s="153">
        <f>IF(AND(CM$3&gt;=Inputs!$C$48,CM$3&lt;=Inputs!$C$15*12),-Inputs!$E$33/12*(1+Inputs!$C$47)^(CM$5-1),0)</f>
        <v>0</v>
      </c>
      <c r="CN21" s="153">
        <f>IF(AND(CN$3&gt;=Inputs!$C$48,CN$3&lt;=Inputs!$C$15*12),-Inputs!$E$33/12*(1+Inputs!$C$47)^(CN$5-1),0)</f>
        <v>0</v>
      </c>
      <c r="CO21" s="153">
        <f>IF(AND(CO$3&gt;=Inputs!$C$48,CO$3&lt;=Inputs!$C$15*12),-Inputs!$E$33/12*(1+Inputs!$C$47)^(CO$5-1),0)</f>
        <v>0</v>
      </c>
      <c r="CP21" s="153">
        <f>IF(AND(CP$3&gt;=Inputs!$C$48,CP$3&lt;=Inputs!$C$15*12),-Inputs!$E$33/12*(1+Inputs!$C$47)^(CP$5-1),0)</f>
        <v>0</v>
      </c>
      <c r="CQ21" s="153">
        <f>IF(AND(CQ$3&gt;=Inputs!$C$48,CQ$3&lt;=Inputs!$C$15*12),-Inputs!$E$33/12*(1+Inputs!$C$47)^(CQ$5-1),0)</f>
        <v>0</v>
      </c>
      <c r="CR21" s="153">
        <f>IF(AND(CR$3&gt;=Inputs!$C$48,CR$3&lt;=Inputs!$C$15*12),-Inputs!$E$33/12*(1+Inputs!$C$47)^(CR$5-1),0)</f>
        <v>0</v>
      </c>
      <c r="CS21" s="153">
        <f>IF(AND(CS$3&gt;=Inputs!$C$48,CS$3&lt;=Inputs!$C$15*12),-Inputs!$E$33/12*(1+Inputs!$C$47)^(CS$5-1),0)</f>
        <v>0</v>
      </c>
      <c r="CT21" s="153">
        <f>IF(AND(CT$3&gt;=Inputs!$C$48,CT$3&lt;=Inputs!$C$15*12),-Inputs!$E$33/12*(1+Inputs!$C$47)^(CT$5-1),0)</f>
        <v>0</v>
      </c>
      <c r="CU21" s="153">
        <f>IF(AND(CU$3&gt;=Inputs!$C$48,CU$3&lt;=Inputs!$C$15*12),-Inputs!$E$33/12*(1+Inputs!$C$47)^(CU$5-1),0)</f>
        <v>0</v>
      </c>
      <c r="CV21" s="153">
        <f>IF(AND(CV$3&gt;=Inputs!$C$48,CV$3&lt;=Inputs!$C$15*12),-Inputs!$E$33/12*(1+Inputs!$C$47)^(CV$5-1),0)</f>
        <v>0</v>
      </c>
      <c r="CW21" s="153">
        <f>IF(AND(CW$3&gt;=Inputs!$C$48,CW$3&lt;=Inputs!$C$15*12),-Inputs!$E$33/12*(1+Inputs!$C$47)^(CW$5-1),0)</f>
        <v>0</v>
      </c>
      <c r="CX21" s="153">
        <f>IF(AND(CX$3&gt;=Inputs!$C$48,CX$3&lt;=Inputs!$C$15*12),-Inputs!$E$33/12*(1+Inputs!$C$47)^(CX$5-1),0)</f>
        <v>0</v>
      </c>
      <c r="CY21" s="153">
        <f>IF(AND(CY$3&gt;=Inputs!$C$48,CY$3&lt;=Inputs!$C$15*12),-Inputs!$E$33/12*(1+Inputs!$C$47)^(CY$5-1),0)</f>
        <v>0</v>
      </c>
      <c r="CZ21" s="153">
        <f>IF(AND(CZ$3&gt;=Inputs!$C$48,CZ$3&lt;=Inputs!$C$15*12),-Inputs!$E$33/12*(1+Inputs!$C$47)^(CZ$5-1),0)</f>
        <v>0</v>
      </c>
      <c r="DA21" s="153">
        <f>IF(AND(DA$3&gt;=Inputs!$C$48,DA$3&lt;=Inputs!$C$15*12),-Inputs!$E$33/12*(1+Inputs!$C$47)^(DA$5-1),0)</f>
        <v>0</v>
      </c>
      <c r="DB21" s="153">
        <f>IF(AND(DB$3&gt;=Inputs!$C$48,DB$3&lt;=Inputs!$C$15*12),-Inputs!$E$33/12*(1+Inputs!$C$47)^(DB$5-1),0)</f>
        <v>0</v>
      </c>
      <c r="DC21" s="153">
        <f>IF(AND(DC$3&gt;=Inputs!$C$48,DC$3&lt;=Inputs!$C$15*12),-Inputs!$E$33/12*(1+Inputs!$C$47)^(DC$5-1),0)</f>
        <v>0</v>
      </c>
      <c r="DD21" s="153">
        <f>IF(AND(DD$3&gt;=Inputs!$C$48,DD$3&lt;=Inputs!$C$15*12),-Inputs!$E$33/12*(1+Inputs!$C$47)^(DD$5-1),0)</f>
        <v>0</v>
      </c>
      <c r="DE21" s="153">
        <f>IF(AND(DE$3&gt;=Inputs!$C$48,DE$3&lt;=Inputs!$C$15*12),-Inputs!$E$33/12*(1+Inputs!$C$47)^(DE$5-1),0)</f>
        <v>0</v>
      </c>
      <c r="DF21" s="153">
        <f>IF(AND(DF$3&gt;=Inputs!$C$48,DF$3&lt;=Inputs!$C$15*12),-Inputs!$E$33/12*(1+Inputs!$C$47)^(DF$5-1),0)</f>
        <v>0</v>
      </c>
      <c r="DG21" s="153">
        <f>IF(AND(DG$3&gt;=Inputs!$C$48,DG$3&lt;=Inputs!$C$15*12),-Inputs!$E$33/12*(1+Inputs!$C$47)^(DG$5-1),0)</f>
        <v>0</v>
      </c>
      <c r="DH21" s="153">
        <f>IF(AND(DH$3&gt;=Inputs!$C$48,DH$3&lt;=Inputs!$C$15*12),-Inputs!$E$33/12*(1+Inputs!$C$47)^(DH$5-1),0)</f>
        <v>0</v>
      </c>
      <c r="DI21" s="153">
        <f>IF(AND(DI$3&gt;=Inputs!$C$48,DI$3&lt;=Inputs!$C$15*12),-Inputs!$E$33/12*(1+Inputs!$C$47)^(DI$5-1),0)</f>
        <v>0</v>
      </c>
      <c r="DJ21" s="153">
        <f>IF(AND(DJ$3&gt;=Inputs!$C$48,DJ$3&lt;=Inputs!$C$15*12),-Inputs!$E$33/12*(1+Inputs!$C$47)^(DJ$5-1),0)</f>
        <v>0</v>
      </c>
      <c r="DK21" s="153">
        <f>IF(AND(DK$3&gt;=Inputs!$C$48,DK$3&lt;=Inputs!$C$15*12),-Inputs!$E$33/12*(1+Inputs!$C$47)^(DK$5-1),0)</f>
        <v>0</v>
      </c>
      <c r="DL21" s="153">
        <f>IF(AND(DL$3&gt;=Inputs!$C$48,DL$3&lt;=Inputs!$C$15*12),-Inputs!$E$33/12*(1+Inputs!$C$47)^(DL$5-1),0)</f>
        <v>0</v>
      </c>
      <c r="DM21" s="153">
        <f>IF(AND(DM$3&gt;=Inputs!$C$48,DM$3&lt;=Inputs!$C$15*12),-Inputs!$E$33/12*(1+Inputs!$C$47)^(DM$5-1),0)</f>
        <v>0</v>
      </c>
      <c r="DN21" s="153">
        <f>IF(AND(DN$3&gt;=Inputs!$C$48,DN$3&lt;=Inputs!$C$15*12),-Inputs!$E$33/12*(1+Inputs!$C$47)^(DN$5-1),0)</f>
        <v>0</v>
      </c>
      <c r="DO21" s="153">
        <f>IF(AND(DO$3&gt;=Inputs!$C$48,DO$3&lt;=Inputs!$C$15*12),-Inputs!$E$33/12*(1+Inputs!$C$47)^(DO$5-1),0)</f>
        <v>0</v>
      </c>
      <c r="DP21" s="153">
        <f>IF(AND(DP$3&gt;=Inputs!$C$48,DP$3&lt;=Inputs!$C$15*12),-Inputs!$E$33/12*(1+Inputs!$C$47)^(DP$5-1),0)</f>
        <v>0</v>
      </c>
      <c r="DQ21" s="153">
        <f>IF(AND(DQ$3&gt;=Inputs!$C$48,DQ$3&lt;=Inputs!$C$15*12),-Inputs!$E$33/12*(1+Inputs!$C$47)^(DQ$5-1),0)</f>
        <v>0</v>
      </c>
      <c r="DR21" s="153">
        <f>IF(AND(DR$3&gt;=Inputs!$C$48,DR$3&lt;=Inputs!$C$15*12),-Inputs!$E$33/12*(1+Inputs!$C$47)^(DR$5-1),0)</f>
        <v>0</v>
      </c>
      <c r="DS21" s="54"/>
    </row>
    <row r="22" ht="15.0" customHeight="1">
      <c r="A22" s="54"/>
      <c r="B22" s="56" t="str">
        <f>Inputs!B34</f>
        <v>  Property Management Fee (%EGI)</v>
      </c>
      <c r="C22" s="153">
        <f>IF(AND(C$3&gt;=Inputs!$C$48,C$3&lt;=Inputs!$C$15*12),-C11*Inputs!$E$34,0)</f>
        <v>0</v>
      </c>
      <c r="D22" s="153">
        <f>IF(AND(D$3&gt;=Inputs!$C$48,D$3&lt;=Inputs!$C$15*12),-D11*Inputs!$E$34,0)</f>
        <v>0</v>
      </c>
      <c r="E22" s="153">
        <f>IF(AND(E$3&gt;=Inputs!$C$48,E$3&lt;=Inputs!$C$15*12),-E11*Inputs!$E$34,0)</f>
        <v>0</v>
      </c>
      <c r="F22" s="153">
        <f>IF(AND(F$3&gt;=Inputs!$C$48,F$3&lt;=Inputs!$C$15*12),-F11*Inputs!$E$34,0)</f>
        <v>0</v>
      </c>
      <c r="G22" s="153">
        <f>IF(AND(G$3&gt;=Inputs!$C$48,G$3&lt;=Inputs!$C$15*12),-G11*Inputs!$E$34,0)</f>
        <v>0</v>
      </c>
      <c r="H22" s="153">
        <f>IF(AND(H$3&gt;=Inputs!$C$48,H$3&lt;=Inputs!$C$15*12),-H11*Inputs!$E$34,0)</f>
        <v>0</v>
      </c>
      <c r="I22" s="153">
        <f>IF(AND(I$3&gt;=Inputs!$C$48,I$3&lt;=Inputs!$C$15*12),-I11*Inputs!$E$34,0)</f>
        <v>0</v>
      </c>
      <c r="J22" s="153">
        <f>IF(AND(J$3&gt;=Inputs!$C$48,J$3&lt;=Inputs!$C$15*12),-J11*Inputs!$E$34,0)</f>
        <v>0</v>
      </c>
      <c r="K22" s="153">
        <f>IF(AND(K$3&gt;=Inputs!$C$48,K$3&lt;=Inputs!$C$15*12),-K11*Inputs!$E$34,0)</f>
        <v>0</v>
      </c>
      <c r="L22" s="153">
        <f>IF(AND(L$3&gt;=Inputs!$C$48,L$3&lt;=Inputs!$C$15*12),-L11*Inputs!$E$34,0)</f>
        <v>0</v>
      </c>
      <c r="M22" s="153">
        <f>IF(AND(M$3&gt;=Inputs!$C$48,M$3&lt;=Inputs!$C$15*12),-M11*Inputs!$E$34,0)</f>
        <v>0</v>
      </c>
      <c r="N22" s="153">
        <f>IF(AND(N$3&gt;=Inputs!$C$48,N$3&lt;=Inputs!$C$15*12),-N11*Inputs!$E$34,0)</f>
        <v>0</v>
      </c>
      <c r="O22" s="153">
        <f>IF(AND(O$3&gt;=Inputs!$C$48,O$3&lt;=Inputs!$C$15*12),-O11*Inputs!$E$34,0)</f>
        <v>0</v>
      </c>
      <c r="P22" s="153">
        <f>IF(AND(P$3&gt;=Inputs!$C$48,P$3&lt;=Inputs!$C$15*12),-P11*Inputs!$E$34,0)</f>
        <v>0</v>
      </c>
      <c r="Q22" s="153">
        <f>IF(AND(Q$3&gt;=Inputs!$C$48,Q$3&lt;=Inputs!$C$15*12),-Q11*Inputs!$E$34,0)</f>
        <v>0</v>
      </c>
      <c r="R22" s="153">
        <f>IF(AND(R$3&gt;=Inputs!$C$48,R$3&lt;=Inputs!$C$15*12),-R11*Inputs!$E$34,0)</f>
        <v>0</v>
      </c>
      <c r="S22" s="153">
        <f>IF(AND(S$3&gt;=Inputs!$C$48,S$3&lt;=Inputs!$C$15*12),-S11*Inputs!$E$34,0)</f>
        <v>0</v>
      </c>
      <c r="T22" s="153">
        <f>IF(AND(T$3&gt;=Inputs!$C$48,T$3&lt;=Inputs!$C$15*12),-T11*Inputs!$E$34,0)</f>
        <v>0</v>
      </c>
      <c r="U22" s="153">
        <f>IF(AND(U$3&gt;=Inputs!$C$48,U$3&lt;=Inputs!$C$15*12),-U11*Inputs!$E$34,0)</f>
        <v>0</v>
      </c>
      <c r="V22" s="153">
        <f>IF(AND(V$3&gt;=Inputs!$C$48,V$3&lt;=Inputs!$C$15*12),-V11*Inputs!$E$34,0)</f>
        <v>0</v>
      </c>
      <c r="W22" s="153">
        <f>IF(AND(W$3&gt;=Inputs!$C$48,W$3&lt;=Inputs!$C$15*12),-W11*Inputs!$E$34,0)</f>
        <v>0</v>
      </c>
      <c r="X22" s="153">
        <f>IF(AND(X$3&gt;=Inputs!$C$48,X$3&lt;=Inputs!$C$15*12),-X11*Inputs!$E$34,0)</f>
        <v>0</v>
      </c>
      <c r="Y22" s="153">
        <f>IF(AND(Y$3&gt;=Inputs!$C$48,Y$3&lt;=Inputs!$C$15*12),-Y11*Inputs!$E$34,0)</f>
        <v>0</v>
      </c>
      <c r="Z22" s="153">
        <f>IF(AND(Z$3&gt;=Inputs!$C$48,Z$3&lt;=Inputs!$C$15*12),-Z11*Inputs!$E$34,0)</f>
        <v>0</v>
      </c>
      <c r="AA22" s="153">
        <f>IF(AND(AA$3&gt;=Inputs!$C$48,AA$3&lt;=Inputs!$C$15*12),-AA11*Inputs!$E$34,0)</f>
        <v>0</v>
      </c>
      <c r="AB22" s="153">
        <f>IF(AND(AB$3&gt;=Inputs!$C$48,AB$3&lt;=Inputs!$C$15*12),-AB11*Inputs!$E$34,0)</f>
        <v>0</v>
      </c>
      <c r="AC22" s="153">
        <f>IF(AND(AC$3&gt;=Inputs!$C$48,AC$3&lt;=Inputs!$C$15*12),-AC11*Inputs!$E$34,0)</f>
        <v>0</v>
      </c>
      <c r="AD22" s="153">
        <f>IF(AND(AD$3&gt;=Inputs!$C$48,AD$3&lt;=Inputs!$C$15*12),-AD11*Inputs!$E$34,0)</f>
        <v>0</v>
      </c>
      <c r="AE22" s="153">
        <f>IF(AND(AE$3&gt;=Inputs!$C$48,AE$3&lt;=Inputs!$C$15*12),-AE11*Inputs!$E$34,0)</f>
        <v>0</v>
      </c>
      <c r="AF22" s="153">
        <f>IF(AND(AF$3&gt;=Inputs!$C$48,AF$3&lt;=Inputs!$C$15*12),-AF11*Inputs!$E$34,0)</f>
        <v>0</v>
      </c>
      <c r="AG22" s="153">
        <f>IF(AND(AG$3&gt;=Inputs!$C$48,AG$3&lt;=Inputs!$C$15*12),-AG11*Inputs!$E$34,0)</f>
        <v>0</v>
      </c>
      <c r="AH22" s="153">
        <f>IF(AND(AH$3&gt;=Inputs!$C$48,AH$3&lt;=Inputs!$C$15*12),-AH11*Inputs!$E$34,0)</f>
        <v>0</v>
      </c>
      <c r="AI22" s="153">
        <f>IF(AND(AI$3&gt;=Inputs!$C$48,AI$3&lt;=Inputs!$C$15*12),-AI11*Inputs!$E$34,0)</f>
        <v>0</v>
      </c>
      <c r="AJ22" s="153">
        <f>IF(AND(AJ$3&gt;=Inputs!$C$48,AJ$3&lt;=Inputs!$C$15*12),-AJ11*Inputs!$E$34,0)</f>
        <v>0</v>
      </c>
      <c r="AK22" s="153">
        <f>IF(AND(AK$3&gt;=Inputs!$C$48,AK$3&lt;=Inputs!$C$15*12),-AK11*Inputs!$E$34,0)</f>
        <v>0</v>
      </c>
      <c r="AL22" s="153">
        <f>IF(AND(AL$3&gt;=Inputs!$C$48,AL$3&lt;=Inputs!$C$15*12),-AL11*Inputs!$E$34,0)</f>
        <v>0</v>
      </c>
      <c r="AM22" s="153">
        <f>IF(AND(AM$3&gt;=Inputs!$C$48,AM$3&lt;=Inputs!$C$15*12),-AM11*Inputs!$E$34,0)</f>
        <v>0</v>
      </c>
      <c r="AN22" s="153">
        <f>IF(AND(AN$3&gt;=Inputs!$C$48,AN$3&lt;=Inputs!$C$15*12),-AN11*Inputs!$E$34,0)</f>
        <v>0</v>
      </c>
      <c r="AO22" s="153">
        <f>IF(AND(AO$3&gt;=Inputs!$C$48,AO$3&lt;=Inputs!$C$15*12),-AO11*Inputs!$E$34,0)</f>
        <v>0</v>
      </c>
      <c r="AP22" s="153">
        <f>IF(AND(AP$3&gt;=Inputs!$C$48,AP$3&lt;=Inputs!$C$15*12),-AP11*Inputs!$E$34,0)</f>
        <v>0</v>
      </c>
      <c r="AQ22" s="153">
        <f>IF(AND(AQ$3&gt;=Inputs!$C$48,AQ$3&lt;=Inputs!$C$15*12),-AQ11*Inputs!$E$34,0)</f>
        <v>0</v>
      </c>
      <c r="AR22" s="153">
        <f>IF(AND(AR$3&gt;=Inputs!$C$48,AR$3&lt;=Inputs!$C$15*12),-AR11*Inputs!$E$34,0)</f>
        <v>0</v>
      </c>
      <c r="AS22" s="153">
        <f>IF(AND(AS$3&gt;=Inputs!$C$48,AS$3&lt;=Inputs!$C$15*12),-AS11*Inputs!$E$34,0)</f>
        <v>0</v>
      </c>
      <c r="AT22" s="153">
        <f>IF(AND(AT$3&gt;=Inputs!$C$48,AT$3&lt;=Inputs!$C$15*12),-AT11*Inputs!$E$34,0)</f>
        <v>0</v>
      </c>
      <c r="AU22" s="153">
        <f>IF(AND(AU$3&gt;=Inputs!$C$48,AU$3&lt;=Inputs!$C$15*12),-AU11*Inputs!$E$34,0)</f>
        <v>0</v>
      </c>
      <c r="AV22" s="153">
        <f>IF(AND(AV$3&gt;=Inputs!$C$48,AV$3&lt;=Inputs!$C$15*12),-AV11*Inputs!$E$34,0)</f>
        <v>0</v>
      </c>
      <c r="AW22" s="153">
        <f>IF(AND(AW$3&gt;=Inputs!$C$48,AW$3&lt;=Inputs!$C$15*12),-AW11*Inputs!$E$34,0)</f>
        <v>0</v>
      </c>
      <c r="AX22" s="153">
        <f>IF(AND(AX$3&gt;=Inputs!$C$48,AX$3&lt;=Inputs!$C$15*12),-AX11*Inputs!$E$34,0)</f>
        <v>0</v>
      </c>
      <c r="AY22" s="153">
        <f>IF(AND(AY$3&gt;=Inputs!$C$48,AY$3&lt;=Inputs!$C$15*12),-AY11*Inputs!$E$34,0)</f>
        <v>0</v>
      </c>
      <c r="AZ22" s="153">
        <f>IF(AND(AZ$3&gt;=Inputs!$C$48,AZ$3&lt;=Inputs!$C$15*12),-AZ11*Inputs!$E$34,0)</f>
        <v>0</v>
      </c>
      <c r="BA22" s="153">
        <f>IF(AND(BA$3&gt;=Inputs!$C$48,BA$3&lt;=Inputs!$C$15*12),-BA11*Inputs!$E$34,0)</f>
        <v>0</v>
      </c>
      <c r="BB22" s="153">
        <f>IF(AND(BB$3&gt;=Inputs!$C$48,BB$3&lt;=Inputs!$C$15*12),-BB11*Inputs!$E$34,0)</f>
        <v>0</v>
      </c>
      <c r="BC22" s="153">
        <f>IF(AND(BC$3&gt;=Inputs!$C$48,BC$3&lt;=Inputs!$C$15*12),-BC11*Inputs!$E$34,0)</f>
        <v>0</v>
      </c>
      <c r="BD22" s="153">
        <f>IF(AND(BD$3&gt;=Inputs!$C$48,BD$3&lt;=Inputs!$C$15*12),-BD11*Inputs!$E$34,0)</f>
        <v>0</v>
      </c>
      <c r="BE22" s="153">
        <f>IF(AND(BE$3&gt;=Inputs!$C$48,BE$3&lt;=Inputs!$C$15*12),-BE11*Inputs!$E$34,0)</f>
        <v>0</v>
      </c>
      <c r="BF22" s="153">
        <f>IF(AND(BF$3&gt;=Inputs!$C$48,BF$3&lt;=Inputs!$C$15*12),-BF11*Inputs!$E$34,0)</f>
        <v>0</v>
      </c>
      <c r="BG22" s="153">
        <f>IF(AND(BG$3&gt;=Inputs!$C$48,BG$3&lt;=Inputs!$C$15*12),-BG11*Inputs!$E$34,0)</f>
        <v>0</v>
      </c>
      <c r="BH22" s="153">
        <f>IF(AND(BH$3&gt;=Inputs!$C$48,BH$3&lt;=Inputs!$C$15*12),-BH11*Inputs!$E$34,0)</f>
        <v>0</v>
      </c>
      <c r="BI22" s="153">
        <f>IF(AND(BI$3&gt;=Inputs!$C$48,BI$3&lt;=Inputs!$C$15*12),-BI11*Inputs!$E$34,0)</f>
        <v>0</v>
      </c>
      <c r="BJ22" s="153">
        <f>IF(AND(BJ$3&gt;=Inputs!$C$48,BJ$3&lt;=Inputs!$C$15*12),-BJ11*Inputs!$E$34,0)</f>
        <v>0</v>
      </c>
      <c r="BK22" s="153">
        <f>IF(AND(BK$3&gt;=Inputs!$C$48,BK$3&lt;=Inputs!$C$15*12),-BK11*Inputs!$E$34,0)</f>
        <v>0</v>
      </c>
      <c r="BL22" s="153">
        <f>IF(AND(BL$3&gt;=Inputs!$C$48,BL$3&lt;=Inputs!$C$15*12),-BL11*Inputs!$E$34,0)</f>
        <v>0</v>
      </c>
      <c r="BM22" s="153">
        <f>IF(AND(BM$3&gt;=Inputs!$C$48,BM$3&lt;=Inputs!$C$15*12),-BM11*Inputs!$E$34,0)</f>
        <v>0</v>
      </c>
      <c r="BN22" s="153">
        <f>IF(AND(BN$3&gt;=Inputs!$C$48,BN$3&lt;=Inputs!$C$15*12),-BN11*Inputs!$E$34,0)</f>
        <v>0</v>
      </c>
      <c r="BO22" s="153">
        <f>IF(AND(BO$3&gt;=Inputs!$C$48,BO$3&lt;=Inputs!$C$15*12),-BO11*Inputs!$E$34,0)</f>
        <v>0</v>
      </c>
      <c r="BP22" s="153">
        <f>IF(AND(BP$3&gt;=Inputs!$C$48,BP$3&lt;=Inputs!$C$15*12),-BP11*Inputs!$E$34,0)</f>
        <v>0</v>
      </c>
      <c r="BQ22" s="153">
        <f>IF(AND(BQ$3&gt;=Inputs!$C$48,BQ$3&lt;=Inputs!$C$15*12),-BQ11*Inputs!$E$34,0)</f>
        <v>0</v>
      </c>
      <c r="BR22" s="153">
        <f>IF(AND(BR$3&gt;=Inputs!$C$48,BR$3&lt;=Inputs!$C$15*12),-BR11*Inputs!$E$34,0)</f>
        <v>0</v>
      </c>
      <c r="BS22" s="153">
        <f>IF(AND(BS$3&gt;=Inputs!$C$48,BS$3&lt;=Inputs!$C$15*12),-BS11*Inputs!$E$34,0)</f>
        <v>0</v>
      </c>
      <c r="BT22" s="153">
        <f>IF(AND(BT$3&gt;=Inputs!$C$48,BT$3&lt;=Inputs!$C$15*12),-BT11*Inputs!$E$34,0)</f>
        <v>0</v>
      </c>
      <c r="BU22" s="153">
        <f>IF(AND(BU$3&gt;=Inputs!$C$48,BU$3&lt;=Inputs!$C$15*12),-BU11*Inputs!$E$34,0)</f>
        <v>0</v>
      </c>
      <c r="BV22" s="153">
        <f>IF(AND(BV$3&gt;=Inputs!$C$48,BV$3&lt;=Inputs!$C$15*12),-BV11*Inputs!$E$34,0)</f>
        <v>0</v>
      </c>
      <c r="BW22" s="153">
        <f>IF(AND(BW$3&gt;=Inputs!$C$48,BW$3&lt;=Inputs!$C$15*12),-BW11*Inputs!$E$34,0)</f>
        <v>0</v>
      </c>
      <c r="BX22" s="153">
        <f>IF(AND(BX$3&gt;=Inputs!$C$48,BX$3&lt;=Inputs!$C$15*12),-BX11*Inputs!$E$34,0)</f>
        <v>0</v>
      </c>
      <c r="BY22" s="153">
        <f>IF(AND(BY$3&gt;=Inputs!$C$48,BY$3&lt;=Inputs!$C$15*12),-BY11*Inputs!$E$34,0)</f>
        <v>0</v>
      </c>
      <c r="BZ22" s="153">
        <f>IF(AND(BZ$3&gt;=Inputs!$C$48,BZ$3&lt;=Inputs!$C$15*12),-BZ11*Inputs!$E$34,0)</f>
        <v>0</v>
      </c>
      <c r="CA22" s="153">
        <f>IF(AND(CA$3&gt;=Inputs!$C$48,CA$3&lt;=Inputs!$C$15*12),-CA11*Inputs!$E$34,0)</f>
        <v>0</v>
      </c>
      <c r="CB22" s="153">
        <f>IF(AND(CB$3&gt;=Inputs!$C$48,CB$3&lt;=Inputs!$C$15*12),-CB11*Inputs!$E$34,0)</f>
        <v>0</v>
      </c>
      <c r="CC22" s="153">
        <f>IF(AND(CC$3&gt;=Inputs!$C$48,CC$3&lt;=Inputs!$C$15*12),-CC11*Inputs!$E$34,0)</f>
        <v>0</v>
      </c>
      <c r="CD22" s="153">
        <f>IF(AND(CD$3&gt;=Inputs!$C$48,CD$3&lt;=Inputs!$C$15*12),-CD11*Inputs!$E$34,0)</f>
        <v>0</v>
      </c>
      <c r="CE22" s="153">
        <f>IF(AND(CE$3&gt;=Inputs!$C$48,CE$3&lt;=Inputs!$C$15*12),-CE11*Inputs!$E$34,0)</f>
        <v>0</v>
      </c>
      <c r="CF22" s="153">
        <f>IF(AND(CF$3&gt;=Inputs!$C$48,CF$3&lt;=Inputs!$C$15*12),-CF11*Inputs!$E$34,0)</f>
        <v>0</v>
      </c>
      <c r="CG22" s="153">
        <f>IF(AND(CG$3&gt;=Inputs!$C$48,CG$3&lt;=Inputs!$C$15*12),-CG11*Inputs!$E$34,0)</f>
        <v>0</v>
      </c>
      <c r="CH22" s="153">
        <f>IF(AND(CH$3&gt;=Inputs!$C$48,CH$3&lt;=Inputs!$C$15*12),-CH11*Inputs!$E$34,0)</f>
        <v>0</v>
      </c>
      <c r="CI22" s="153">
        <f>IF(AND(CI$3&gt;=Inputs!$C$48,CI$3&lt;=Inputs!$C$15*12),-CI11*Inputs!$E$34,0)</f>
        <v>0</v>
      </c>
      <c r="CJ22" s="153">
        <f>IF(AND(CJ$3&gt;=Inputs!$C$48,CJ$3&lt;=Inputs!$C$15*12),-CJ11*Inputs!$E$34,0)</f>
        <v>0</v>
      </c>
      <c r="CK22" s="153">
        <f>IF(AND(CK$3&gt;=Inputs!$C$48,CK$3&lt;=Inputs!$C$15*12),-CK11*Inputs!$E$34,0)</f>
        <v>0</v>
      </c>
      <c r="CL22" s="153">
        <f>IF(AND(CL$3&gt;=Inputs!$C$48,CL$3&lt;=Inputs!$C$15*12),-CL11*Inputs!$E$34,0)</f>
        <v>0</v>
      </c>
      <c r="CM22" s="153">
        <f>IF(AND(CM$3&gt;=Inputs!$C$48,CM$3&lt;=Inputs!$C$15*12),-CM11*Inputs!$E$34,0)</f>
        <v>0</v>
      </c>
      <c r="CN22" s="153">
        <f>IF(AND(CN$3&gt;=Inputs!$C$48,CN$3&lt;=Inputs!$C$15*12),-CN11*Inputs!$E$34,0)</f>
        <v>0</v>
      </c>
      <c r="CO22" s="153">
        <f>IF(AND(CO$3&gt;=Inputs!$C$48,CO$3&lt;=Inputs!$C$15*12),-CO11*Inputs!$E$34,0)</f>
        <v>0</v>
      </c>
      <c r="CP22" s="153">
        <f>IF(AND(CP$3&gt;=Inputs!$C$48,CP$3&lt;=Inputs!$C$15*12),-CP11*Inputs!$E$34,0)</f>
        <v>0</v>
      </c>
      <c r="CQ22" s="153">
        <f>IF(AND(CQ$3&gt;=Inputs!$C$48,CQ$3&lt;=Inputs!$C$15*12),-CQ11*Inputs!$E$34,0)</f>
        <v>0</v>
      </c>
      <c r="CR22" s="153">
        <f>IF(AND(CR$3&gt;=Inputs!$C$48,CR$3&lt;=Inputs!$C$15*12),-CR11*Inputs!$E$34,0)</f>
        <v>0</v>
      </c>
      <c r="CS22" s="153">
        <f>IF(AND(CS$3&gt;=Inputs!$C$48,CS$3&lt;=Inputs!$C$15*12),-CS11*Inputs!$E$34,0)</f>
        <v>0</v>
      </c>
      <c r="CT22" s="153">
        <f>IF(AND(CT$3&gt;=Inputs!$C$48,CT$3&lt;=Inputs!$C$15*12),-CT11*Inputs!$E$34,0)</f>
        <v>0</v>
      </c>
      <c r="CU22" s="153">
        <f>IF(AND(CU$3&gt;=Inputs!$C$48,CU$3&lt;=Inputs!$C$15*12),-CU11*Inputs!$E$34,0)</f>
        <v>0</v>
      </c>
      <c r="CV22" s="153">
        <f>IF(AND(CV$3&gt;=Inputs!$C$48,CV$3&lt;=Inputs!$C$15*12),-CV11*Inputs!$E$34,0)</f>
        <v>0</v>
      </c>
      <c r="CW22" s="153">
        <f>IF(AND(CW$3&gt;=Inputs!$C$48,CW$3&lt;=Inputs!$C$15*12),-CW11*Inputs!$E$34,0)</f>
        <v>0</v>
      </c>
      <c r="CX22" s="153">
        <f>IF(AND(CX$3&gt;=Inputs!$C$48,CX$3&lt;=Inputs!$C$15*12),-CX11*Inputs!$E$34,0)</f>
        <v>0</v>
      </c>
      <c r="CY22" s="153">
        <f>IF(AND(CY$3&gt;=Inputs!$C$48,CY$3&lt;=Inputs!$C$15*12),-CY11*Inputs!$E$34,0)</f>
        <v>0</v>
      </c>
      <c r="CZ22" s="153">
        <f>IF(AND(CZ$3&gt;=Inputs!$C$48,CZ$3&lt;=Inputs!$C$15*12),-CZ11*Inputs!$E$34,0)</f>
        <v>0</v>
      </c>
      <c r="DA22" s="153">
        <f>IF(AND(DA$3&gt;=Inputs!$C$48,DA$3&lt;=Inputs!$C$15*12),-DA11*Inputs!$E$34,0)</f>
        <v>0</v>
      </c>
      <c r="DB22" s="153">
        <f>IF(AND(DB$3&gt;=Inputs!$C$48,DB$3&lt;=Inputs!$C$15*12),-DB11*Inputs!$E$34,0)</f>
        <v>0</v>
      </c>
      <c r="DC22" s="153">
        <f>IF(AND(DC$3&gt;=Inputs!$C$48,DC$3&lt;=Inputs!$C$15*12),-DC11*Inputs!$E$34,0)</f>
        <v>0</v>
      </c>
      <c r="DD22" s="153">
        <f>IF(AND(DD$3&gt;=Inputs!$C$48,DD$3&lt;=Inputs!$C$15*12),-DD11*Inputs!$E$34,0)</f>
        <v>0</v>
      </c>
      <c r="DE22" s="153">
        <f>IF(AND(DE$3&gt;=Inputs!$C$48,DE$3&lt;=Inputs!$C$15*12),-DE11*Inputs!$E$34,0)</f>
        <v>0</v>
      </c>
      <c r="DF22" s="153">
        <f>IF(AND(DF$3&gt;=Inputs!$C$48,DF$3&lt;=Inputs!$C$15*12),-DF11*Inputs!$E$34,0)</f>
        <v>0</v>
      </c>
      <c r="DG22" s="153">
        <f>IF(AND(DG$3&gt;=Inputs!$C$48,DG$3&lt;=Inputs!$C$15*12),-DG11*Inputs!$E$34,0)</f>
        <v>0</v>
      </c>
      <c r="DH22" s="153">
        <f>IF(AND(DH$3&gt;=Inputs!$C$48,DH$3&lt;=Inputs!$C$15*12),-DH11*Inputs!$E$34,0)</f>
        <v>0</v>
      </c>
      <c r="DI22" s="153">
        <f>IF(AND(DI$3&gt;=Inputs!$C$48,DI$3&lt;=Inputs!$C$15*12),-DI11*Inputs!$E$34,0)</f>
        <v>0</v>
      </c>
      <c r="DJ22" s="153">
        <f>IF(AND(DJ$3&gt;=Inputs!$C$48,DJ$3&lt;=Inputs!$C$15*12),-DJ11*Inputs!$E$34,0)</f>
        <v>0</v>
      </c>
      <c r="DK22" s="153">
        <f>IF(AND(DK$3&gt;=Inputs!$C$48,DK$3&lt;=Inputs!$C$15*12),-DK11*Inputs!$E$34,0)</f>
        <v>0</v>
      </c>
      <c r="DL22" s="153">
        <f>IF(AND(DL$3&gt;=Inputs!$C$48,DL$3&lt;=Inputs!$C$15*12),-DL11*Inputs!$E$34,0)</f>
        <v>0</v>
      </c>
      <c r="DM22" s="153">
        <f>IF(AND(DM$3&gt;=Inputs!$C$48,DM$3&lt;=Inputs!$C$15*12),-DM11*Inputs!$E$34,0)</f>
        <v>0</v>
      </c>
      <c r="DN22" s="153">
        <f>IF(AND(DN$3&gt;=Inputs!$C$48,DN$3&lt;=Inputs!$C$15*12),-DN11*Inputs!$E$34,0)</f>
        <v>0</v>
      </c>
      <c r="DO22" s="153">
        <f>IF(AND(DO$3&gt;=Inputs!$C$48,DO$3&lt;=Inputs!$C$15*12),-DO11*Inputs!$E$34,0)</f>
        <v>0</v>
      </c>
      <c r="DP22" s="153">
        <f>IF(AND(DP$3&gt;=Inputs!$C$48,DP$3&lt;=Inputs!$C$15*12),-DP11*Inputs!$E$34,0)</f>
        <v>0</v>
      </c>
      <c r="DQ22" s="153">
        <f>IF(AND(DQ$3&gt;=Inputs!$C$48,DQ$3&lt;=Inputs!$C$15*12),-DQ11*Inputs!$E$34,0)</f>
        <v>0</v>
      </c>
      <c r="DR22" s="153">
        <f>IF(AND(DR$3&gt;=Inputs!$C$48,DR$3&lt;=Inputs!$C$15*12),-DR11*Inputs!$E$34,0)</f>
        <v>0</v>
      </c>
      <c r="DS22" s="54"/>
    </row>
    <row r="23" ht="15.0" customHeight="1">
      <c r="A23" s="54"/>
      <c r="B23" s="56" t="str">
        <f>Inputs!B35</f>
        <v>  Repairs &amp; Maintenance</v>
      </c>
      <c r="C23" s="153">
        <f>IF(AND(C$3&gt;=Inputs!$C$48,C$3&lt;=Inputs!$C$15*12),-Inputs!$E$35/12*(1+Inputs!$C$47)^(C$5-1),0)</f>
        <v>0</v>
      </c>
      <c r="D23" s="153">
        <f>IF(AND(D$3&gt;=Inputs!$C$48,D$3&lt;=Inputs!$C$15*12),-Inputs!$E$35/12*(1+Inputs!$C$47)^(D$5-1),0)</f>
        <v>0</v>
      </c>
      <c r="E23" s="153">
        <f>IF(AND(E$3&gt;=Inputs!$C$48,E$3&lt;=Inputs!$C$15*12),-Inputs!$E$35/12*(1+Inputs!$C$47)^(E$5-1),0)</f>
        <v>0</v>
      </c>
      <c r="F23" s="153">
        <f>IF(AND(F$3&gt;=Inputs!$C$48,F$3&lt;=Inputs!$C$15*12),-Inputs!$E$35/12*(1+Inputs!$C$47)^(F$5-1),0)</f>
        <v>0</v>
      </c>
      <c r="G23" s="153">
        <f>IF(AND(G$3&gt;=Inputs!$C$48,G$3&lt;=Inputs!$C$15*12),-Inputs!$E$35/12*(1+Inputs!$C$47)^(G$5-1),0)</f>
        <v>0</v>
      </c>
      <c r="H23" s="153">
        <f>IF(AND(H$3&gt;=Inputs!$C$48,H$3&lt;=Inputs!$C$15*12),-Inputs!$E$35/12*(1+Inputs!$C$47)^(H$5-1),0)</f>
        <v>0</v>
      </c>
      <c r="I23" s="153">
        <f>IF(AND(I$3&gt;=Inputs!$C$48,I$3&lt;=Inputs!$C$15*12),-Inputs!$E$35/12*(1+Inputs!$C$47)^(I$5-1),0)</f>
        <v>0</v>
      </c>
      <c r="J23" s="153">
        <f>IF(AND(J$3&gt;=Inputs!$C$48,J$3&lt;=Inputs!$C$15*12),-Inputs!$E$35/12*(1+Inputs!$C$47)^(J$5-1),0)</f>
        <v>0</v>
      </c>
      <c r="K23" s="153">
        <f>IF(AND(K$3&gt;=Inputs!$C$48,K$3&lt;=Inputs!$C$15*12),-Inputs!$E$35/12*(1+Inputs!$C$47)^(K$5-1),0)</f>
        <v>0</v>
      </c>
      <c r="L23" s="153">
        <f>IF(AND(L$3&gt;=Inputs!$C$48,L$3&lt;=Inputs!$C$15*12),-Inputs!$E$35/12*(1+Inputs!$C$47)^(L$5-1),0)</f>
        <v>0</v>
      </c>
      <c r="M23" s="153">
        <f>IF(AND(M$3&gt;=Inputs!$C$48,M$3&lt;=Inputs!$C$15*12),-Inputs!$E$35/12*(1+Inputs!$C$47)^(M$5-1),0)</f>
        <v>0</v>
      </c>
      <c r="N23" s="153">
        <f>IF(AND(N$3&gt;=Inputs!$C$48,N$3&lt;=Inputs!$C$15*12),-Inputs!$E$35/12*(1+Inputs!$C$47)^(N$5-1),0)</f>
        <v>0</v>
      </c>
      <c r="O23" s="153">
        <f>IF(AND(O$3&gt;=Inputs!$C$48,O$3&lt;=Inputs!$C$15*12),-Inputs!$E$35/12*(1+Inputs!$C$47)^(O$5-1),0)</f>
        <v>0</v>
      </c>
      <c r="P23" s="153">
        <f>IF(AND(P$3&gt;=Inputs!$C$48,P$3&lt;=Inputs!$C$15*12),-Inputs!$E$35/12*(1+Inputs!$C$47)^(P$5-1),0)</f>
        <v>0</v>
      </c>
      <c r="Q23" s="153">
        <f>IF(AND(Q$3&gt;=Inputs!$C$48,Q$3&lt;=Inputs!$C$15*12),-Inputs!$E$35/12*(1+Inputs!$C$47)^(Q$5-1),0)</f>
        <v>0</v>
      </c>
      <c r="R23" s="153">
        <f>IF(AND(R$3&gt;=Inputs!$C$48,R$3&lt;=Inputs!$C$15*12),-Inputs!$E$35/12*(1+Inputs!$C$47)^(R$5-1),0)</f>
        <v>0</v>
      </c>
      <c r="S23" s="153">
        <f>IF(AND(S$3&gt;=Inputs!$C$48,S$3&lt;=Inputs!$C$15*12),-Inputs!$E$35/12*(1+Inputs!$C$47)^(S$5-1),0)</f>
        <v>0</v>
      </c>
      <c r="T23" s="153">
        <f>IF(AND(T$3&gt;=Inputs!$C$48,T$3&lt;=Inputs!$C$15*12),-Inputs!$E$35/12*(1+Inputs!$C$47)^(T$5-1),0)</f>
        <v>0</v>
      </c>
      <c r="U23" s="153">
        <f>IF(AND(U$3&gt;=Inputs!$C$48,U$3&lt;=Inputs!$C$15*12),-Inputs!$E$35/12*(1+Inputs!$C$47)^(U$5-1),0)</f>
        <v>0</v>
      </c>
      <c r="V23" s="153">
        <f>IF(AND(V$3&gt;=Inputs!$C$48,V$3&lt;=Inputs!$C$15*12),-Inputs!$E$35/12*(1+Inputs!$C$47)^(V$5-1),0)</f>
        <v>0</v>
      </c>
      <c r="W23" s="153">
        <f>IF(AND(W$3&gt;=Inputs!$C$48,W$3&lt;=Inputs!$C$15*12),-Inputs!$E$35/12*(1+Inputs!$C$47)^(W$5-1),0)</f>
        <v>0</v>
      </c>
      <c r="X23" s="153">
        <f>IF(AND(X$3&gt;=Inputs!$C$48,X$3&lt;=Inputs!$C$15*12),-Inputs!$E$35/12*(1+Inputs!$C$47)^(X$5-1),0)</f>
        <v>0</v>
      </c>
      <c r="Y23" s="153">
        <f>IF(AND(Y$3&gt;=Inputs!$C$48,Y$3&lt;=Inputs!$C$15*12),-Inputs!$E$35/12*(1+Inputs!$C$47)^(Y$5-1),0)</f>
        <v>0</v>
      </c>
      <c r="Z23" s="153">
        <f>IF(AND(Z$3&gt;=Inputs!$C$48,Z$3&lt;=Inputs!$C$15*12),-Inputs!$E$35/12*(1+Inputs!$C$47)^(Z$5-1),0)</f>
        <v>0</v>
      </c>
      <c r="AA23" s="153">
        <f>IF(AND(AA$3&gt;=Inputs!$C$48,AA$3&lt;=Inputs!$C$15*12),-Inputs!$E$35/12*(1+Inputs!$C$47)^(AA$5-1),0)</f>
        <v>0</v>
      </c>
      <c r="AB23" s="153">
        <f>IF(AND(AB$3&gt;=Inputs!$C$48,AB$3&lt;=Inputs!$C$15*12),-Inputs!$E$35/12*(1+Inputs!$C$47)^(AB$5-1),0)</f>
        <v>0</v>
      </c>
      <c r="AC23" s="153">
        <f>IF(AND(AC$3&gt;=Inputs!$C$48,AC$3&lt;=Inputs!$C$15*12),-Inputs!$E$35/12*(1+Inputs!$C$47)^(AC$5-1),0)</f>
        <v>0</v>
      </c>
      <c r="AD23" s="153">
        <f>IF(AND(AD$3&gt;=Inputs!$C$48,AD$3&lt;=Inputs!$C$15*12),-Inputs!$E$35/12*(1+Inputs!$C$47)^(AD$5-1),0)</f>
        <v>0</v>
      </c>
      <c r="AE23" s="153">
        <f>IF(AND(AE$3&gt;=Inputs!$C$48,AE$3&lt;=Inputs!$C$15*12),-Inputs!$E$35/12*(1+Inputs!$C$47)^(AE$5-1),0)</f>
        <v>0</v>
      </c>
      <c r="AF23" s="153">
        <f>IF(AND(AF$3&gt;=Inputs!$C$48,AF$3&lt;=Inputs!$C$15*12),-Inputs!$E$35/12*(1+Inputs!$C$47)^(AF$5-1),0)</f>
        <v>0</v>
      </c>
      <c r="AG23" s="153">
        <f>IF(AND(AG$3&gt;=Inputs!$C$48,AG$3&lt;=Inputs!$C$15*12),-Inputs!$E$35/12*(1+Inputs!$C$47)^(AG$5-1),0)</f>
        <v>0</v>
      </c>
      <c r="AH23" s="153">
        <f>IF(AND(AH$3&gt;=Inputs!$C$48,AH$3&lt;=Inputs!$C$15*12),-Inputs!$E$35/12*(1+Inputs!$C$47)^(AH$5-1),0)</f>
        <v>0</v>
      </c>
      <c r="AI23" s="153">
        <f>IF(AND(AI$3&gt;=Inputs!$C$48,AI$3&lt;=Inputs!$C$15*12),-Inputs!$E$35/12*(1+Inputs!$C$47)^(AI$5-1),0)</f>
        <v>0</v>
      </c>
      <c r="AJ23" s="153">
        <f>IF(AND(AJ$3&gt;=Inputs!$C$48,AJ$3&lt;=Inputs!$C$15*12),-Inputs!$E$35/12*(1+Inputs!$C$47)^(AJ$5-1),0)</f>
        <v>0</v>
      </c>
      <c r="AK23" s="153">
        <f>IF(AND(AK$3&gt;=Inputs!$C$48,AK$3&lt;=Inputs!$C$15*12),-Inputs!$E$35/12*(1+Inputs!$C$47)^(AK$5-1),0)</f>
        <v>0</v>
      </c>
      <c r="AL23" s="153">
        <f>IF(AND(AL$3&gt;=Inputs!$C$48,AL$3&lt;=Inputs!$C$15*12),-Inputs!$E$35/12*(1+Inputs!$C$47)^(AL$5-1),0)</f>
        <v>0</v>
      </c>
      <c r="AM23" s="153">
        <f>IF(AND(AM$3&gt;=Inputs!$C$48,AM$3&lt;=Inputs!$C$15*12),-Inputs!$E$35/12*(1+Inputs!$C$47)^(AM$5-1),0)</f>
        <v>0</v>
      </c>
      <c r="AN23" s="153">
        <f>IF(AND(AN$3&gt;=Inputs!$C$48,AN$3&lt;=Inputs!$C$15*12),-Inputs!$E$35/12*(1+Inputs!$C$47)^(AN$5-1),0)</f>
        <v>0</v>
      </c>
      <c r="AO23" s="153">
        <f>IF(AND(AO$3&gt;=Inputs!$C$48,AO$3&lt;=Inputs!$C$15*12),-Inputs!$E$35/12*(1+Inputs!$C$47)^(AO$5-1),0)</f>
        <v>0</v>
      </c>
      <c r="AP23" s="153">
        <f>IF(AND(AP$3&gt;=Inputs!$C$48,AP$3&lt;=Inputs!$C$15*12),-Inputs!$E$35/12*(1+Inputs!$C$47)^(AP$5-1),0)</f>
        <v>0</v>
      </c>
      <c r="AQ23" s="153">
        <f>IF(AND(AQ$3&gt;=Inputs!$C$48,AQ$3&lt;=Inputs!$C$15*12),-Inputs!$E$35/12*(1+Inputs!$C$47)^(AQ$5-1),0)</f>
        <v>0</v>
      </c>
      <c r="AR23" s="153">
        <f>IF(AND(AR$3&gt;=Inputs!$C$48,AR$3&lt;=Inputs!$C$15*12),-Inputs!$E$35/12*(1+Inputs!$C$47)^(AR$5-1),0)</f>
        <v>0</v>
      </c>
      <c r="AS23" s="153">
        <f>IF(AND(AS$3&gt;=Inputs!$C$48,AS$3&lt;=Inputs!$C$15*12),-Inputs!$E$35/12*(1+Inputs!$C$47)^(AS$5-1),0)</f>
        <v>0</v>
      </c>
      <c r="AT23" s="153">
        <f>IF(AND(AT$3&gt;=Inputs!$C$48,AT$3&lt;=Inputs!$C$15*12),-Inputs!$E$35/12*(1+Inputs!$C$47)^(AT$5-1),0)</f>
        <v>0</v>
      </c>
      <c r="AU23" s="153">
        <f>IF(AND(AU$3&gt;=Inputs!$C$48,AU$3&lt;=Inputs!$C$15*12),-Inputs!$E$35/12*(1+Inputs!$C$47)^(AU$5-1),0)</f>
        <v>0</v>
      </c>
      <c r="AV23" s="153">
        <f>IF(AND(AV$3&gt;=Inputs!$C$48,AV$3&lt;=Inputs!$C$15*12),-Inputs!$E$35/12*(1+Inputs!$C$47)^(AV$5-1),0)</f>
        <v>0</v>
      </c>
      <c r="AW23" s="153">
        <f>IF(AND(AW$3&gt;=Inputs!$C$48,AW$3&lt;=Inputs!$C$15*12),-Inputs!$E$35/12*(1+Inputs!$C$47)^(AW$5-1),0)</f>
        <v>0</v>
      </c>
      <c r="AX23" s="153">
        <f>IF(AND(AX$3&gt;=Inputs!$C$48,AX$3&lt;=Inputs!$C$15*12),-Inputs!$E$35/12*(1+Inputs!$C$47)^(AX$5-1),0)</f>
        <v>0</v>
      </c>
      <c r="AY23" s="153">
        <f>IF(AND(AY$3&gt;=Inputs!$C$48,AY$3&lt;=Inputs!$C$15*12),-Inputs!$E$35/12*(1+Inputs!$C$47)^(AY$5-1),0)</f>
        <v>0</v>
      </c>
      <c r="AZ23" s="153">
        <f>IF(AND(AZ$3&gt;=Inputs!$C$48,AZ$3&lt;=Inputs!$C$15*12),-Inputs!$E$35/12*(1+Inputs!$C$47)^(AZ$5-1),0)</f>
        <v>0</v>
      </c>
      <c r="BA23" s="153">
        <f>IF(AND(BA$3&gt;=Inputs!$C$48,BA$3&lt;=Inputs!$C$15*12),-Inputs!$E$35/12*(1+Inputs!$C$47)^(BA$5-1),0)</f>
        <v>0</v>
      </c>
      <c r="BB23" s="153">
        <f>IF(AND(BB$3&gt;=Inputs!$C$48,BB$3&lt;=Inputs!$C$15*12),-Inputs!$E$35/12*(1+Inputs!$C$47)^(BB$5-1),0)</f>
        <v>0</v>
      </c>
      <c r="BC23" s="153">
        <f>IF(AND(BC$3&gt;=Inputs!$C$48,BC$3&lt;=Inputs!$C$15*12),-Inputs!$E$35/12*(1+Inputs!$C$47)^(BC$5-1),0)</f>
        <v>0</v>
      </c>
      <c r="BD23" s="153">
        <f>IF(AND(BD$3&gt;=Inputs!$C$48,BD$3&lt;=Inputs!$C$15*12),-Inputs!$E$35/12*(1+Inputs!$C$47)^(BD$5-1),0)</f>
        <v>0</v>
      </c>
      <c r="BE23" s="153">
        <f>IF(AND(BE$3&gt;=Inputs!$C$48,BE$3&lt;=Inputs!$C$15*12),-Inputs!$E$35/12*(1+Inputs!$C$47)^(BE$5-1),0)</f>
        <v>0</v>
      </c>
      <c r="BF23" s="153">
        <f>IF(AND(BF$3&gt;=Inputs!$C$48,BF$3&lt;=Inputs!$C$15*12),-Inputs!$E$35/12*(1+Inputs!$C$47)^(BF$5-1),0)</f>
        <v>0</v>
      </c>
      <c r="BG23" s="153">
        <f>IF(AND(BG$3&gt;=Inputs!$C$48,BG$3&lt;=Inputs!$C$15*12),-Inputs!$E$35/12*(1+Inputs!$C$47)^(BG$5-1),0)</f>
        <v>0</v>
      </c>
      <c r="BH23" s="153">
        <f>IF(AND(BH$3&gt;=Inputs!$C$48,BH$3&lt;=Inputs!$C$15*12),-Inputs!$E$35/12*(1+Inputs!$C$47)^(BH$5-1),0)</f>
        <v>0</v>
      </c>
      <c r="BI23" s="153">
        <f>IF(AND(BI$3&gt;=Inputs!$C$48,BI$3&lt;=Inputs!$C$15*12),-Inputs!$E$35/12*(1+Inputs!$C$47)^(BI$5-1),0)</f>
        <v>0</v>
      </c>
      <c r="BJ23" s="153">
        <f>IF(AND(BJ$3&gt;=Inputs!$C$48,BJ$3&lt;=Inputs!$C$15*12),-Inputs!$E$35/12*(1+Inputs!$C$47)^(BJ$5-1),0)</f>
        <v>0</v>
      </c>
      <c r="BK23" s="153">
        <f>IF(AND(BK$3&gt;=Inputs!$C$48,BK$3&lt;=Inputs!$C$15*12),-Inputs!$E$35/12*(1+Inputs!$C$47)^(BK$5-1),0)</f>
        <v>0</v>
      </c>
      <c r="BL23" s="153">
        <f>IF(AND(BL$3&gt;=Inputs!$C$48,BL$3&lt;=Inputs!$C$15*12),-Inputs!$E$35/12*(1+Inputs!$C$47)^(BL$5-1),0)</f>
        <v>0</v>
      </c>
      <c r="BM23" s="153">
        <f>IF(AND(BM$3&gt;=Inputs!$C$48,BM$3&lt;=Inputs!$C$15*12),-Inputs!$E$35/12*(1+Inputs!$C$47)^(BM$5-1),0)</f>
        <v>0</v>
      </c>
      <c r="BN23" s="153">
        <f>IF(AND(BN$3&gt;=Inputs!$C$48,BN$3&lt;=Inputs!$C$15*12),-Inputs!$E$35/12*(1+Inputs!$C$47)^(BN$5-1),0)</f>
        <v>0</v>
      </c>
      <c r="BO23" s="153">
        <f>IF(AND(BO$3&gt;=Inputs!$C$48,BO$3&lt;=Inputs!$C$15*12),-Inputs!$E$35/12*(1+Inputs!$C$47)^(BO$5-1),0)</f>
        <v>0</v>
      </c>
      <c r="BP23" s="153">
        <f>IF(AND(BP$3&gt;=Inputs!$C$48,BP$3&lt;=Inputs!$C$15*12),-Inputs!$E$35/12*(1+Inputs!$C$47)^(BP$5-1),0)</f>
        <v>0</v>
      </c>
      <c r="BQ23" s="153">
        <f>IF(AND(BQ$3&gt;=Inputs!$C$48,BQ$3&lt;=Inputs!$C$15*12),-Inputs!$E$35/12*(1+Inputs!$C$47)^(BQ$5-1),0)</f>
        <v>0</v>
      </c>
      <c r="BR23" s="153">
        <f>IF(AND(BR$3&gt;=Inputs!$C$48,BR$3&lt;=Inputs!$C$15*12),-Inputs!$E$35/12*(1+Inputs!$C$47)^(BR$5-1),0)</f>
        <v>0</v>
      </c>
      <c r="BS23" s="153">
        <f>IF(AND(BS$3&gt;=Inputs!$C$48,BS$3&lt;=Inputs!$C$15*12),-Inputs!$E$35/12*(1+Inputs!$C$47)^(BS$5-1),0)</f>
        <v>0</v>
      </c>
      <c r="BT23" s="153">
        <f>IF(AND(BT$3&gt;=Inputs!$C$48,BT$3&lt;=Inputs!$C$15*12),-Inputs!$E$35/12*(1+Inputs!$C$47)^(BT$5-1),0)</f>
        <v>0</v>
      </c>
      <c r="BU23" s="153">
        <f>IF(AND(BU$3&gt;=Inputs!$C$48,BU$3&lt;=Inputs!$C$15*12),-Inputs!$E$35/12*(1+Inputs!$C$47)^(BU$5-1),0)</f>
        <v>0</v>
      </c>
      <c r="BV23" s="153">
        <f>IF(AND(BV$3&gt;=Inputs!$C$48,BV$3&lt;=Inputs!$C$15*12),-Inputs!$E$35/12*(1+Inputs!$C$47)^(BV$5-1),0)</f>
        <v>0</v>
      </c>
      <c r="BW23" s="153">
        <f>IF(AND(BW$3&gt;=Inputs!$C$48,BW$3&lt;=Inputs!$C$15*12),-Inputs!$E$35/12*(1+Inputs!$C$47)^(BW$5-1),0)</f>
        <v>0</v>
      </c>
      <c r="BX23" s="153">
        <f>IF(AND(BX$3&gt;=Inputs!$C$48,BX$3&lt;=Inputs!$C$15*12),-Inputs!$E$35/12*(1+Inputs!$C$47)^(BX$5-1),0)</f>
        <v>0</v>
      </c>
      <c r="BY23" s="153">
        <f>IF(AND(BY$3&gt;=Inputs!$C$48,BY$3&lt;=Inputs!$C$15*12),-Inputs!$E$35/12*(1+Inputs!$C$47)^(BY$5-1),0)</f>
        <v>0</v>
      </c>
      <c r="BZ23" s="153">
        <f>IF(AND(BZ$3&gt;=Inputs!$C$48,BZ$3&lt;=Inputs!$C$15*12),-Inputs!$E$35/12*(1+Inputs!$C$47)^(BZ$5-1),0)</f>
        <v>0</v>
      </c>
      <c r="CA23" s="153">
        <f>IF(AND(CA$3&gt;=Inputs!$C$48,CA$3&lt;=Inputs!$C$15*12),-Inputs!$E$35/12*(1+Inputs!$C$47)^(CA$5-1),0)</f>
        <v>0</v>
      </c>
      <c r="CB23" s="153">
        <f>IF(AND(CB$3&gt;=Inputs!$C$48,CB$3&lt;=Inputs!$C$15*12),-Inputs!$E$35/12*(1+Inputs!$C$47)^(CB$5-1),0)</f>
        <v>0</v>
      </c>
      <c r="CC23" s="153">
        <f>IF(AND(CC$3&gt;=Inputs!$C$48,CC$3&lt;=Inputs!$C$15*12),-Inputs!$E$35/12*(1+Inputs!$C$47)^(CC$5-1),0)</f>
        <v>0</v>
      </c>
      <c r="CD23" s="153">
        <f>IF(AND(CD$3&gt;=Inputs!$C$48,CD$3&lt;=Inputs!$C$15*12),-Inputs!$E$35/12*(1+Inputs!$C$47)^(CD$5-1),0)</f>
        <v>0</v>
      </c>
      <c r="CE23" s="153">
        <f>IF(AND(CE$3&gt;=Inputs!$C$48,CE$3&lt;=Inputs!$C$15*12),-Inputs!$E$35/12*(1+Inputs!$C$47)^(CE$5-1),0)</f>
        <v>0</v>
      </c>
      <c r="CF23" s="153">
        <f>IF(AND(CF$3&gt;=Inputs!$C$48,CF$3&lt;=Inputs!$C$15*12),-Inputs!$E$35/12*(1+Inputs!$C$47)^(CF$5-1),0)</f>
        <v>0</v>
      </c>
      <c r="CG23" s="153">
        <f>IF(AND(CG$3&gt;=Inputs!$C$48,CG$3&lt;=Inputs!$C$15*12),-Inputs!$E$35/12*(1+Inputs!$C$47)^(CG$5-1),0)</f>
        <v>0</v>
      </c>
      <c r="CH23" s="153">
        <f>IF(AND(CH$3&gt;=Inputs!$C$48,CH$3&lt;=Inputs!$C$15*12),-Inputs!$E$35/12*(1+Inputs!$C$47)^(CH$5-1),0)</f>
        <v>0</v>
      </c>
      <c r="CI23" s="153">
        <f>IF(AND(CI$3&gt;=Inputs!$C$48,CI$3&lt;=Inputs!$C$15*12),-Inputs!$E$35/12*(1+Inputs!$C$47)^(CI$5-1),0)</f>
        <v>0</v>
      </c>
      <c r="CJ23" s="153">
        <f>IF(AND(CJ$3&gt;=Inputs!$C$48,CJ$3&lt;=Inputs!$C$15*12),-Inputs!$E$35/12*(1+Inputs!$C$47)^(CJ$5-1),0)</f>
        <v>0</v>
      </c>
      <c r="CK23" s="153">
        <f>IF(AND(CK$3&gt;=Inputs!$C$48,CK$3&lt;=Inputs!$C$15*12),-Inputs!$E$35/12*(1+Inputs!$C$47)^(CK$5-1),0)</f>
        <v>0</v>
      </c>
      <c r="CL23" s="153">
        <f>IF(AND(CL$3&gt;=Inputs!$C$48,CL$3&lt;=Inputs!$C$15*12),-Inputs!$E$35/12*(1+Inputs!$C$47)^(CL$5-1),0)</f>
        <v>0</v>
      </c>
      <c r="CM23" s="153">
        <f>IF(AND(CM$3&gt;=Inputs!$C$48,CM$3&lt;=Inputs!$C$15*12),-Inputs!$E$35/12*(1+Inputs!$C$47)^(CM$5-1),0)</f>
        <v>0</v>
      </c>
      <c r="CN23" s="153">
        <f>IF(AND(CN$3&gt;=Inputs!$C$48,CN$3&lt;=Inputs!$C$15*12),-Inputs!$E$35/12*(1+Inputs!$C$47)^(CN$5-1),0)</f>
        <v>0</v>
      </c>
      <c r="CO23" s="153">
        <f>IF(AND(CO$3&gt;=Inputs!$C$48,CO$3&lt;=Inputs!$C$15*12),-Inputs!$E$35/12*(1+Inputs!$C$47)^(CO$5-1),0)</f>
        <v>0</v>
      </c>
      <c r="CP23" s="153">
        <f>IF(AND(CP$3&gt;=Inputs!$C$48,CP$3&lt;=Inputs!$C$15*12),-Inputs!$E$35/12*(1+Inputs!$C$47)^(CP$5-1),0)</f>
        <v>0</v>
      </c>
      <c r="CQ23" s="153">
        <f>IF(AND(CQ$3&gt;=Inputs!$C$48,CQ$3&lt;=Inputs!$C$15*12),-Inputs!$E$35/12*(1+Inputs!$C$47)^(CQ$5-1),0)</f>
        <v>0</v>
      </c>
      <c r="CR23" s="153">
        <f>IF(AND(CR$3&gt;=Inputs!$C$48,CR$3&lt;=Inputs!$C$15*12),-Inputs!$E$35/12*(1+Inputs!$C$47)^(CR$5-1),0)</f>
        <v>0</v>
      </c>
      <c r="CS23" s="153">
        <f>IF(AND(CS$3&gt;=Inputs!$C$48,CS$3&lt;=Inputs!$C$15*12),-Inputs!$E$35/12*(1+Inputs!$C$47)^(CS$5-1),0)</f>
        <v>0</v>
      </c>
      <c r="CT23" s="153">
        <f>IF(AND(CT$3&gt;=Inputs!$C$48,CT$3&lt;=Inputs!$C$15*12),-Inputs!$E$35/12*(1+Inputs!$C$47)^(CT$5-1),0)</f>
        <v>0</v>
      </c>
      <c r="CU23" s="153">
        <f>IF(AND(CU$3&gt;=Inputs!$C$48,CU$3&lt;=Inputs!$C$15*12),-Inputs!$E$35/12*(1+Inputs!$C$47)^(CU$5-1),0)</f>
        <v>0</v>
      </c>
      <c r="CV23" s="153">
        <f>IF(AND(CV$3&gt;=Inputs!$C$48,CV$3&lt;=Inputs!$C$15*12),-Inputs!$E$35/12*(1+Inputs!$C$47)^(CV$5-1),0)</f>
        <v>0</v>
      </c>
      <c r="CW23" s="153">
        <f>IF(AND(CW$3&gt;=Inputs!$C$48,CW$3&lt;=Inputs!$C$15*12),-Inputs!$E$35/12*(1+Inputs!$C$47)^(CW$5-1),0)</f>
        <v>0</v>
      </c>
      <c r="CX23" s="153">
        <f>IF(AND(CX$3&gt;=Inputs!$C$48,CX$3&lt;=Inputs!$C$15*12),-Inputs!$E$35/12*(1+Inputs!$C$47)^(CX$5-1),0)</f>
        <v>0</v>
      </c>
      <c r="CY23" s="153">
        <f>IF(AND(CY$3&gt;=Inputs!$C$48,CY$3&lt;=Inputs!$C$15*12),-Inputs!$E$35/12*(1+Inputs!$C$47)^(CY$5-1),0)</f>
        <v>0</v>
      </c>
      <c r="CZ23" s="153">
        <f>IF(AND(CZ$3&gt;=Inputs!$C$48,CZ$3&lt;=Inputs!$C$15*12),-Inputs!$E$35/12*(1+Inputs!$C$47)^(CZ$5-1),0)</f>
        <v>0</v>
      </c>
      <c r="DA23" s="153">
        <f>IF(AND(DA$3&gt;=Inputs!$C$48,DA$3&lt;=Inputs!$C$15*12),-Inputs!$E$35/12*(1+Inputs!$C$47)^(DA$5-1),0)</f>
        <v>0</v>
      </c>
      <c r="DB23" s="153">
        <f>IF(AND(DB$3&gt;=Inputs!$C$48,DB$3&lt;=Inputs!$C$15*12),-Inputs!$E$35/12*(1+Inputs!$C$47)^(DB$5-1),0)</f>
        <v>0</v>
      </c>
      <c r="DC23" s="153">
        <f>IF(AND(DC$3&gt;=Inputs!$C$48,DC$3&lt;=Inputs!$C$15*12),-Inputs!$E$35/12*(1+Inputs!$C$47)^(DC$5-1),0)</f>
        <v>0</v>
      </c>
      <c r="DD23" s="153">
        <f>IF(AND(DD$3&gt;=Inputs!$C$48,DD$3&lt;=Inputs!$C$15*12),-Inputs!$E$35/12*(1+Inputs!$C$47)^(DD$5-1),0)</f>
        <v>0</v>
      </c>
      <c r="DE23" s="153">
        <f>IF(AND(DE$3&gt;=Inputs!$C$48,DE$3&lt;=Inputs!$C$15*12),-Inputs!$E$35/12*(1+Inputs!$C$47)^(DE$5-1),0)</f>
        <v>0</v>
      </c>
      <c r="DF23" s="153">
        <f>IF(AND(DF$3&gt;=Inputs!$C$48,DF$3&lt;=Inputs!$C$15*12),-Inputs!$E$35/12*(1+Inputs!$C$47)^(DF$5-1),0)</f>
        <v>0</v>
      </c>
      <c r="DG23" s="153">
        <f>IF(AND(DG$3&gt;=Inputs!$C$48,DG$3&lt;=Inputs!$C$15*12),-Inputs!$E$35/12*(1+Inputs!$C$47)^(DG$5-1),0)</f>
        <v>0</v>
      </c>
      <c r="DH23" s="153">
        <f>IF(AND(DH$3&gt;=Inputs!$C$48,DH$3&lt;=Inputs!$C$15*12),-Inputs!$E$35/12*(1+Inputs!$C$47)^(DH$5-1),0)</f>
        <v>0</v>
      </c>
      <c r="DI23" s="153">
        <f>IF(AND(DI$3&gt;=Inputs!$C$48,DI$3&lt;=Inputs!$C$15*12),-Inputs!$E$35/12*(1+Inputs!$C$47)^(DI$5-1),0)</f>
        <v>0</v>
      </c>
      <c r="DJ23" s="153">
        <f>IF(AND(DJ$3&gt;=Inputs!$C$48,DJ$3&lt;=Inputs!$C$15*12),-Inputs!$E$35/12*(1+Inputs!$C$47)^(DJ$5-1),0)</f>
        <v>0</v>
      </c>
      <c r="DK23" s="153">
        <f>IF(AND(DK$3&gt;=Inputs!$C$48,DK$3&lt;=Inputs!$C$15*12),-Inputs!$E$35/12*(1+Inputs!$C$47)^(DK$5-1),0)</f>
        <v>0</v>
      </c>
      <c r="DL23" s="153">
        <f>IF(AND(DL$3&gt;=Inputs!$C$48,DL$3&lt;=Inputs!$C$15*12),-Inputs!$E$35/12*(1+Inputs!$C$47)^(DL$5-1),0)</f>
        <v>0</v>
      </c>
      <c r="DM23" s="153">
        <f>IF(AND(DM$3&gt;=Inputs!$C$48,DM$3&lt;=Inputs!$C$15*12),-Inputs!$E$35/12*(1+Inputs!$C$47)^(DM$5-1),0)</f>
        <v>0</v>
      </c>
      <c r="DN23" s="153">
        <f>IF(AND(DN$3&gt;=Inputs!$C$48,DN$3&lt;=Inputs!$C$15*12),-Inputs!$E$35/12*(1+Inputs!$C$47)^(DN$5-1),0)</f>
        <v>0</v>
      </c>
      <c r="DO23" s="153">
        <f>IF(AND(DO$3&gt;=Inputs!$C$48,DO$3&lt;=Inputs!$C$15*12),-Inputs!$E$35/12*(1+Inputs!$C$47)^(DO$5-1),0)</f>
        <v>0</v>
      </c>
      <c r="DP23" s="153">
        <f>IF(AND(DP$3&gt;=Inputs!$C$48,DP$3&lt;=Inputs!$C$15*12),-Inputs!$E$35/12*(1+Inputs!$C$47)^(DP$5-1),0)</f>
        <v>0</v>
      </c>
      <c r="DQ23" s="153">
        <f>IF(AND(DQ$3&gt;=Inputs!$C$48,DQ$3&lt;=Inputs!$C$15*12),-Inputs!$E$35/12*(1+Inputs!$C$47)^(DQ$5-1),0)</f>
        <v>0</v>
      </c>
      <c r="DR23" s="153">
        <f>IF(AND(DR$3&gt;=Inputs!$C$48,DR$3&lt;=Inputs!$C$15*12),-Inputs!$E$35/12*(1+Inputs!$C$47)^(DR$5-1),0)</f>
        <v>0</v>
      </c>
      <c r="DS23" s="54"/>
    </row>
    <row r="24" ht="15.0" customHeight="1">
      <c r="A24" s="54"/>
      <c r="B24" s="56" t="str">
        <f>Inputs!B36</f>
        <v>  Utilities</v>
      </c>
      <c r="C24" s="153">
        <f>IF(AND(C$3&gt;=Inputs!$C$48,C$3&lt;=Inputs!$C$15*12),-Inputs!$E$36/12*(1+Inputs!$C$47)^(C$5-1),0)</f>
        <v>0</v>
      </c>
      <c r="D24" s="153">
        <f>IF(AND(D$3&gt;=Inputs!$C$48,D$3&lt;=Inputs!$C$15*12),-Inputs!$E$36/12*(1+Inputs!$C$47)^(D$5-1),0)</f>
        <v>0</v>
      </c>
      <c r="E24" s="153">
        <f>IF(AND(E$3&gt;=Inputs!$C$48,E$3&lt;=Inputs!$C$15*12),-Inputs!$E$36/12*(1+Inputs!$C$47)^(E$5-1),0)</f>
        <v>0</v>
      </c>
      <c r="F24" s="153">
        <f>IF(AND(F$3&gt;=Inputs!$C$48,F$3&lt;=Inputs!$C$15*12),-Inputs!$E$36/12*(1+Inputs!$C$47)^(F$5-1),0)</f>
        <v>0</v>
      </c>
      <c r="G24" s="153">
        <f>IF(AND(G$3&gt;=Inputs!$C$48,G$3&lt;=Inputs!$C$15*12),-Inputs!$E$36/12*(1+Inputs!$C$47)^(G$5-1),0)</f>
        <v>0</v>
      </c>
      <c r="H24" s="153">
        <f>IF(AND(H$3&gt;=Inputs!$C$48,H$3&lt;=Inputs!$C$15*12),-Inputs!$E$36/12*(1+Inputs!$C$47)^(H$5-1),0)</f>
        <v>0</v>
      </c>
      <c r="I24" s="153">
        <f>IF(AND(I$3&gt;=Inputs!$C$48,I$3&lt;=Inputs!$C$15*12),-Inputs!$E$36/12*(1+Inputs!$C$47)^(I$5-1),0)</f>
        <v>0</v>
      </c>
      <c r="J24" s="153">
        <f>IF(AND(J$3&gt;=Inputs!$C$48,J$3&lt;=Inputs!$C$15*12),-Inputs!$E$36/12*(1+Inputs!$C$47)^(J$5-1),0)</f>
        <v>0</v>
      </c>
      <c r="K24" s="153">
        <f>IF(AND(K$3&gt;=Inputs!$C$48,K$3&lt;=Inputs!$C$15*12),-Inputs!$E$36/12*(1+Inputs!$C$47)^(K$5-1),0)</f>
        <v>0</v>
      </c>
      <c r="L24" s="153">
        <f>IF(AND(L$3&gt;=Inputs!$C$48,L$3&lt;=Inputs!$C$15*12),-Inputs!$E$36/12*(1+Inputs!$C$47)^(L$5-1),0)</f>
        <v>0</v>
      </c>
      <c r="M24" s="153">
        <f>IF(AND(M$3&gt;=Inputs!$C$48,M$3&lt;=Inputs!$C$15*12),-Inputs!$E$36/12*(1+Inputs!$C$47)^(M$5-1),0)</f>
        <v>0</v>
      </c>
      <c r="N24" s="153">
        <f>IF(AND(N$3&gt;=Inputs!$C$48,N$3&lt;=Inputs!$C$15*12),-Inputs!$E$36/12*(1+Inputs!$C$47)^(N$5-1),0)</f>
        <v>0</v>
      </c>
      <c r="O24" s="153">
        <f>IF(AND(O$3&gt;=Inputs!$C$48,O$3&lt;=Inputs!$C$15*12),-Inputs!$E$36/12*(1+Inputs!$C$47)^(O$5-1),0)</f>
        <v>0</v>
      </c>
      <c r="P24" s="153">
        <f>IF(AND(P$3&gt;=Inputs!$C$48,P$3&lt;=Inputs!$C$15*12),-Inputs!$E$36/12*(1+Inputs!$C$47)^(P$5-1),0)</f>
        <v>0</v>
      </c>
      <c r="Q24" s="153">
        <f>IF(AND(Q$3&gt;=Inputs!$C$48,Q$3&lt;=Inputs!$C$15*12),-Inputs!$E$36/12*(1+Inputs!$C$47)^(Q$5-1),0)</f>
        <v>0</v>
      </c>
      <c r="R24" s="153">
        <f>IF(AND(R$3&gt;=Inputs!$C$48,R$3&lt;=Inputs!$C$15*12),-Inputs!$E$36/12*(1+Inputs!$C$47)^(R$5-1),0)</f>
        <v>0</v>
      </c>
      <c r="S24" s="153">
        <f>IF(AND(S$3&gt;=Inputs!$C$48,S$3&lt;=Inputs!$C$15*12),-Inputs!$E$36/12*(1+Inputs!$C$47)^(S$5-1),0)</f>
        <v>0</v>
      </c>
      <c r="T24" s="153">
        <f>IF(AND(T$3&gt;=Inputs!$C$48,T$3&lt;=Inputs!$C$15*12),-Inputs!$E$36/12*(1+Inputs!$C$47)^(T$5-1),0)</f>
        <v>0</v>
      </c>
      <c r="U24" s="153">
        <f>IF(AND(U$3&gt;=Inputs!$C$48,U$3&lt;=Inputs!$C$15*12),-Inputs!$E$36/12*(1+Inputs!$C$47)^(U$5-1),0)</f>
        <v>0</v>
      </c>
      <c r="V24" s="153">
        <f>IF(AND(V$3&gt;=Inputs!$C$48,V$3&lt;=Inputs!$C$15*12),-Inputs!$E$36/12*(1+Inputs!$C$47)^(V$5-1),0)</f>
        <v>0</v>
      </c>
      <c r="W24" s="153">
        <f>IF(AND(W$3&gt;=Inputs!$C$48,W$3&lt;=Inputs!$C$15*12),-Inputs!$E$36/12*(1+Inputs!$C$47)^(W$5-1),0)</f>
        <v>0</v>
      </c>
      <c r="X24" s="153">
        <f>IF(AND(X$3&gt;=Inputs!$C$48,X$3&lt;=Inputs!$C$15*12),-Inputs!$E$36/12*(1+Inputs!$C$47)^(X$5-1),0)</f>
        <v>0</v>
      </c>
      <c r="Y24" s="153">
        <f>IF(AND(Y$3&gt;=Inputs!$C$48,Y$3&lt;=Inputs!$C$15*12),-Inputs!$E$36/12*(1+Inputs!$C$47)^(Y$5-1),0)</f>
        <v>0</v>
      </c>
      <c r="Z24" s="153">
        <f>IF(AND(Z$3&gt;=Inputs!$C$48,Z$3&lt;=Inputs!$C$15*12),-Inputs!$E$36/12*(1+Inputs!$C$47)^(Z$5-1),0)</f>
        <v>0</v>
      </c>
      <c r="AA24" s="153">
        <f>IF(AND(AA$3&gt;=Inputs!$C$48,AA$3&lt;=Inputs!$C$15*12),-Inputs!$E$36/12*(1+Inputs!$C$47)^(AA$5-1),0)</f>
        <v>0</v>
      </c>
      <c r="AB24" s="153">
        <f>IF(AND(AB$3&gt;=Inputs!$C$48,AB$3&lt;=Inputs!$C$15*12),-Inputs!$E$36/12*(1+Inputs!$C$47)^(AB$5-1),0)</f>
        <v>0</v>
      </c>
      <c r="AC24" s="153">
        <f>IF(AND(AC$3&gt;=Inputs!$C$48,AC$3&lt;=Inputs!$C$15*12),-Inputs!$E$36/12*(1+Inputs!$C$47)^(AC$5-1),0)</f>
        <v>0</v>
      </c>
      <c r="AD24" s="153">
        <f>IF(AND(AD$3&gt;=Inputs!$C$48,AD$3&lt;=Inputs!$C$15*12),-Inputs!$E$36/12*(1+Inputs!$C$47)^(AD$5-1),0)</f>
        <v>0</v>
      </c>
      <c r="AE24" s="153">
        <f>IF(AND(AE$3&gt;=Inputs!$C$48,AE$3&lt;=Inputs!$C$15*12),-Inputs!$E$36/12*(1+Inputs!$C$47)^(AE$5-1),0)</f>
        <v>0</v>
      </c>
      <c r="AF24" s="153">
        <f>IF(AND(AF$3&gt;=Inputs!$C$48,AF$3&lt;=Inputs!$C$15*12),-Inputs!$E$36/12*(1+Inputs!$C$47)^(AF$5-1),0)</f>
        <v>0</v>
      </c>
      <c r="AG24" s="153">
        <f>IF(AND(AG$3&gt;=Inputs!$C$48,AG$3&lt;=Inputs!$C$15*12),-Inputs!$E$36/12*(1+Inputs!$C$47)^(AG$5-1),0)</f>
        <v>0</v>
      </c>
      <c r="AH24" s="153">
        <f>IF(AND(AH$3&gt;=Inputs!$C$48,AH$3&lt;=Inputs!$C$15*12),-Inputs!$E$36/12*(1+Inputs!$C$47)^(AH$5-1),0)</f>
        <v>0</v>
      </c>
      <c r="AI24" s="153">
        <f>IF(AND(AI$3&gt;=Inputs!$C$48,AI$3&lt;=Inputs!$C$15*12),-Inputs!$E$36/12*(1+Inputs!$C$47)^(AI$5-1),0)</f>
        <v>0</v>
      </c>
      <c r="AJ24" s="153">
        <f>IF(AND(AJ$3&gt;=Inputs!$C$48,AJ$3&lt;=Inputs!$C$15*12),-Inputs!$E$36/12*(1+Inputs!$C$47)^(AJ$5-1),0)</f>
        <v>0</v>
      </c>
      <c r="AK24" s="153">
        <f>IF(AND(AK$3&gt;=Inputs!$C$48,AK$3&lt;=Inputs!$C$15*12),-Inputs!$E$36/12*(1+Inputs!$C$47)^(AK$5-1),0)</f>
        <v>0</v>
      </c>
      <c r="AL24" s="153">
        <f>IF(AND(AL$3&gt;=Inputs!$C$48,AL$3&lt;=Inputs!$C$15*12),-Inputs!$E$36/12*(1+Inputs!$C$47)^(AL$5-1),0)</f>
        <v>0</v>
      </c>
      <c r="AM24" s="153">
        <f>IF(AND(AM$3&gt;=Inputs!$C$48,AM$3&lt;=Inputs!$C$15*12),-Inputs!$E$36/12*(1+Inputs!$C$47)^(AM$5-1),0)</f>
        <v>0</v>
      </c>
      <c r="AN24" s="153">
        <f>IF(AND(AN$3&gt;=Inputs!$C$48,AN$3&lt;=Inputs!$C$15*12),-Inputs!$E$36/12*(1+Inputs!$C$47)^(AN$5-1),0)</f>
        <v>0</v>
      </c>
      <c r="AO24" s="153">
        <f>IF(AND(AO$3&gt;=Inputs!$C$48,AO$3&lt;=Inputs!$C$15*12),-Inputs!$E$36/12*(1+Inputs!$C$47)^(AO$5-1),0)</f>
        <v>0</v>
      </c>
      <c r="AP24" s="153">
        <f>IF(AND(AP$3&gt;=Inputs!$C$48,AP$3&lt;=Inputs!$C$15*12),-Inputs!$E$36/12*(1+Inputs!$C$47)^(AP$5-1),0)</f>
        <v>0</v>
      </c>
      <c r="AQ24" s="153">
        <f>IF(AND(AQ$3&gt;=Inputs!$C$48,AQ$3&lt;=Inputs!$C$15*12),-Inputs!$E$36/12*(1+Inputs!$C$47)^(AQ$5-1),0)</f>
        <v>0</v>
      </c>
      <c r="AR24" s="153">
        <f>IF(AND(AR$3&gt;=Inputs!$C$48,AR$3&lt;=Inputs!$C$15*12),-Inputs!$E$36/12*(1+Inputs!$C$47)^(AR$5-1),0)</f>
        <v>0</v>
      </c>
      <c r="AS24" s="153">
        <f>IF(AND(AS$3&gt;=Inputs!$C$48,AS$3&lt;=Inputs!$C$15*12),-Inputs!$E$36/12*(1+Inputs!$C$47)^(AS$5-1),0)</f>
        <v>0</v>
      </c>
      <c r="AT24" s="153">
        <f>IF(AND(AT$3&gt;=Inputs!$C$48,AT$3&lt;=Inputs!$C$15*12),-Inputs!$E$36/12*(1+Inputs!$C$47)^(AT$5-1),0)</f>
        <v>0</v>
      </c>
      <c r="AU24" s="153">
        <f>IF(AND(AU$3&gt;=Inputs!$C$48,AU$3&lt;=Inputs!$C$15*12),-Inputs!$E$36/12*(1+Inputs!$C$47)^(AU$5-1),0)</f>
        <v>0</v>
      </c>
      <c r="AV24" s="153">
        <f>IF(AND(AV$3&gt;=Inputs!$C$48,AV$3&lt;=Inputs!$C$15*12),-Inputs!$E$36/12*(1+Inputs!$C$47)^(AV$5-1),0)</f>
        <v>0</v>
      </c>
      <c r="AW24" s="153">
        <f>IF(AND(AW$3&gt;=Inputs!$C$48,AW$3&lt;=Inputs!$C$15*12),-Inputs!$E$36/12*(1+Inputs!$C$47)^(AW$5-1),0)</f>
        <v>0</v>
      </c>
      <c r="AX24" s="153">
        <f>IF(AND(AX$3&gt;=Inputs!$C$48,AX$3&lt;=Inputs!$C$15*12),-Inputs!$E$36/12*(1+Inputs!$C$47)^(AX$5-1),0)</f>
        <v>0</v>
      </c>
      <c r="AY24" s="153">
        <f>IF(AND(AY$3&gt;=Inputs!$C$48,AY$3&lt;=Inputs!$C$15*12),-Inputs!$E$36/12*(1+Inputs!$C$47)^(AY$5-1),0)</f>
        <v>0</v>
      </c>
      <c r="AZ24" s="153">
        <f>IF(AND(AZ$3&gt;=Inputs!$C$48,AZ$3&lt;=Inputs!$C$15*12),-Inputs!$E$36/12*(1+Inputs!$C$47)^(AZ$5-1),0)</f>
        <v>0</v>
      </c>
      <c r="BA24" s="153">
        <f>IF(AND(BA$3&gt;=Inputs!$C$48,BA$3&lt;=Inputs!$C$15*12),-Inputs!$E$36/12*(1+Inputs!$C$47)^(BA$5-1),0)</f>
        <v>0</v>
      </c>
      <c r="BB24" s="153">
        <f>IF(AND(BB$3&gt;=Inputs!$C$48,BB$3&lt;=Inputs!$C$15*12),-Inputs!$E$36/12*(1+Inputs!$C$47)^(BB$5-1),0)</f>
        <v>0</v>
      </c>
      <c r="BC24" s="153">
        <f>IF(AND(BC$3&gt;=Inputs!$C$48,BC$3&lt;=Inputs!$C$15*12),-Inputs!$E$36/12*(1+Inputs!$C$47)^(BC$5-1),0)</f>
        <v>0</v>
      </c>
      <c r="BD24" s="153">
        <f>IF(AND(BD$3&gt;=Inputs!$C$48,BD$3&lt;=Inputs!$C$15*12),-Inputs!$E$36/12*(1+Inputs!$C$47)^(BD$5-1),0)</f>
        <v>0</v>
      </c>
      <c r="BE24" s="153">
        <f>IF(AND(BE$3&gt;=Inputs!$C$48,BE$3&lt;=Inputs!$C$15*12),-Inputs!$E$36/12*(1+Inputs!$C$47)^(BE$5-1),0)</f>
        <v>0</v>
      </c>
      <c r="BF24" s="153">
        <f>IF(AND(BF$3&gt;=Inputs!$C$48,BF$3&lt;=Inputs!$C$15*12),-Inputs!$E$36/12*(1+Inputs!$C$47)^(BF$5-1),0)</f>
        <v>0</v>
      </c>
      <c r="BG24" s="153">
        <f>IF(AND(BG$3&gt;=Inputs!$C$48,BG$3&lt;=Inputs!$C$15*12),-Inputs!$E$36/12*(1+Inputs!$C$47)^(BG$5-1),0)</f>
        <v>0</v>
      </c>
      <c r="BH24" s="153">
        <f>IF(AND(BH$3&gt;=Inputs!$C$48,BH$3&lt;=Inputs!$C$15*12),-Inputs!$E$36/12*(1+Inputs!$C$47)^(BH$5-1),0)</f>
        <v>0</v>
      </c>
      <c r="BI24" s="153">
        <f>IF(AND(BI$3&gt;=Inputs!$C$48,BI$3&lt;=Inputs!$C$15*12),-Inputs!$E$36/12*(1+Inputs!$C$47)^(BI$5-1),0)</f>
        <v>0</v>
      </c>
      <c r="BJ24" s="153">
        <f>IF(AND(BJ$3&gt;=Inputs!$C$48,BJ$3&lt;=Inputs!$C$15*12),-Inputs!$E$36/12*(1+Inputs!$C$47)^(BJ$5-1),0)</f>
        <v>0</v>
      </c>
      <c r="BK24" s="153">
        <f>IF(AND(BK$3&gt;=Inputs!$C$48,BK$3&lt;=Inputs!$C$15*12),-Inputs!$E$36/12*(1+Inputs!$C$47)^(BK$5-1),0)</f>
        <v>0</v>
      </c>
      <c r="BL24" s="153">
        <f>IF(AND(BL$3&gt;=Inputs!$C$48,BL$3&lt;=Inputs!$C$15*12),-Inputs!$E$36/12*(1+Inputs!$C$47)^(BL$5-1),0)</f>
        <v>0</v>
      </c>
      <c r="BM24" s="153">
        <f>IF(AND(BM$3&gt;=Inputs!$C$48,BM$3&lt;=Inputs!$C$15*12),-Inputs!$E$36/12*(1+Inputs!$C$47)^(BM$5-1),0)</f>
        <v>0</v>
      </c>
      <c r="BN24" s="153">
        <f>IF(AND(BN$3&gt;=Inputs!$C$48,BN$3&lt;=Inputs!$C$15*12),-Inputs!$E$36/12*(1+Inputs!$C$47)^(BN$5-1),0)</f>
        <v>0</v>
      </c>
      <c r="BO24" s="153">
        <f>IF(AND(BO$3&gt;=Inputs!$C$48,BO$3&lt;=Inputs!$C$15*12),-Inputs!$E$36/12*(1+Inputs!$C$47)^(BO$5-1),0)</f>
        <v>0</v>
      </c>
      <c r="BP24" s="153">
        <f>IF(AND(BP$3&gt;=Inputs!$C$48,BP$3&lt;=Inputs!$C$15*12),-Inputs!$E$36/12*(1+Inputs!$C$47)^(BP$5-1),0)</f>
        <v>0</v>
      </c>
      <c r="BQ24" s="153">
        <f>IF(AND(BQ$3&gt;=Inputs!$C$48,BQ$3&lt;=Inputs!$C$15*12),-Inputs!$E$36/12*(1+Inputs!$C$47)^(BQ$5-1),0)</f>
        <v>0</v>
      </c>
      <c r="BR24" s="153">
        <f>IF(AND(BR$3&gt;=Inputs!$C$48,BR$3&lt;=Inputs!$C$15*12),-Inputs!$E$36/12*(1+Inputs!$C$47)^(BR$5-1),0)</f>
        <v>0</v>
      </c>
      <c r="BS24" s="153">
        <f>IF(AND(BS$3&gt;=Inputs!$C$48,BS$3&lt;=Inputs!$C$15*12),-Inputs!$E$36/12*(1+Inputs!$C$47)^(BS$5-1),0)</f>
        <v>0</v>
      </c>
      <c r="BT24" s="153">
        <f>IF(AND(BT$3&gt;=Inputs!$C$48,BT$3&lt;=Inputs!$C$15*12),-Inputs!$E$36/12*(1+Inputs!$C$47)^(BT$5-1),0)</f>
        <v>0</v>
      </c>
      <c r="BU24" s="153">
        <f>IF(AND(BU$3&gt;=Inputs!$C$48,BU$3&lt;=Inputs!$C$15*12),-Inputs!$E$36/12*(1+Inputs!$C$47)^(BU$5-1),0)</f>
        <v>0</v>
      </c>
      <c r="BV24" s="153">
        <f>IF(AND(BV$3&gt;=Inputs!$C$48,BV$3&lt;=Inputs!$C$15*12),-Inputs!$E$36/12*(1+Inputs!$C$47)^(BV$5-1),0)</f>
        <v>0</v>
      </c>
      <c r="BW24" s="153">
        <f>IF(AND(BW$3&gt;=Inputs!$C$48,BW$3&lt;=Inputs!$C$15*12),-Inputs!$E$36/12*(1+Inputs!$C$47)^(BW$5-1),0)</f>
        <v>0</v>
      </c>
      <c r="BX24" s="153">
        <f>IF(AND(BX$3&gt;=Inputs!$C$48,BX$3&lt;=Inputs!$C$15*12),-Inputs!$E$36/12*(1+Inputs!$C$47)^(BX$5-1),0)</f>
        <v>0</v>
      </c>
      <c r="BY24" s="153">
        <f>IF(AND(BY$3&gt;=Inputs!$C$48,BY$3&lt;=Inputs!$C$15*12),-Inputs!$E$36/12*(1+Inputs!$C$47)^(BY$5-1),0)</f>
        <v>0</v>
      </c>
      <c r="BZ24" s="153">
        <f>IF(AND(BZ$3&gt;=Inputs!$C$48,BZ$3&lt;=Inputs!$C$15*12),-Inputs!$E$36/12*(1+Inputs!$C$47)^(BZ$5-1),0)</f>
        <v>0</v>
      </c>
      <c r="CA24" s="153">
        <f>IF(AND(CA$3&gt;=Inputs!$C$48,CA$3&lt;=Inputs!$C$15*12),-Inputs!$E$36/12*(1+Inputs!$C$47)^(CA$5-1),0)</f>
        <v>0</v>
      </c>
      <c r="CB24" s="153">
        <f>IF(AND(CB$3&gt;=Inputs!$C$48,CB$3&lt;=Inputs!$C$15*12),-Inputs!$E$36/12*(1+Inputs!$C$47)^(CB$5-1),0)</f>
        <v>0</v>
      </c>
      <c r="CC24" s="153">
        <f>IF(AND(CC$3&gt;=Inputs!$C$48,CC$3&lt;=Inputs!$C$15*12),-Inputs!$E$36/12*(1+Inputs!$C$47)^(CC$5-1),0)</f>
        <v>0</v>
      </c>
      <c r="CD24" s="153">
        <f>IF(AND(CD$3&gt;=Inputs!$C$48,CD$3&lt;=Inputs!$C$15*12),-Inputs!$E$36/12*(1+Inputs!$C$47)^(CD$5-1),0)</f>
        <v>0</v>
      </c>
      <c r="CE24" s="153">
        <f>IF(AND(CE$3&gt;=Inputs!$C$48,CE$3&lt;=Inputs!$C$15*12),-Inputs!$E$36/12*(1+Inputs!$C$47)^(CE$5-1),0)</f>
        <v>0</v>
      </c>
      <c r="CF24" s="153">
        <f>IF(AND(CF$3&gt;=Inputs!$C$48,CF$3&lt;=Inputs!$C$15*12),-Inputs!$E$36/12*(1+Inputs!$C$47)^(CF$5-1),0)</f>
        <v>0</v>
      </c>
      <c r="CG24" s="153">
        <f>IF(AND(CG$3&gt;=Inputs!$C$48,CG$3&lt;=Inputs!$C$15*12),-Inputs!$E$36/12*(1+Inputs!$C$47)^(CG$5-1),0)</f>
        <v>0</v>
      </c>
      <c r="CH24" s="153">
        <f>IF(AND(CH$3&gt;=Inputs!$C$48,CH$3&lt;=Inputs!$C$15*12),-Inputs!$E$36/12*(1+Inputs!$C$47)^(CH$5-1),0)</f>
        <v>0</v>
      </c>
      <c r="CI24" s="153">
        <f>IF(AND(CI$3&gt;=Inputs!$C$48,CI$3&lt;=Inputs!$C$15*12),-Inputs!$E$36/12*(1+Inputs!$C$47)^(CI$5-1),0)</f>
        <v>0</v>
      </c>
      <c r="CJ24" s="153">
        <f>IF(AND(CJ$3&gt;=Inputs!$C$48,CJ$3&lt;=Inputs!$C$15*12),-Inputs!$E$36/12*(1+Inputs!$C$47)^(CJ$5-1),0)</f>
        <v>0</v>
      </c>
      <c r="CK24" s="153">
        <f>IF(AND(CK$3&gt;=Inputs!$C$48,CK$3&lt;=Inputs!$C$15*12),-Inputs!$E$36/12*(1+Inputs!$C$47)^(CK$5-1),0)</f>
        <v>0</v>
      </c>
      <c r="CL24" s="153">
        <f>IF(AND(CL$3&gt;=Inputs!$C$48,CL$3&lt;=Inputs!$C$15*12),-Inputs!$E$36/12*(1+Inputs!$C$47)^(CL$5-1),0)</f>
        <v>0</v>
      </c>
      <c r="CM24" s="153">
        <f>IF(AND(CM$3&gt;=Inputs!$C$48,CM$3&lt;=Inputs!$C$15*12),-Inputs!$E$36/12*(1+Inputs!$C$47)^(CM$5-1),0)</f>
        <v>0</v>
      </c>
      <c r="CN24" s="153">
        <f>IF(AND(CN$3&gt;=Inputs!$C$48,CN$3&lt;=Inputs!$C$15*12),-Inputs!$E$36/12*(1+Inputs!$C$47)^(CN$5-1),0)</f>
        <v>0</v>
      </c>
      <c r="CO24" s="153">
        <f>IF(AND(CO$3&gt;=Inputs!$C$48,CO$3&lt;=Inputs!$C$15*12),-Inputs!$E$36/12*(1+Inputs!$C$47)^(CO$5-1),0)</f>
        <v>0</v>
      </c>
      <c r="CP24" s="153">
        <f>IF(AND(CP$3&gt;=Inputs!$C$48,CP$3&lt;=Inputs!$C$15*12),-Inputs!$E$36/12*(1+Inputs!$C$47)^(CP$5-1),0)</f>
        <v>0</v>
      </c>
      <c r="CQ24" s="153">
        <f>IF(AND(CQ$3&gt;=Inputs!$C$48,CQ$3&lt;=Inputs!$C$15*12),-Inputs!$E$36/12*(1+Inputs!$C$47)^(CQ$5-1),0)</f>
        <v>0</v>
      </c>
      <c r="CR24" s="153">
        <f>IF(AND(CR$3&gt;=Inputs!$C$48,CR$3&lt;=Inputs!$C$15*12),-Inputs!$E$36/12*(1+Inputs!$C$47)^(CR$5-1),0)</f>
        <v>0</v>
      </c>
      <c r="CS24" s="153">
        <f>IF(AND(CS$3&gt;=Inputs!$C$48,CS$3&lt;=Inputs!$C$15*12),-Inputs!$E$36/12*(1+Inputs!$C$47)^(CS$5-1),0)</f>
        <v>0</v>
      </c>
      <c r="CT24" s="153">
        <f>IF(AND(CT$3&gt;=Inputs!$C$48,CT$3&lt;=Inputs!$C$15*12),-Inputs!$E$36/12*(1+Inputs!$C$47)^(CT$5-1),0)</f>
        <v>0</v>
      </c>
      <c r="CU24" s="153">
        <f>IF(AND(CU$3&gt;=Inputs!$C$48,CU$3&lt;=Inputs!$C$15*12),-Inputs!$E$36/12*(1+Inputs!$C$47)^(CU$5-1),0)</f>
        <v>0</v>
      </c>
      <c r="CV24" s="153">
        <f>IF(AND(CV$3&gt;=Inputs!$C$48,CV$3&lt;=Inputs!$C$15*12),-Inputs!$E$36/12*(1+Inputs!$C$47)^(CV$5-1),0)</f>
        <v>0</v>
      </c>
      <c r="CW24" s="153">
        <f>IF(AND(CW$3&gt;=Inputs!$C$48,CW$3&lt;=Inputs!$C$15*12),-Inputs!$E$36/12*(1+Inputs!$C$47)^(CW$5-1),0)</f>
        <v>0</v>
      </c>
      <c r="CX24" s="153">
        <f>IF(AND(CX$3&gt;=Inputs!$C$48,CX$3&lt;=Inputs!$C$15*12),-Inputs!$E$36/12*(1+Inputs!$C$47)^(CX$5-1),0)</f>
        <v>0</v>
      </c>
      <c r="CY24" s="153">
        <f>IF(AND(CY$3&gt;=Inputs!$C$48,CY$3&lt;=Inputs!$C$15*12),-Inputs!$E$36/12*(1+Inputs!$C$47)^(CY$5-1),0)</f>
        <v>0</v>
      </c>
      <c r="CZ24" s="153">
        <f>IF(AND(CZ$3&gt;=Inputs!$C$48,CZ$3&lt;=Inputs!$C$15*12),-Inputs!$E$36/12*(1+Inputs!$C$47)^(CZ$5-1),0)</f>
        <v>0</v>
      </c>
      <c r="DA24" s="153">
        <f>IF(AND(DA$3&gt;=Inputs!$C$48,DA$3&lt;=Inputs!$C$15*12),-Inputs!$E$36/12*(1+Inputs!$C$47)^(DA$5-1),0)</f>
        <v>0</v>
      </c>
      <c r="DB24" s="153">
        <f>IF(AND(DB$3&gt;=Inputs!$C$48,DB$3&lt;=Inputs!$C$15*12),-Inputs!$E$36/12*(1+Inputs!$C$47)^(DB$5-1),0)</f>
        <v>0</v>
      </c>
      <c r="DC24" s="153">
        <f>IF(AND(DC$3&gt;=Inputs!$C$48,DC$3&lt;=Inputs!$C$15*12),-Inputs!$E$36/12*(1+Inputs!$C$47)^(DC$5-1),0)</f>
        <v>0</v>
      </c>
      <c r="DD24" s="153">
        <f>IF(AND(DD$3&gt;=Inputs!$C$48,DD$3&lt;=Inputs!$C$15*12),-Inputs!$E$36/12*(1+Inputs!$C$47)^(DD$5-1),0)</f>
        <v>0</v>
      </c>
      <c r="DE24" s="153">
        <f>IF(AND(DE$3&gt;=Inputs!$C$48,DE$3&lt;=Inputs!$C$15*12),-Inputs!$E$36/12*(1+Inputs!$C$47)^(DE$5-1),0)</f>
        <v>0</v>
      </c>
      <c r="DF24" s="153">
        <f>IF(AND(DF$3&gt;=Inputs!$C$48,DF$3&lt;=Inputs!$C$15*12),-Inputs!$E$36/12*(1+Inputs!$C$47)^(DF$5-1),0)</f>
        <v>0</v>
      </c>
      <c r="DG24" s="153">
        <f>IF(AND(DG$3&gt;=Inputs!$C$48,DG$3&lt;=Inputs!$C$15*12),-Inputs!$E$36/12*(1+Inputs!$C$47)^(DG$5-1),0)</f>
        <v>0</v>
      </c>
      <c r="DH24" s="153">
        <f>IF(AND(DH$3&gt;=Inputs!$C$48,DH$3&lt;=Inputs!$C$15*12),-Inputs!$E$36/12*(1+Inputs!$C$47)^(DH$5-1),0)</f>
        <v>0</v>
      </c>
      <c r="DI24" s="153">
        <f>IF(AND(DI$3&gt;=Inputs!$C$48,DI$3&lt;=Inputs!$C$15*12),-Inputs!$E$36/12*(1+Inputs!$C$47)^(DI$5-1),0)</f>
        <v>0</v>
      </c>
      <c r="DJ24" s="153">
        <f>IF(AND(DJ$3&gt;=Inputs!$C$48,DJ$3&lt;=Inputs!$C$15*12),-Inputs!$E$36/12*(1+Inputs!$C$47)^(DJ$5-1),0)</f>
        <v>0</v>
      </c>
      <c r="DK24" s="153">
        <f>IF(AND(DK$3&gt;=Inputs!$C$48,DK$3&lt;=Inputs!$C$15*12),-Inputs!$E$36/12*(1+Inputs!$C$47)^(DK$5-1),0)</f>
        <v>0</v>
      </c>
      <c r="DL24" s="153">
        <f>IF(AND(DL$3&gt;=Inputs!$C$48,DL$3&lt;=Inputs!$C$15*12),-Inputs!$E$36/12*(1+Inputs!$C$47)^(DL$5-1),0)</f>
        <v>0</v>
      </c>
      <c r="DM24" s="153">
        <f>IF(AND(DM$3&gt;=Inputs!$C$48,DM$3&lt;=Inputs!$C$15*12),-Inputs!$E$36/12*(1+Inputs!$C$47)^(DM$5-1),0)</f>
        <v>0</v>
      </c>
      <c r="DN24" s="153">
        <f>IF(AND(DN$3&gt;=Inputs!$C$48,DN$3&lt;=Inputs!$C$15*12),-Inputs!$E$36/12*(1+Inputs!$C$47)^(DN$5-1),0)</f>
        <v>0</v>
      </c>
      <c r="DO24" s="153">
        <f>IF(AND(DO$3&gt;=Inputs!$C$48,DO$3&lt;=Inputs!$C$15*12),-Inputs!$E$36/12*(1+Inputs!$C$47)^(DO$5-1),0)</f>
        <v>0</v>
      </c>
      <c r="DP24" s="153">
        <f>IF(AND(DP$3&gt;=Inputs!$C$48,DP$3&lt;=Inputs!$C$15*12),-Inputs!$E$36/12*(1+Inputs!$C$47)^(DP$5-1),0)</f>
        <v>0</v>
      </c>
      <c r="DQ24" s="153">
        <f>IF(AND(DQ$3&gt;=Inputs!$C$48,DQ$3&lt;=Inputs!$C$15*12),-Inputs!$E$36/12*(1+Inputs!$C$47)^(DQ$5-1),0)</f>
        <v>0</v>
      </c>
      <c r="DR24" s="153">
        <f>IF(AND(DR$3&gt;=Inputs!$C$48,DR$3&lt;=Inputs!$C$15*12),-Inputs!$E$36/12*(1+Inputs!$C$47)^(DR$5-1),0)</f>
        <v>0</v>
      </c>
      <c r="DS24" s="54"/>
    </row>
    <row r="25" ht="15.0" customHeight="1">
      <c r="A25" s="54"/>
      <c r="B25" s="56" t="str">
        <f>Inputs!B37</f>
        <v>  Landscaping / Janitorial</v>
      </c>
      <c r="C25" s="153">
        <f>IF(AND(C$3&gt;=Inputs!$C$48,C$3&lt;=Inputs!$C$15*12),-Inputs!$E$37/12*(1+Inputs!$C$47)^(C$5-1),0)</f>
        <v>0</v>
      </c>
      <c r="D25" s="153">
        <f>IF(AND(D$3&gt;=Inputs!$C$48,D$3&lt;=Inputs!$C$15*12),-Inputs!$E$37/12*(1+Inputs!$C$47)^(D$5-1),0)</f>
        <v>0</v>
      </c>
      <c r="E25" s="153">
        <f>IF(AND(E$3&gt;=Inputs!$C$48,E$3&lt;=Inputs!$C$15*12),-Inputs!$E$37/12*(1+Inputs!$C$47)^(E$5-1),0)</f>
        <v>0</v>
      </c>
      <c r="F25" s="153">
        <f>IF(AND(F$3&gt;=Inputs!$C$48,F$3&lt;=Inputs!$C$15*12),-Inputs!$E$37/12*(1+Inputs!$C$47)^(F$5-1),0)</f>
        <v>0</v>
      </c>
      <c r="G25" s="153">
        <f>IF(AND(G$3&gt;=Inputs!$C$48,G$3&lt;=Inputs!$C$15*12),-Inputs!$E$37/12*(1+Inputs!$C$47)^(G$5-1),0)</f>
        <v>0</v>
      </c>
      <c r="H25" s="153">
        <f>IF(AND(H$3&gt;=Inputs!$C$48,H$3&lt;=Inputs!$C$15*12),-Inputs!$E$37/12*(1+Inputs!$C$47)^(H$5-1),0)</f>
        <v>0</v>
      </c>
      <c r="I25" s="153">
        <f>IF(AND(I$3&gt;=Inputs!$C$48,I$3&lt;=Inputs!$C$15*12),-Inputs!$E$37/12*(1+Inputs!$C$47)^(I$5-1),0)</f>
        <v>0</v>
      </c>
      <c r="J25" s="153">
        <f>IF(AND(J$3&gt;=Inputs!$C$48,J$3&lt;=Inputs!$C$15*12),-Inputs!$E$37/12*(1+Inputs!$C$47)^(J$5-1),0)</f>
        <v>0</v>
      </c>
      <c r="K25" s="153">
        <f>IF(AND(K$3&gt;=Inputs!$C$48,K$3&lt;=Inputs!$C$15*12),-Inputs!$E$37/12*(1+Inputs!$C$47)^(K$5-1),0)</f>
        <v>0</v>
      </c>
      <c r="L25" s="153">
        <f>IF(AND(L$3&gt;=Inputs!$C$48,L$3&lt;=Inputs!$C$15*12),-Inputs!$E$37/12*(1+Inputs!$C$47)^(L$5-1),0)</f>
        <v>0</v>
      </c>
      <c r="M25" s="153">
        <f>IF(AND(M$3&gt;=Inputs!$C$48,M$3&lt;=Inputs!$C$15*12),-Inputs!$E$37/12*(1+Inputs!$C$47)^(M$5-1),0)</f>
        <v>0</v>
      </c>
      <c r="N25" s="153">
        <f>IF(AND(N$3&gt;=Inputs!$C$48,N$3&lt;=Inputs!$C$15*12),-Inputs!$E$37/12*(1+Inputs!$C$47)^(N$5-1),0)</f>
        <v>0</v>
      </c>
      <c r="O25" s="153">
        <f>IF(AND(O$3&gt;=Inputs!$C$48,O$3&lt;=Inputs!$C$15*12),-Inputs!$E$37/12*(1+Inputs!$C$47)^(O$5-1),0)</f>
        <v>0</v>
      </c>
      <c r="P25" s="153">
        <f>IF(AND(P$3&gt;=Inputs!$C$48,P$3&lt;=Inputs!$C$15*12),-Inputs!$E$37/12*(1+Inputs!$C$47)^(P$5-1),0)</f>
        <v>0</v>
      </c>
      <c r="Q25" s="153">
        <f>IF(AND(Q$3&gt;=Inputs!$C$48,Q$3&lt;=Inputs!$C$15*12),-Inputs!$E$37/12*(1+Inputs!$C$47)^(Q$5-1),0)</f>
        <v>0</v>
      </c>
      <c r="R25" s="153">
        <f>IF(AND(R$3&gt;=Inputs!$C$48,R$3&lt;=Inputs!$C$15*12),-Inputs!$E$37/12*(1+Inputs!$C$47)^(R$5-1),0)</f>
        <v>0</v>
      </c>
      <c r="S25" s="153">
        <f>IF(AND(S$3&gt;=Inputs!$C$48,S$3&lt;=Inputs!$C$15*12),-Inputs!$E$37/12*(1+Inputs!$C$47)^(S$5-1),0)</f>
        <v>0</v>
      </c>
      <c r="T25" s="153">
        <f>IF(AND(T$3&gt;=Inputs!$C$48,T$3&lt;=Inputs!$C$15*12),-Inputs!$E$37/12*(1+Inputs!$C$47)^(T$5-1),0)</f>
        <v>0</v>
      </c>
      <c r="U25" s="153">
        <f>IF(AND(U$3&gt;=Inputs!$C$48,U$3&lt;=Inputs!$C$15*12),-Inputs!$E$37/12*(1+Inputs!$C$47)^(U$5-1),0)</f>
        <v>0</v>
      </c>
      <c r="V25" s="153">
        <f>IF(AND(V$3&gt;=Inputs!$C$48,V$3&lt;=Inputs!$C$15*12),-Inputs!$E$37/12*(1+Inputs!$C$47)^(V$5-1),0)</f>
        <v>0</v>
      </c>
      <c r="W25" s="153">
        <f>IF(AND(W$3&gt;=Inputs!$C$48,W$3&lt;=Inputs!$C$15*12),-Inputs!$E$37/12*(1+Inputs!$C$47)^(W$5-1),0)</f>
        <v>0</v>
      </c>
      <c r="X25" s="153">
        <f>IF(AND(X$3&gt;=Inputs!$C$48,X$3&lt;=Inputs!$C$15*12),-Inputs!$E$37/12*(1+Inputs!$C$47)^(X$5-1),0)</f>
        <v>0</v>
      </c>
      <c r="Y25" s="153">
        <f>IF(AND(Y$3&gt;=Inputs!$C$48,Y$3&lt;=Inputs!$C$15*12),-Inputs!$E$37/12*(1+Inputs!$C$47)^(Y$5-1),0)</f>
        <v>0</v>
      </c>
      <c r="Z25" s="153">
        <f>IF(AND(Z$3&gt;=Inputs!$C$48,Z$3&lt;=Inputs!$C$15*12),-Inputs!$E$37/12*(1+Inputs!$C$47)^(Z$5-1),0)</f>
        <v>0</v>
      </c>
      <c r="AA25" s="153">
        <f>IF(AND(AA$3&gt;=Inputs!$C$48,AA$3&lt;=Inputs!$C$15*12),-Inputs!$E$37/12*(1+Inputs!$C$47)^(AA$5-1),0)</f>
        <v>0</v>
      </c>
      <c r="AB25" s="153">
        <f>IF(AND(AB$3&gt;=Inputs!$C$48,AB$3&lt;=Inputs!$C$15*12),-Inputs!$E$37/12*(1+Inputs!$C$47)^(AB$5-1),0)</f>
        <v>0</v>
      </c>
      <c r="AC25" s="153">
        <f>IF(AND(AC$3&gt;=Inputs!$C$48,AC$3&lt;=Inputs!$C$15*12),-Inputs!$E$37/12*(1+Inputs!$C$47)^(AC$5-1),0)</f>
        <v>0</v>
      </c>
      <c r="AD25" s="153">
        <f>IF(AND(AD$3&gt;=Inputs!$C$48,AD$3&lt;=Inputs!$C$15*12),-Inputs!$E$37/12*(1+Inputs!$C$47)^(AD$5-1),0)</f>
        <v>0</v>
      </c>
      <c r="AE25" s="153">
        <f>IF(AND(AE$3&gt;=Inputs!$C$48,AE$3&lt;=Inputs!$C$15*12),-Inputs!$E$37/12*(1+Inputs!$C$47)^(AE$5-1),0)</f>
        <v>0</v>
      </c>
      <c r="AF25" s="153">
        <f>IF(AND(AF$3&gt;=Inputs!$C$48,AF$3&lt;=Inputs!$C$15*12),-Inputs!$E$37/12*(1+Inputs!$C$47)^(AF$5-1),0)</f>
        <v>0</v>
      </c>
      <c r="AG25" s="153">
        <f>IF(AND(AG$3&gt;=Inputs!$C$48,AG$3&lt;=Inputs!$C$15*12),-Inputs!$E$37/12*(1+Inputs!$C$47)^(AG$5-1),0)</f>
        <v>0</v>
      </c>
      <c r="AH25" s="153">
        <f>IF(AND(AH$3&gt;=Inputs!$C$48,AH$3&lt;=Inputs!$C$15*12),-Inputs!$E$37/12*(1+Inputs!$C$47)^(AH$5-1),0)</f>
        <v>0</v>
      </c>
      <c r="AI25" s="153">
        <f>IF(AND(AI$3&gt;=Inputs!$C$48,AI$3&lt;=Inputs!$C$15*12),-Inputs!$E$37/12*(1+Inputs!$C$47)^(AI$5-1),0)</f>
        <v>0</v>
      </c>
      <c r="AJ25" s="153">
        <f>IF(AND(AJ$3&gt;=Inputs!$C$48,AJ$3&lt;=Inputs!$C$15*12),-Inputs!$E$37/12*(1+Inputs!$C$47)^(AJ$5-1),0)</f>
        <v>0</v>
      </c>
      <c r="AK25" s="153">
        <f>IF(AND(AK$3&gt;=Inputs!$C$48,AK$3&lt;=Inputs!$C$15*12),-Inputs!$E$37/12*(1+Inputs!$C$47)^(AK$5-1),0)</f>
        <v>0</v>
      </c>
      <c r="AL25" s="153">
        <f>IF(AND(AL$3&gt;=Inputs!$C$48,AL$3&lt;=Inputs!$C$15*12),-Inputs!$E$37/12*(1+Inputs!$C$47)^(AL$5-1),0)</f>
        <v>0</v>
      </c>
      <c r="AM25" s="153">
        <f>IF(AND(AM$3&gt;=Inputs!$C$48,AM$3&lt;=Inputs!$C$15*12),-Inputs!$E$37/12*(1+Inputs!$C$47)^(AM$5-1),0)</f>
        <v>0</v>
      </c>
      <c r="AN25" s="153">
        <f>IF(AND(AN$3&gt;=Inputs!$C$48,AN$3&lt;=Inputs!$C$15*12),-Inputs!$E$37/12*(1+Inputs!$C$47)^(AN$5-1),0)</f>
        <v>0</v>
      </c>
      <c r="AO25" s="153">
        <f>IF(AND(AO$3&gt;=Inputs!$C$48,AO$3&lt;=Inputs!$C$15*12),-Inputs!$E$37/12*(1+Inputs!$C$47)^(AO$5-1),0)</f>
        <v>0</v>
      </c>
      <c r="AP25" s="153">
        <f>IF(AND(AP$3&gt;=Inputs!$C$48,AP$3&lt;=Inputs!$C$15*12),-Inputs!$E$37/12*(1+Inputs!$C$47)^(AP$5-1),0)</f>
        <v>0</v>
      </c>
      <c r="AQ25" s="153">
        <f>IF(AND(AQ$3&gt;=Inputs!$C$48,AQ$3&lt;=Inputs!$C$15*12),-Inputs!$E$37/12*(1+Inputs!$C$47)^(AQ$5-1),0)</f>
        <v>0</v>
      </c>
      <c r="AR25" s="153">
        <f>IF(AND(AR$3&gt;=Inputs!$C$48,AR$3&lt;=Inputs!$C$15*12),-Inputs!$E$37/12*(1+Inputs!$C$47)^(AR$5-1),0)</f>
        <v>0</v>
      </c>
      <c r="AS25" s="153">
        <f>IF(AND(AS$3&gt;=Inputs!$C$48,AS$3&lt;=Inputs!$C$15*12),-Inputs!$E$37/12*(1+Inputs!$C$47)^(AS$5-1),0)</f>
        <v>0</v>
      </c>
      <c r="AT25" s="153">
        <f>IF(AND(AT$3&gt;=Inputs!$C$48,AT$3&lt;=Inputs!$C$15*12),-Inputs!$E$37/12*(1+Inputs!$C$47)^(AT$5-1),0)</f>
        <v>0</v>
      </c>
      <c r="AU25" s="153">
        <f>IF(AND(AU$3&gt;=Inputs!$C$48,AU$3&lt;=Inputs!$C$15*12),-Inputs!$E$37/12*(1+Inputs!$C$47)^(AU$5-1),0)</f>
        <v>0</v>
      </c>
      <c r="AV25" s="153">
        <f>IF(AND(AV$3&gt;=Inputs!$C$48,AV$3&lt;=Inputs!$C$15*12),-Inputs!$E$37/12*(1+Inputs!$C$47)^(AV$5-1),0)</f>
        <v>0</v>
      </c>
      <c r="AW25" s="153">
        <f>IF(AND(AW$3&gt;=Inputs!$C$48,AW$3&lt;=Inputs!$C$15*12),-Inputs!$E$37/12*(1+Inputs!$C$47)^(AW$5-1),0)</f>
        <v>0</v>
      </c>
      <c r="AX25" s="153">
        <f>IF(AND(AX$3&gt;=Inputs!$C$48,AX$3&lt;=Inputs!$C$15*12),-Inputs!$E$37/12*(1+Inputs!$C$47)^(AX$5-1),0)</f>
        <v>0</v>
      </c>
      <c r="AY25" s="153">
        <f>IF(AND(AY$3&gt;=Inputs!$C$48,AY$3&lt;=Inputs!$C$15*12),-Inputs!$E$37/12*(1+Inputs!$C$47)^(AY$5-1),0)</f>
        <v>0</v>
      </c>
      <c r="AZ25" s="153">
        <f>IF(AND(AZ$3&gt;=Inputs!$C$48,AZ$3&lt;=Inputs!$C$15*12),-Inputs!$E$37/12*(1+Inputs!$C$47)^(AZ$5-1),0)</f>
        <v>0</v>
      </c>
      <c r="BA25" s="153">
        <f>IF(AND(BA$3&gt;=Inputs!$C$48,BA$3&lt;=Inputs!$C$15*12),-Inputs!$E$37/12*(1+Inputs!$C$47)^(BA$5-1),0)</f>
        <v>0</v>
      </c>
      <c r="BB25" s="153">
        <f>IF(AND(BB$3&gt;=Inputs!$C$48,BB$3&lt;=Inputs!$C$15*12),-Inputs!$E$37/12*(1+Inputs!$C$47)^(BB$5-1),0)</f>
        <v>0</v>
      </c>
      <c r="BC25" s="153">
        <f>IF(AND(BC$3&gt;=Inputs!$C$48,BC$3&lt;=Inputs!$C$15*12),-Inputs!$E$37/12*(1+Inputs!$C$47)^(BC$5-1),0)</f>
        <v>0</v>
      </c>
      <c r="BD25" s="153">
        <f>IF(AND(BD$3&gt;=Inputs!$C$48,BD$3&lt;=Inputs!$C$15*12),-Inputs!$E$37/12*(1+Inputs!$C$47)^(BD$5-1),0)</f>
        <v>0</v>
      </c>
      <c r="BE25" s="153">
        <f>IF(AND(BE$3&gt;=Inputs!$C$48,BE$3&lt;=Inputs!$C$15*12),-Inputs!$E$37/12*(1+Inputs!$C$47)^(BE$5-1),0)</f>
        <v>0</v>
      </c>
      <c r="BF25" s="153">
        <f>IF(AND(BF$3&gt;=Inputs!$C$48,BF$3&lt;=Inputs!$C$15*12),-Inputs!$E$37/12*(1+Inputs!$C$47)^(BF$5-1),0)</f>
        <v>0</v>
      </c>
      <c r="BG25" s="153">
        <f>IF(AND(BG$3&gt;=Inputs!$C$48,BG$3&lt;=Inputs!$C$15*12),-Inputs!$E$37/12*(1+Inputs!$C$47)^(BG$5-1),0)</f>
        <v>0</v>
      </c>
      <c r="BH25" s="153">
        <f>IF(AND(BH$3&gt;=Inputs!$C$48,BH$3&lt;=Inputs!$C$15*12),-Inputs!$E$37/12*(1+Inputs!$C$47)^(BH$5-1),0)</f>
        <v>0</v>
      </c>
      <c r="BI25" s="153">
        <f>IF(AND(BI$3&gt;=Inputs!$C$48,BI$3&lt;=Inputs!$C$15*12),-Inputs!$E$37/12*(1+Inputs!$C$47)^(BI$5-1),0)</f>
        <v>0</v>
      </c>
      <c r="BJ25" s="153">
        <f>IF(AND(BJ$3&gt;=Inputs!$C$48,BJ$3&lt;=Inputs!$C$15*12),-Inputs!$E$37/12*(1+Inputs!$C$47)^(BJ$5-1),0)</f>
        <v>0</v>
      </c>
      <c r="BK25" s="153">
        <f>IF(AND(BK$3&gt;=Inputs!$C$48,BK$3&lt;=Inputs!$C$15*12),-Inputs!$E$37/12*(1+Inputs!$C$47)^(BK$5-1),0)</f>
        <v>0</v>
      </c>
      <c r="BL25" s="153">
        <f>IF(AND(BL$3&gt;=Inputs!$C$48,BL$3&lt;=Inputs!$C$15*12),-Inputs!$E$37/12*(1+Inputs!$C$47)^(BL$5-1),0)</f>
        <v>0</v>
      </c>
      <c r="BM25" s="153">
        <f>IF(AND(BM$3&gt;=Inputs!$C$48,BM$3&lt;=Inputs!$C$15*12),-Inputs!$E$37/12*(1+Inputs!$C$47)^(BM$5-1),0)</f>
        <v>0</v>
      </c>
      <c r="BN25" s="153">
        <f>IF(AND(BN$3&gt;=Inputs!$C$48,BN$3&lt;=Inputs!$C$15*12),-Inputs!$E$37/12*(1+Inputs!$C$47)^(BN$5-1),0)</f>
        <v>0</v>
      </c>
      <c r="BO25" s="153">
        <f>IF(AND(BO$3&gt;=Inputs!$C$48,BO$3&lt;=Inputs!$C$15*12),-Inputs!$E$37/12*(1+Inputs!$C$47)^(BO$5-1),0)</f>
        <v>0</v>
      </c>
      <c r="BP25" s="153">
        <f>IF(AND(BP$3&gt;=Inputs!$C$48,BP$3&lt;=Inputs!$C$15*12),-Inputs!$E$37/12*(1+Inputs!$C$47)^(BP$5-1),0)</f>
        <v>0</v>
      </c>
      <c r="BQ25" s="153">
        <f>IF(AND(BQ$3&gt;=Inputs!$C$48,BQ$3&lt;=Inputs!$C$15*12),-Inputs!$E$37/12*(1+Inputs!$C$47)^(BQ$5-1),0)</f>
        <v>0</v>
      </c>
      <c r="BR25" s="153">
        <f>IF(AND(BR$3&gt;=Inputs!$C$48,BR$3&lt;=Inputs!$C$15*12),-Inputs!$E$37/12*(1+Inputs!$C$47)^(BR$5-1),0)</f>
        <v>0</v>
      </c>
      <c r="BS25" s="153">
        <f>IF(AND(BS$3&gt;=Inputs!$C$48,BS$3&lt;=Inputs!$C$15*12),-Inputs!$E$37/12*(1+Inputs!$C$47)^(BS$5-1),0)</f>
        <v>0</v>
      </c>
      <c r="BT25" s="153">
        <f>IF(AND(BT$3&gt;=Inputs!$C$48,BT$3&lt;=Inputs!$C$15*12),-Inputs!$E$37/12*(1+Inputs!$C$47)^(BT$5-1),0)</f>
        <v>0</v>
      </c>
      <c r="BU25" s="153">
        <f>IF(AND(BU$3&gt;=Inputs!$C$48,BU$3&lt;=Inputs!$C$15*12),-Inputs!$E$37/12*(1+Inputs!$C$47)^(BU$5-1),0)</f>
        <v>0</v>
      </c>
      <c r="BV25" s="153">
        <f>IF(AND(BV$3&gt;=Inputs!$C$48,BV$3&lt;=Inputs!$C$15*12),-Inputs!$E$37/12*(1+Inputs!$C$47)^(BV$5-1),0)</f>
        <v>0</v>
      </c>
      <c r="BW25" s="153">
        <f>IF(AND(BW$3&gt;=Inputs!$C$48,BW$3&lt;=Inputs!$C$15*12),-Inputs!$E$37/12*(1+Inputs!$C$47)^(BW$5-1),0)</f>
        <v>0</v>
      </c>
      <c r="BX25" s="153">
        <f>IF(AND(BX$3&gt;=Inputs!$C$48,BX$3&lt;=Inputs!$C$15*12),-Inputs!$E$37/12*(1+Inputs!$C$47)^(BX$5-1),0)</f>
        <v>0</v>
      </c>
      <c r="BY25" s="153">
        <f>IF(AND(BY$3&gt;=Inputs!$C$48,BY$3&lt;=Inputs!$C$15*12),-Inputs!$E$37/12*(1+Inputs!$C$47)^(BY$5-1),0)</f>
        <v>0</v>
      </c>
      <c r="BZ25" s="153">
        <f>IF(AND(BZ$3&gt;=Inputs!$C$48,BZ$3&lt;=Inputs!$C$15*12),-Inputs!$E$37/12*(1+Inputs!$C$47)^(BZ$5-1),0)</f>
        <v>0</v>
      </c>
      <c r="CA25" s="153">
        <f>IF(AND(CA$3&gt;=Inputs!$C$48,CA$3&lt;=Inputs!$C$15*12),-Inputs!$E$37/12*(1+Inputs!$C$47)^(CA$5-1),0)</f>
        <v>0</v>
      </c>
      <c r="CB25" s="153">
        <f>IF(AND(CB$3&gt;=Inputs!$C$48,CB$3&lt;=Inputs!$C$15*12),-Inputs!$E$37/12*(1+Inputs!$C$47)^(CB$5-1),0)</f>
        <v>0</v>
      </c>
      <c r="CC25" s="153">
        <f>IF(AND(CC$3&gt;=Inputs!$C$48,CC$3&lt;=Inputs!$C$15*12),-Inputs!$E$37/12*(1+Inputs!$C$47)^(CC$5-1),0)</f>
        <v>0</v>
      </c>
      <c r="CD25" s="153">
        <f>IF(AND(CD$3&gt;=Inputs!$C$48,CD$3&lt;=Inputs!$C$15*12),-Inputs!$E$37/12*(1+Inputs!$C$47)^(CD$5-1),0)</f>
        <v>0</v>
      </c>
      <c r="CE25" s="153">
        <f>IF(AND(CE$3&gt;=Inputs!$C$48,CE$3&lt;=Inputs!$C$15*12),-Inputs!$E$37/12*(1+Inputs!$C$47)^(CE$5-1),0)</f>
        <v>0</v>
      </c>
      <c r="CF25" s="153">
        <f>IF(AND(CF$3&gt;=Inputs!$C$48,CF$3&lt;=Inputs!$C$15*12),-Inputs!$E$37/12*(1+Inputs!$C$47)^(CF$5-1),0)</f>
        <v>0</v>
      </c>
      <c r="CG25" s="153">
        <f>IF(AND(CG$3&gt;=Inputs!$C$48,CG$3&lt;=Inputs!$C$15*12),-Inputs!$E$37/12*(1+Inputs!$C$47)^(CG$5-1),0)</f>
        <v>0</v>
      </c>
      <c r="CH25" s="153">
        <f>IF(AND(CH$3&gt;=Inputs!$C$48,CH$3&lt;=Inputs!$C$15*12),-Inputs!$E$37/12*(1+Inputs!$C$47)^(CH$5-1),0)</f>
        <v>0</v>
      </c>
      <c r="CI25" s="153">
        <f>IF(AND(CI$3&gt;=Inputs!$C$48,CI$3&lt;=Inputs!$C$15*12),-Inputs!$E$37/12*(1+Inputs!$C$47)^(CI$5-1),0)</f>
        <v>0</v>
      </c>
      <c r="CJ25" s="153">
        <f>IF(AND(CJ$3&gt;=Inputs!$C$48,CJ$3&lt;=Inputs!$C$15*12),-Inputs!$E$37/12*(1+Inputs!$C$47)^(CJ$5-1),0)</f>
        <v>0</v>
      </c>
      <c r="CK25" s="153">
        <f>IF(AND(CK$3&gt;=Inputs!$C$48,CK$3&lt;=Inputs!$C$15*12),-Inputs!$E$37/12*(1+Inputs!$C$47)^(CK$5-1),0)</f>
        <v>0</v>
      </c>
      <c r="CL25" s="153">
        <f>IF(AND(CL$3&gt;=Inputs!$C$48,CL$3&lt;=Inputs!$C$15*12),-Inputs!$E$37/12*(1+Inputs!$C$47)^(CL$5-1),0)</f>
        <v>0</v>
      </c>
      <c r="CM25" s="153">
        <f>IF(AND(CM$3&gt;=Inputs!$C$48,CM$3&lt;=Inputs!$C$15*12),-Inputs!$E$37/12*(1+Inputs!$C$47)^(CM$5-1),0)</f>
        <v>0</v>
      </c>
      <c r="CN25" s="153">
        <f>IF(AND(CN$3&gt;=Inputs!$C$48,CN$3&lt;=Inputs!$C$15*12),-Inputs!$E$37/12*(1+Inputs!$C$47)^(CN$5-1),0)</f>
        <v>0</v>
      </c>
      <c r="CO25" s="153">
        <f>IF(AND(CO$3&gt;=Inputs!$C$48,CO$3&lt;=Inputs!$C$15*12),-Inputs!$E$37/12*(1+Inputs!$C$47)^(CO$5-1),0)</f>
        <v>0</v>
      </c>
      <c r="CP25" s="153">
        <f>IF(AND(CP$3&gt;=Inputs!$C$48,CP$3&lt;=Inputs!$C$15*12),-Inputs!$E$37/12*(1+Inputs!$C$47)^(CP$5-1),0)</f>
        <v>0</v>
      </c>
      <c r="CQ25" s="153">
        <f>IF(AND(CQ$3&gt;=Inputs!$C$48,CQ$3&lt;=Inputs!$C$15*12),-Inputs!$E$37/12*(1+Inputs!$C$47)^(CQ$5-1),0)</f>
        <v>0</v>
      </c>
      <c r="CR25" s="153">
        <f>IF(AND(CR$3&gt;=Inputs!$C$48,CR$3&lt;=Inputs!$C$15*12),-Inputs!$E$37/12*(1+Inputs!$C$47)^(CR$5-1),0)</f>
        <v>0</v>
      </c>
      <c r="CS25" s="153">
        <f>IF(AND(CS$3&gt;=Inputs!$C$48,CS$3&lt;=Inputs!$C$15*12),-Inputs!$E$37/12*(1+Inputs!$C$47)^(CS$5-1),0)</f>
        <v>0</v>
      </c>
      <c r="CT25" s="153">
        <f>IF(AND(CT$3&gt;=Inputs!$C$48,CT$3&lt;=Inputs!$C$15*12),-Inputs!$E$37/12*(1+Inputs!$C$47)^(CT$5-1),0)</f>
        <v>0</v>
      </c>
      <c r="CU25" s="153">
        <f>IF(AND(CU$3&gt;=Inputs!$C$48,CU$3&lt;=Inputs!$C$15*12),-Inputs!$E$37/12*(1+Inputs!$C$47)^(CU$5-1),0)</f>
        <v>0</v>
      </c>
      <c r="CV25" s="153">
        <f>IF(AND(CV$3&gt;=Inputs!$C$48,CV$3&lt;=Inputs!$C$15*12),-Inputs!$E$37/12*(1+Inputs!$C$47)^(CV$5-1),0)</f>
        <v>0</v>
      </c>
      <c r="CW25" s="153">
        <f>IF(AND(CW$3&gt;=Inputs!$C$48,CW$3&lt;=Inputs!$C$15*12),-Inputs!$E$37/12*(1+Inputs!$C$47)^(CW$5-1),0)</f>
        <v>0</v>
      </c>
      <c r="CX25" s="153">
        <f>IF(AND(CX$3&gt;=Inputs!$C$48,CX$3&lt;=Inputs!$C$15*12),-Inputs!$E$37/12*(1+Inputs!$C$47)^(CX$5-1),0)</f>
        <v>0</v>
      </c>
      <c r="CY25" s="153">
        <f>IF(AND(CY$3&gt;=Inputs!$C$48,CY$3&lt;=Inputs!$C$15*12),-Inputs!$E$37/12*(1+Inputs!$C$47)^(CY$5-1),0)</f>
        <v>0</v>
      </c>
      <c r="CZ25" s="153">
        <f>IF(AND(CZ$3&gt;=Inputs!$C$48,CZ$3&lt;=Inputs!$C$15*12),-Inputs!$E$37/12*(1+Inputs!$C$47)^(CZ$5-1),0)</f>
        <v>0</v>
      </c>
      <c r="DA25" s="153">
        <f>IF(AND(DA$3&gt;=Inputs!$C$48,DA$3&lt;=Inputs!$C$15*12),-Inputs!$E$37/12*(1+Inputs!$C$47)^(DA$5-1),0)</f>
        <v>0</v>
      </c>
      <c r="DB25" s="153">
        <f>IF(AND(DB$3&gt;=Inputs!$C$48,DB$3&lt;=Inputs!$C$15*12),-Inputs!$E$37/12*(1+Inputs!$C$47)^(DB$5-1),0)</f>
        <v>0</v>
      </c>
      <c r="DC25" s="153">
        <f>IF(AND(DC$3&gt;=Inputs!$C$48,DC$3&lt;=Inputs!$C$15*12),-Inputs!$E$37/12*(1+Inputs!$C$47)^(DC$5-1),0)</f>
        <v>0</v>
      </c>
      <c r="DD25" s="153">
        <f>IF(AND(DD$3&gt;=Inputs!$C$48,DD$3&lt;=Inputs!$C$15*12),-Inputs!$E$37/12*(1+Inputs!$C$47)^(DD$5-1),0)</f>
        <v>0</v>
      </c>
      <c r="DE25" s="153">
        <f>IF(AND(DE$3&gt;=Inputs!$C$48,DE$3&lt;=Inputs!$C$15*12),-Inputs!$E$37/12*(1+Inputs!$C$47)^(DE$5-1),0)</f>
        <v>0</v>
      </c>
      <c r="DF25" s="153">
        <f>IF(AND(DF$3&gt;=Inputs!$C$48,DF$3&lt;=Inputs!$C$15*12),-Inputs!$E$37/12*(1+Inputs!$C$47)^(DF$5-1),0)</f>
        <v>0</v>
      </c>
      <c r="DG25" s="153">
        <f>IF(AND(DG$3&gt;=Inputs!$C$48,DG$3&lt;=Inputs!$C$15*12),-Inputs!$E$37/12*(1+Inputs!$C$47)^(DG$5-1),0)</f>
        <v>0</v>
      </c>
      <c r="DH25" s="153">
        <f>IF(AND(DH$3&gt;=Inputs!$C$48,DH$3&lt;=Inputs!$C$15*12),-Inputs!$E$37/12*(1+Inputs!$C$47)^(DH$5-1),0)</f>
        <v>0</v>
      </c>
      <c r="DI25" s="153">
        <f>IF(AND(DI$3&gt;=Inputs!$C$48,DI$3&lt;=Inputs!$C$15*12),-Inputs!$E$37/12*(1+Inputs!$C$47)^(DI$5-1),0)</f>
        <v>0</v>
      </c>
      <c r="DJ25" s="153">
        <f>IF(AND(DJ$3&gt;=Inputs!$C$48,DJ$3&lt;=Inputs!$C$15*12),-Inputs!$E$37/12*(1+Inputs!$C$47)^(DJ$5-1),0)</f>
        <v>0</v>
      </c>
      <c r="DK25" s="153">
        <f>IF(AND(DK$3&gt;=Inputs!$C$48,DK$3&lt;=Inputs!$C$15*12),-Inputs!$E$37/12*(1+Inputs!$C$47)^(DK$5-1),0)</f>
        <v>0</v>
      </c>
      <c r="DL25" s="153">
        <f>IF(AND(DL$3&gt;=Inputs!$C$48,DL$3&lt;=Inputs!$C$15*12),-Inputs!$E$37/12*(1+Inputs!$C$47)^(DL$5-1),0)</f>
        <v>0</v>
      </c>
      <c r="DM25" s="153">
        <f>IF(AND(DM$3&gt;=Inputs!$C$48,DM$3&lt;=Inputs!$C$15*12),-Inputs!$E$37/12*(1+Inputs!$C$47)^(DM$5-1),0)</f>
        <v>0</v>
      </c>
      <c r="DN25" s="153">
        <f>IF(AND(DN$3&gt;=Inputs!$C$48,DN$3&lt;=Inputs!$C$15*12),-Inputs!$E$37/12*(1+Inputs!$C$47)^(DN$5-1),0)</f>
        <v>0</v>
      </c>
      <c r="DO25" s="153">
        <f>IF(AND(DO$3&gt;=Inputs!$C$48,DO$3&lt;=Inputs!$C$15*12),-Inputs!$E$37/12*(1+Inputs!$C$47)^(DO$5-1),0)</f>
        <v>0</v>
      </c>
      <c r="DP25" s="153">
        <f>IF(AND(DP$3&gt;=Inputs!$C$48,DP$3&lt;=Inputs!$C$15*12),-Inputs!$E$37/12*(1+Inputs!$C$47)^(DP$5-1),0)</f>
        <v>0</v>
      </c>
      <c r="DQ25" s="153">
        <f>IF(AND(DQ$3&gt;=Inputs!$C$48,DQ$3&lt;=Inputs!$C$15*12),-Inputs!$E$37/12*(1+Inputs!$C$47)^(DQ$5-1),0)</f>
        <v>0</v>
      </c>
      <c r="DR25" s="153">
        <f>IF(AND(DR$3&gt;=Inputs!$C$48,DR$3&lt;=Inputs!$C$15*12),-Inputs!$E$37/12*(1+Inputs!$C$47)^(DR$5-1),0)</f>
        <v>0</v>
      </c>
      <c r="DS25" s="54"/>
    </row>
    <row r="26" ht="15.0" customHeight="1">
      <c r="A26" s="54"/>
      <c r="B26" s="56" t="str">
        <f>Inputs!B38</f>
        <v>  Admin &amp; Marketing</v>
      </c>
      <c r="C26" s="153">
        <f>IF(AND(C$3&gt;=Inputs!$C$48,C$3&lt;=Inputs!$C$15*12),-Inputs!$E$38/12*(1+Inputs!$C$47)^(C$5-1),0)</f>
        <v>0</v>
      </c>
      <c r="D26" s="153">
        <f>IF(AND(D$3&gt;=Inputs!$C$48,D$3&lt;=Inputs!$C$15*12),-Inputs!$E$38/12*(1+Inputs!$C$47)^(D$5-1),0)</f>
        <v>0</v>
      </c>
      <c r="E26" s="153">
        <f>IF(AND(E$3&gt;=Inputs!$C$48,E$3&lt;=Inputs!$C$15*12),-Inputs!$E$38/12*(1+Inputs!$C$47)^(E$5-1),0)</f>
        <v>0</v>
      </c>
      <c r="F26" s="153">
        <f>IF(AND(F$3&gt;=Inputs!$C$48,F$3&lt;=Inputs!$C$15*12),-Inputs!$E$38/12*(1+Inputs!$C$47)^(F$5-1),0)</f>
        <v>0</v>
      </c>
      <c r="G26" s="153">
        <f>IF(AND(G$3&gt;=Inputs!$C$48,G$3&lt;=Inputs!$C$15*12),-Inputs!$E$38/12*(1+Inputs!$C$47)^(G$5-1),0)</f>
        <v>0</v>
      </c>
      <c r="H26" s="153">
        <f>IF(AND(H$3&gt;=Inputs!$C$48,H$3&lt;=Inputs!$C$15*12),-Inputs!$E$38/12*(1+Inputs!$C$47)^(H$5-1),0)</f>
        <v>0</v>
      </c>
      <c r="I26" s="153">
        <f>IF(AND(I$3&gt;=Inputs!$C$48,I$3&lt;=Inputs!$C$15*12),-Inputs!$E$38/12*(1+Inputs!$C$47)^(I$5-1),0)</f>
        <v>0</v>
      </c>
      <c r="J26" s="153">
        <f>IF(AND(J$3&gt;=Inputs!$C$48,J$3&lt;=Inputs!$C$15*12),-Inputs!$E$38/12*(1+Inputs!$C$47)^(J$5-1),0)</f>
        <v>0</v>
      </c>
      <c r="K26" s="153">
        <f>IF(AND(K$3&gt;=Inputs!$C$48,K$3&lt;=Inputs!$C$15*12),-Inputs!$E$38/12*(1+Inputs!$C$47)^(K$5-1),0)</f>
        <v>0</v>
      </c>
      <c r="L26" s="153">
        <f>IF(AND(L$3&gt;=Inputs!$C$48,L$3&lt;=Inputs!$C$15*12),-Inputs!$E$38/12*(1+Inputs!$C$47)^(L$5-1),0)</f>
        <v>0</v>
      </c>
      <c r="M26" s="153">
        <f>IF(AND(M$3&gt;=Inputs!$C$48,M$3&lt;=Inputs!$C$15*12),-Inputs!$E$38/12*(1+Inputs!$C$47)^(M$5-1),0)</f>
        <v>0</v>
      </c>
      <c r="N26" s="153">
        <f>IF(AND(N$3&gt;=Inputs!$C$48,N$3&lt;=Inputs!$C$15*12),-Inputs!$E$38/12*(1+Inputs!$C$47)^(N$5-1),0)</f>
        <v>0</v>
      </c>
      <c r="O26" s="153">
        <f>IF(AND(O$3&gt;=Inputs!$C$48,O$3&lt;=Inputs!$C$15*12),-Inputs!$E$38/12*(1+Inputs!$C$47)^(O$5-1),0)</f>
        <v>0</v>
      </c>
      <c r="P26" s="153">
        <f>IF(AND(P$3&gt;=Inputs!$C$48,P$3&lt;=Inputs!$C$15*12),-Inputs!$E$38/12*(1+Inputs!$C$47)^(P$5-1),0)</f>
        <v>0</v>
      </c>
      <c r="Q26" s="153">
        <f>IF(AND(Q$3&gt;=Inputs!$C$48,Q$3&lt;=Inputs!$C$15*12),-Inputs!$E$38/12*(1+Inputs!$C$47)^(Q$5-1),0)</f>
        <v>0</v>
      </c>
      <c r="R26" s="153">
        <f>IF(AND(R$3&gt;=Inputs!$C$48,R$3&lt;=Inputs!$C$15*12),-Inputs!$E$38/12*(1+Inputs!$C$47)^(R$5-1),0)</f>
        <v>0</v>
      </c>
      <c r="S26" s="153">
        <f>IF(AND(S$3&gt;=Inputs!$C$48,S$3&lt;=Inputs!$C$15*12),-Inputs!$E$38/12*(1+Inputs!$C$47)^(S$5-1),0)</f>
        <v>0</v>
      </c>
      <c r="T26" s="153">
        <f>IF(AND(T$3&gt;=Inputs!$C$48,T$3&lt;=Inputs!$C$15*12),-Inputs!$E$38/12*(1+Inputs!$C$47)^(T$5-1),0)</f>
        <v>0</v>
      </c>
      <c r="U26" s="153">
        <f>IF(AND(U$3&gt;=Inputs!$C$48,U$3&lt;=Inputs!$C$15*12),-Inputs!$E$38/12*(1+Inputs!$C$47)^(U$5-1),0)</f>
        <v>0</v>
      </c>
      <c r="V26" s="153">
        <f>IF(AND(V$3&gt;=Inputs!$C$48,V$3&lt;=Inputs!$C$15*12),-Inputs!$E$38/12*(1+Inputs!$C$47)^(V$5-1),0)</f>
        <v>0</v>
      </c>
      <c r="W26" s="153">
        <f>IF(AND(W$3&gt;=Inputs!$C$48,W$3&lt;=Inputs!$C$15*12),-Inputs!$E$38/12*(1+Inputs!$C$47)^(W$5-1),0)</f>
        <v>0</v>
      </c>
      <c r="X26" s="153">
        <f>IF(AND(X$3&gt;=Inputs!$C$48,X$3&lt;=Inputs!$C$15*12),-Inputs!$E$38/12*(1+Inputs!$C$47)^(X$5-1),0)</f>
        <v>0</v>
      </c>
      <c r="Y26" s="153">
        <f>IF(AND(Y$3&gt;=Inputs!$C$48,Y$3&lt;=Inputs!$C$15*12),-Inputs!$E$38/12*(1+Inputs!$C$47)^(Y$5-1),0)</f>
        <v>0</v>
      </c>
      <c r="Z26" s="153">
        <f>IF(AND(Z$3&gt;=Inputs!$C$48,Z$3&lt;=Inputs!$C$15*12),-Inputs!$E$38/12*(1+Inputs!$C$47)^(Z$5-1),0)</f>
        <v>0</v>
      </c>
      <c r="AA26" s="153">
        <f>IF(AND(AA$3&gt;=Inputs!$C$48,AA$3&lt;=Inputs!$C$15*12),-Inputs!$E$38/12*(1+Inputs!$C$47)^(AA$5-1),0)</f>
        <v>0</v>
      </c>
      <c r="AB26" s="153">
        <f>IF(AND(AB$3&gt;=Inputs!$C$48,AB$3&lt;=Inputs!$C$15*12),-Inputs!$E$38/12*(1+Inputs!$C$47)^(AB$5-1),0)</f>
        <v>0</v>
      </c>
      <c r="AC26" s="153">
        <f>IF(AND(AC$3&gt;=Inputs!$C$48,AC$3&lt;=Inputs!$C$15*12),-Inputs!$E$38/12*(1+Inputs!$C$47)^(AC$5-1),0)</f>
        <v>0</v>
      </c>
      <c r="AD26" s="153">
        <f>IF(AND(AD$3&gt;=Inputs!$C$48,AD$3&lt;=Inputs!$C$15*12),-Inputs!$E$38/12*(1+Inputs!$C$47)^(AD$5-1),0)</f>
        <v>0</v>
      </c>
      <c r="AE26" s="153">
        <f>IF(AND(AE$3&gt;=Inputs!$C$48,AE$3&lt;=Inputs!$C$15*12),-Inputs!$E$38/12*(1+Inputs!$C$47)^(AE$5-1),0)</f>
        <v>0</v>
      </c>
      <c r="AF26" s="153">
        <f>IF(AND(AF$3&gt;=Inputs!$C$48,AF$3&lt;=Inputs!$C$15*12),-Inputs!$E$38/12*(1+Inputs!$C$47)^(AF$5-1),0)</f>
        <v>0</v>
      </c>
      <c r="AG26" s="153">
        <f>IF(AND(AG$3&gt;=Inputs!$C$48,AG$3&lt;=Inputs!$C$15*12),-Inputs!$E$38/12*(1+Inputs!$C$47)^(AG$5-1),0)</f>
        <v>0</v>
      </c>
      <c r="AH26" s="153">
        <f>IF(AND(AH$3&gt;=Inputs!$C$48,AH$3&lt;=Inputs!$C$15*12),-Inputs!$E$38/12*(1+Inputs!$C$47)^(AH$5-1),0)</f>
        <v>0</v>
      </c>
      <c r="AI26" s="153">
        <f>IF(AND(AI$3&gt;=Inputs!$C$48,AI$3&lt;=Inputs!$C$15*12),-Inputs!$E$38/12*(1+Inputs!$C$47)^(AI$5-1),0)</f>
        <v>0</v>
      </c>
      <c r="AJ26" s="153">
        <f>IF(AND(AJ$3&gt;=Inputs!$C$48,AJ$3&lt;=Inputs!$C$15*12),-Inputs!$E$38/12*(1+Inputs!$C$47)^(AJ$5-1),0)</f>
        <v>0</v>
      </c>
      <c r="AK26" s="153">
        <f>IF(AND(AK$3&gt;=Inputs!$C$48,AK$3&lt;=Inputs!$C$15*12),-Inputs!$E$38/12*(1+Inputs!$C$47)^(AK$5-1),0)</f>
        <v>0</v>
      </c>
      <c r="AL26" s="153">
        <f>IF(AND(AL$3&gt;=Inputs!$C$48,AL$3&lt;=Inputs!$C$15*12),-Inputs!$E$38/12*(1+Inputs!$C$47)^(AL$5-1),0)</f>
        <v>0</v>
      </c>
      <c r="AM26" s="153">
        <f>IF(AND(AM$3&gt;=Inputs!$C$48,AM$3&lt;=Inputs!$C$15*12),-Inputs!$E$38/12*(1+Inputs!$C$47)^(AM$5-1),0)</f>
        <v>0</v>
      </c>
      <c r="AN26" s="153">
        <f>IF(AND(AN$3&gt;=Inputs!$C$48,AN$3&lt;=Inputs!$C$15*12),-Inputs!$E$38/12*(1+Inputs!$C$47)^(AN$5-1),0)</f>
        <v>0</v>
      </c>
      <c r="AO26" s="153">
        <f>IF(AND(AO$3&gt;=Inputs!$C$48,AO$3&lt;=Inputs!$C$15*12),-Inputs!$E$38/12*(1+Inputs!$C$47)^(AO$5-1),0)</f>
        <v>0</v>
      </c>
      <c r="AP26" s="153">
        <f>IF(AND(AP$3&gt;=Inputs!$C$48,AP$3&lt;=Inputs!$C$15*12),-Inputs!$E$38/12*(1+Inputs!$C$47)^(AP$5-1),0)</f>
        <v>0</v>
      </c>
      <c r="AQ26" s="153">
        <f>IF(AND(AQ$3&gt;=Inputs!$C$48,AQ$3&lt;=Inputs!$C$15*12),-Inputs!$E$38/12*(1+Inputs!$C$47)^(AQ$5-1),0)</f>
        <v>0</v>
      </c>
      <c r="AR26" s="153">
        <f>IF(AND(AR$3&gt;=Inputs!$C$48,AR$3&lt;=Inputs!$C$15*12),-Inputs!$E$38/12*(1+Inputs!$C$47)^(AR$5-1),0)</f>
        <v>0</v>
      </c>
      <c r="AS26" s="153">
        <f>IF(AND(AS$3&gt;=Inputs!$C$48,AS$3&lt;=Inputs!$C$15*12),-Inputs!$E$38/12*(1+Inputs!$C$47)^(AS$5-1),0)</f>
        <v>0</v>
      </c>
      <c r="AT26" s="153">
        <f>IF(AND(AT$3&gt;=Inputs!$C$48,AT$3&lt;=Inputs!$C$15*12),-Inputs!$E$38/12*(1+Inputs!$C$47)^(AT$5-1),0)</f>
        <v>0</v>
      </c>
      <c r="AU26" s="153">
        <f>IF(AND(AU$3&gt;=Inputs!$C$48,AU$3&lt;=Inputs!$C$15*12),-Inputs!$E$38/12*(1+Inputs!$C$47)^(AU$5-1),0)</f>
        <v>0</v>
      </c>
      <c r="AV26" s="153">
        <f>IF(AND(AV$3&gt;=Inputs!$C$48,AV$3&lt;=Inputs!$C$15*12),-Inputs!$E$38/12*(1+Inputs!$C$47)^(AV$5-1),0)</f>
        <v>0</v>
      </c>
      <c r="AW26" s="153">
        <f>IF(AND(AW$3&gt;=Inputs!$C$48,AW$3&lt;=Inputs!$C$15*12),-Inputs!$E$38/12*(1+Inputs!$C$47)^(AW$5-1),0)</f>
        <v>0</v>
      </c>
      <c r="AX26" s="153">
        <f>IF(AND(AX$3&gt;=Inputs!$C$48,AX$3&lt;=Inputs!$C$15*12),-Inputs!$E$38/12*(1+Inputs!$C$47)^(AX$5-1),0)</f>
        <v>0</v>
      </c>
      <c r="AY26" s="153">
        <f>IF(AND(AY$3&gt;=Inputs!$C$48,AY$3&lt;=Inputs!$C$15*12),-Inputs!$E$38/12*(1+Inputs!$C$47)^(AY$5-1),0)</f>
        <v>0</v>
      </c>
      <c r="AZ26" s="153">
        <f>IF(AND(AZ$3&gt;=Inputs!$C$48,AZ$3&lt;=Inputs!$C$15*12),-Inputs!$E$38/12*(1+Inputs!$C$47)^(AZ$5-1),0)</f>
        <v>0</v>
      </c>
      <c r="BA26" s="153">
        <f>IF(AND(BA$3&gt;=Inputs!$C$48,BA$3&lt;=Inputs!$C$15*12),-Inputs!$E$38/12*(1+Inputs!$C$47)^(BA$5-1),0)</f>
        <v>0</v>
      </c>
      <c r="BB26" s="153">
        <f>IF(AND(BB$3&gt;=Inputs!$C$48,BB$3&lt;=Inputs!$C$15*12),-Inputs!$E$38/12*(1+Inputs!$C$47)^(BB$5-1),0)</f>
        <v>0</v>
      </c>
      <c r="BC26" s="153">
        <f>IF(AND(BC$3&gt;=Inputs!$C$48,BC$3&lt;=Inputs!$C$15*12),-Inputs!$E$38/12*(1+Inputs!$C$47)^(BC$5-1),0)</f>
        <v>0</v>
      </c>
      <c r="BD26" s="153">
        <f>IF(AND(BD$3&gt;=Inputs!$C$48,BD$3&lt;=Inputs!$C$15*12),-Inputs!$E$38/12*(1+Inputs!$C$47)^(BD$5-1),0)</f>
        <v>0</v>
      </c>
      <c r="BE26" s="153">
        <f>IF(AND(BE$3&gt;=Inputs!$C$48,BE$3&lt;=Inputs!$C$15*12),-Inputs!$E$38/12*(1+Inputs!$C$47)^(BE$5-1),0)</f>
        <v>0</v>
      </c>
      <c r="BF26" s="153">
        <f>IF(AND(BF$3&gt;=Inputs!$C$48,BF$3&lt;=Inputs!$C$15*12),-Inputs!$E$38/12*(1+Inputs!$C$47)^(BF$5-1),0)</f>
        <v>0</v>
      </c>
      <c r="BG26" s="153">
        <f>IF(AND(BG$3&gt;=Inputs!$C$48,BG$3&lt;=Inputs!$C$15*12),-Inputs!$E$38/12*(1+Inputs!$C$47)^(BG$5-1),0)</f>
        <v>0</v>
      </c>
      <c r="BH26" s="153">
        <f>IF(AND(BH$3&gt;=Inputs!$C$48,BH$3&lt;=Inputs!$C$15*12),-Inputs!$E$38/12*(1+Inputs!$C$47)^(BH$5-1),0)</f>
        <v>0</v>
      </c>
      <c r="BI26" s="153">
        <f>IF(AND(BI$3&gt;=Inputs!$C$48,BI$3&lt;=Inputs!$C$15*12),-Inputs!$E$38/12*(1+Inputs!$C$47)^(BI$5-1),0)</f>
        <v>0</v>
      </c>
      <c r="BJ26" s="153">
        <f>IF(AND(BJ$3&gt;=Inputs!$C$48,BJ$3&lt;=Inputs!$C$15*12),-Inputs!$E$38/12*(1+Inputs!$C$47)^(BJ$5-1),0)</f>
        <v>0</v>
      </c>
      <c r="BK26" s="153">
        <f>IF(AND(BK$3&gt;=Inputs!$C$48,BK$3&lt;=Inputs!$C$15*12),-Inputs!$E$38/12*(1+Inputs!$C$47)^(BK$5-1),0)</f>
        <v>0</v>
      </c>
      <c r="BL26" s="153">
        <f>IF(AND(BL$3&gt;=Inputs!$C$48,BL$3&lt;=Inputs!$C$15*12),-Inputs!$E$38/12*(1+Inputs!$C$47)^(BL$5-1),0)</f>
        <v>0</v>
      </c>
      <c r="BM26" s="153">
        <f>IF(AND(BM$3&gt;=Inputs!$C$48,BM$3&lt;=Inputs!$C$15*12),-Inputs!$E$38/12*(1+Inputs!$C$47)^(BM$5-1),0)</f>
        <v>0</v>
      </c>
      <c r="BN26" s="153">
        <f>IF(AND(BN$3&gt;=Inputs!$C$48,BN$3&lt;=Inputs!$C$15*12),-Inputs!$E$38/12*(1+Inputs!$C$47)^(BN$5-1),0)</f>
        <v>0</v>
      </c>
      <c r="BO26" s="153">
        <f>IF(AND(BO$3&gt;=Inputs!$C$48,BO$3&lt;=Inputs!$C$15*12),-Inputs!$E$38/12*(1+Inputs!$C$47)^(BO$5-1),0)</f>
        <v>0</v>
      </c>
      <c r="BP26" s="153">
        <f>IF(AND(BP$3&gt;=Inputs!$C$48,BP$3&lt;=Inputs!$C$15*12),-Inputs!$E$38/12*(1+Inputs!$C$47)^(BP$5-1),0)</f>
        <v>0</v>
      </c>
      <c r="BQ26" s="153">
        <f>IF(AND(BQ$3&gt;=Inputs!$C$48,BQ$3&lt;=Inputs!$C$15*12),-Inputs!$E$38/12*(1+Inputs!$C$47)^(BQ$5-1),0)</f>
        <v>0</v>
      </c>
      <c r="BR26" s="153">
        <f>IF(AND(BR$3&gt;=Inputs!$C$48,BR$3&lt;=Inputs!$C$15*12),-Inputs!$E$38/12*(1+Inputs!$C$47)^(BR$5-1),0)</f>
        <v>0</v>
      </c>
      <c r="BS26" s="153">
        <f>IF(AND(BS$3&gt;=Inputs!$C$48,BS$3&lt;=Inputs!$C$15*12),-Inputs!$E$38/12*(1+Inputs!$C$47)^(BS$5-1),0)</f>
        <v>0</v>
      </c>
      <c r="BT26" s="153">
        <f>IF(AND(BT$3&gt;=Inputs!$C$48,BT$3&lt;=Inputs!$C$15*12),-Inputs!$E$38/12*(1+Inputs!$C$47)^(BT$5-1),0)</f>
        <v>0</v>
      </c>
      <c r="BU26" s="153">
        <f>IF(AND(BU$3&gt;=Inputs!$C$48,BU$3&lt;=Inputs!$C$15*12),-Inputs!$E$38/12*(1+Inputs!$C$47)^(BU$5-1),0)</f>
        <v>0</v>
      </c>
      <c r="BV26" s="153">
        <f>IF(AND(BV$3&gt;=Inputs!$C$48,BV$3&lt;=Inputs!$C$15*12),-Inputs!$E$38/12*(1+Inputs!$C$47)^(BV$5-1),0)</f>
        <v>0</v>
      </c>
      <c r="BW26" s="153">
        <f>IF(AND(BW$3&gt;=Inputs!$C$48,BW$3&lt;=Inputs!$C$15*12),-Inputs!$E$38/12*(1+Inputs!$C$47)^(BW$5-1),0)</f>
        <v>0</v>
      </c>
      <c r="BX26" s="153">
        <f>IF(AND(BX$3&gt;=Inputs!$C$48,BX$3&lt;=Inputs!$C$15*12),-Inputs!$E$38/12*(1+Inputs!$C$47)^(BX$5-1),0)</f>
        <v>0</v>
      </c>
      <c r="BY26" s="153">
        <f>IF(AND(BY$3&gt;=Inputs!$C$48,BY$3&lt;=Inputs!$C$15*12),-Inputs!$E$38/12*(1+Inputs!$C$47)^(BY$5-1),0)</f>
        <v>0</v>
      </c>
      <c r="BZ26" s="153">
        <f>IF(AND(BZ$3&gt;=Inputs!$C$48,BZ$3&lt;=Inputs!$C$15*12),-Inputs!$E$38/12*(1+Inputs!$C$47)^(BZ$5-1),0)</f>
        <v>0</v>
      </c>
      <c r="CA26" s="153">
        <f>IF(AND(CA$3&gt;=Inputs!$C$48,CA$3&lt;=Inputs!$C$15*12),-Inputs!$E$38/12*(1+Inputs!$C$47)^(CA$5-1),0)</f>
        <v>0</v>
      </c>
      <c r="CB26" s="153">
        <f>IF(AND(CB$3&gt;=Inputs!$C$48,CB$3&lt;=Inputs!$C$15*12),-Inputs!$E$38/12*(1+Inputs!$C$47)^(CB$5-1),0)</f>
        <v>0</v>
      </c>
      <c r="CC26" s="153">
        <f>IF(AND(CC$3&gt;=Inputs!$C$48,CC$3&lt;=Inputs!$C$15*12),-Inputs!$E$38/12*(1+Inputs!$C$47)^(CC$5-1),0)</f>
        <v>0</v>
      </c>
      <c r="CD26" s="153">
        <f>IF(AND(CD$3&gt;=Inputs!$C$48,CD$3&lt;=Inputs!$C$15*12),-Inputs!$E$38/12*(1+Inputs!$C$47)^(CD$5-1),0)</f>
        <v>0</v>
      </c>
      <c r="CE26" s="153">
        <f>IF(AND(CE$3&gt;=Inputs!$C$48,CE$3&lt;=Inputs!$C$15*12),-Inputs!$E$38/12*(1+Inputs!$C$47)^(CE$5-1),0)</f>
        <v>0</v>
      </c>
      <c r="CF26" s="153">
        <f>IF(AND(CF$3&gt;=Inputs!$C$48,CF$3&lt;=Inputs!$C$15*12),-Inputs!$E$38/12*(1+Inputs!$C$47)^(CF$5-1),0)</f>
        <v>0</v>
      </c>
      <c r="CG26" s="153">
        <f>IF(AND(CG$3&gt;=Inputs!$C$48,CG$3&lt;=Inputs!$C$15*12),-Inputs!$E$38/12*(1+Inputs!$C$47)^(CG$5-1),0)</f>
        <v>0</v>
      </c>
      <c r="CH26" s="153">
        <f>IF(AND(CH$3&gt;=Inputs!$C$48,CH$3&lt;=Inputs!$C$15*12),-Inputs!$E$38/12*(1+Inputs!$C$47)^(CH$5-1),0)</f>
        <v>0</v>
      </c>
      <c r="CI26" s="153">
        <f>IF(AND(CI$3&gt;=Inputs!$C$48,CI$3&lt;=Inputs!$C$15*12),-Inputs!$E$38/12*(1+Inputs!$C$47)^(CI$5-1),0)</f>
        <v>0</v>
      </c>
      <c r="CJ26" s="153">
        <f>IF(AND(CJ$3&gt;=Inputs!$C$48,CJ$3&lt;=Inputs!$C$15*12),-Inputs!$E$38/12*(1+Inputs!$C$47)^(CJ$5-1),0)</f>
        <v>0</v>
      </c>
      <c r="CK26" s="153">
        <f>IF(AND(CK$3&gt;=Inputs!$C$48,CK$3&lt;=Inputs!$C$15*12),-Inputs!$E$38/12*(1+Inputs!$C$47)^(CK$5-1),0)</f>
        <v>0</v>
      </c>
      <c r="CL26" s="153">
        <f>IF(AND(CL$3&gt;=Inputs!$C$48,CL$3&lt;=Inputs!$C$15*12),-Inputs!$E$38/12*(1+Inputs!$C$47)^(CL$5-1),0)</f>
        <v>0</v>
      </c>
      <c r="CM26" s="153">
        <f>IF(AND(CM$3&gt;=Inputs!$C$48,CM$3&lt;=Inputs!$C$15*12),-Inputs!$E$38/12*(1+Inputs!$C$47)^(CM$5-1),0)</f>
        <v>0</v>
      </c>
      <c r="CN26" s="153">
        <f>IF(AND(CN$3&gt;=Inputs!$C$48,CN$3&lt;=Inputs!$C$15*12),-Inputs!$E$38/12*(1+Inputs!$C$47)^(CN$5-1),0)</f>
        <v>0</v>
      </c>
      <c r="CO26" s="153">
        <f>IF(AND(CO$3&gt;=Inputs!$C$48,CO$3&lt;=Inputs!$C$15*12),-Inputs!$E$38/12*(1+Inputs!$C$47)^(CO$5-1),0)</f>
        <v>0</v>
      </c>
      <c r="CP26" s="153">
        <f>IF(AND(CP$3&gt;=Inputs!$C$48,CP$3&lt;=Inputs!$C$15*12),-Inputs!$E$38/12*(1+Inputs!$C$47)^(CP$5-1),0)</f>
        <v>0</v>
      </c>
      <c r="CQ26" s="153">
        <f>IF(AND(CQ$3&gt;=Inputs!$C$48,CQ$3&lt;=Inputs!$C$15*12),-Inputs!$E$38/12*(1+Inputs!$C$47)^(CQ$5-1),0)</f>
        <v>0</v>
      </c>
      <c r="CR26" s="153">
        <f>IF(AND(CR$3&gt;=Inputs!$C$48,CR$3&lt;=Inputs!$C$15*12),-Inputs!$E$38/12*(1+Inputs!$C$47)^(CR$5-1),0)</f>
        <v>0</v>
      </c>
      <c r="CS26" s="153">
        <f>IF(AND(CS$3&gt;=Inputs!$C$48,CS$3&lt;=Inputs!$C$15*12),-Inputs!$E$38/12*(1+Inputs!$C$47)^(CS$5-1),0)</f>
        <v>0</v>
      </c>
      <c r="CT26" s="153">
        <f>IF(AND(CT$3&gt;=Inputs!$C$48,CT$3&lt;=Inputs!$C$15*12),-Inputs!$E$38/12*(1+Inputs!$C$47)^(CT$5-1),0)</f>
        <v>0</v>
      </c>
      <c r="CU26" s="153">
        <f>IF(AND(CU$3&gt;=Inputs!$C$48,CU$3&lt;=Inputs!$C$15*12),-Inputs!$E$38/12*(1+Inputs!$C$47)^(CU$5-1),0)</f>
        <v>0</v>
      </c>
      <c r="CV26" s="153">
        <f>IF(AND(CV$3&gt;=Inputs!$C$48,CV$3&lt;=Inputs!$C$15*12),-Inputs!$E$38/12*(1+Inputs!$C$47)^(CV$5-1),0)</f>
        <v>0</v>
      </c>
      <c r="CW26" s="153">
        <f>IF(AND(CW$3&gt;=Inputs!$C$48,CW$3&lt;=Inputs!$C$15*12),-Inputs!$E$38/12*(1+Inputs!$C$47)^(CW$5-1),0)</f>
        <v>0</v>
      </c>
      <c r="CX26" s="153">
        <f>IF(AND(CX$3&gt;=Inputs!$C$48,CX$3&lt;=Inputs!$C$15*12),-Inputs!$E$38/12*(1+Inputs!$C$47)^(CX$5-1),0)</f>
        <v>0</v>
      </c>
      <c r="CY26" s="153">
        <f>IF(AND(CY$3&gt;=Inputs!$C$48,CY$3&lt;=Inputs!$C$15*12),-Inputs!$E$38/12*(1+Inputs!$C$47)^(CY$5-1),0)</f>
        <v>0</v>
      </c>
      <c r="CZ26" s="153">
        <f>IF(AND(CZ$3&gt;=Inputs!$C$48,CZ$3&lt;=Inputs!$C$15*12),-Inputs!$E$38/12*(1+Inputs!$C$47)^(CZ$5-1),0)</f>
        <v>0</v>
      </c>
      <c r="DA26" s="153">
        <f>IF(AND(DA$3&gt;=Inputs!$C$48,DA$3&lt;=Inputs!$C$15*12),-Inputs!$E$38/12*(1+Inputs!$C$47)^(DA$5-1),0)</f>
        <v>0</v>
      </c>
      <c r="DB26" s="153">
        <f>IF(AND(DB$3&gt;=Inputs!$C$48,DB$3&lt;=Inputs!$C$15*12),-Inputs!$E$38/12*(1+Inputs!$C$47)^(DB$5-1),0)</f>
        <v>0</v>
      </c>
      <c r="DC26" s="153">
        <f>IF(AND(DC$3&gt;=Inputs!$C$48,DC$3&lt;=Inputs!$C$15*12),-Inputs!$E$38/12*(1+Inputs!$C$47)^(DC$5-1),0)</f>
        <v>0</v>
      </c>
      <c r="DD26" s="153">
        <f>IF(AND(DD$3&gt;=Inputs!$C$48,DD$3&lt;=Inputs!$C$15*12),-Inputs!$E$38/12*(1+Inputs!$C$47)^(DD$5-1),0)</f>
        <v>0</v>
      </c>
      <c r="DE26" s="153">
        <f>IF(AND(DE$3&gt;=Inputs!$C$48,DE$3&lt;=Inputs!$C$15*12),-Inputs!$E$38/12*(1+Inputs!$C$47)^(DE$5-1),0)</f>
        <v>0</v>
      </c>
      <c r="DF26" s="153">
        <f>IF(AND(DF$3&gt;=Inputs!$C$48,DF$3&lt;=Inputs!$C$15*12),-Inputs!$E$38/12*(1+Inputs!$C$47)^(DF$5-1),0)</f>
        <v>0</v>
      </c>
      <c r="DG26" s="153">
        <f>IF(AND(DG$3&gt;=Inputs!$C$48,DG$3&lt;=Inputs!$C$15*12),-Inputs!$E$38/12*(1+Inputs!$C$47)^(DG$5-1),0)</f>
        <v>0</v>
      </c>
      <c r="DH26" s="153">
        <f>IF(AND(DH$3&gt;=Inputs!$C$48,DH$3&lt;=Inputs!$C$15*12),-Inputs!$E$38/12*(1+Inputs!$C$47)^(DH$5-1),0)</f>
        <v>0</v>
      </c>
      <c r="DI26" s="153">
        <f>IF(AND(DI$3&gt;=Inputs!$C$48,DI$3&lt;=Inputs!$C$15*12),-Inputs!$E$38/12*(1+Inputs!$C$47)^(DI$5-1),0)</f>
        <v>0</v>
      </c>
      <c r="DJ26" s="153">
        <f>IF(AND(DJ$3&gt;=Inputs!$C$48,DJ$3&lt;=Inputs!$C$15*12),-Inputs!$E$38/12*(1+Inputs!$C$47)^(DJ$5-1),0)</f>
        <v>0</v>
      </c>
      <c r="DK26" s="153">
        <f>IF(AND(DK$3&gt;=Inputs!$C$48,DK$3&lt;=Inputs!$C$15*12),-Inputs!$E$38/12*(1+Inputs!$C$47)^(DK$5-1),0)</f>
        <v>0</v>
      </c>
      <c r="DL26" s="153">
        <f>IF(AND(DL$3&gt;=Inputs!$C$48,DL$3&lt;=Inputs!$C$15*12),-Inputs!$E$38/12*(1+Inputs!$C$47)^(DL$5-1),0)</f>
        <v>0</v>
      </c>
      <c r="DM26" s="153">
        <f>IF(AND(DM$3&gt;=Inputs!$C$48,DM$3&lt;=Inputs!$C$15*12),-Inputs!$E$38/12*(1+Inputs!$C$47)^(DM$5-1),0)</f>
        <v>0</v>
      </c>
      <c r="DN26" s="153">
        <f>IF(AND(DN$3&gt;=Inputs!$C$48,DN$3&lt;=Inputs!$C$15*12),-Inputs!$E$38/12*(1+Inputs!$C$47)^(DN$5-1),0)</f>
        <v>0</v>
      </c>
      <c r="DO26" s="153">
        <f>IF(AND(DO$3&gt;=Inputs!$C$48,DO$3&lt;=Inputs!$C$15*12),-Inputs!$E$38/12*(1+Inputs!$C$47)^(DO$5-1),0)</f>
        <v>0</v>
      </c>
      <c r="DP26" s="153">
        <f>IF(AND(DP$3&gt;=Inputs!$C$48,DP$3&lt;=Inputs!$C$15*12),-Inputs!$E$38/12*(1+Inputs!$C$47)^(DP$5-1),0)</f>
        <v>0</v>
      </c>
      <c r="DQ26" s="153">
        <f>IF(AND(DQ$3&gt;=Inputs!$C$48,DQ$3&lt;=Inputs!$C$15*12),-Inputs!$E$38/12*(1+Inputs!$C$47)^(DQ$5-1),0)</f>
        <v>0</v>
      </c>
      <c r="DR26" s="153">
        <f>IF(AND(DR$3&gt;=Inputs!$C$48,DR$3&lt;=Inputs!$C$15*12),-Inputs!$E$38/12*(1+Inputs!$C$47)^(DR$5-1),0)</f>
        <v>0</v>
      </c>
      <c r="DS26" s="54"/>
    </row>
    <row r="27" ht="15.0" customHeight="1">
      <c r="A27" s="54"/>
      <c r="B27" s="56" t="str">
        <f>Inputs!B39</f>
        <v>  Reserves for Replacement</v>
      </c>
      <c r="C27" s="153">
        <f>IF(AND(C$3&gt;=Inputs!$C$48,C$3&lt;=Inputs!$C$15*12),-Inputs!$E$39/12*(1+Inputs!$C$47)^(C$5-1),0)</f>
        <v>0</v>
      </c>
      <c r="D27" s="153">
        <f>IF(AND(D$3&gt;=Inputs!$C$48,D$3&lt;=Inputs!$C$15*12),-Inputs!$E$39/12*(1+Inputs!$C$47)^(D$5-1),0)</f>
        <v>0</v>
      </c>
      <c r="E27" s="153">
        <f>IF(AND(E$3&gt;=Inputs!$C$48,E$3&lt;=Inputs!$C$15*12),-Inputs!$E$39/12*(1+Inputs!$C$47)^(E$5-1),0)</f>
        <v>0</v>
      </c>
      <c r="F27" s="153">
        <f>IF(AND(F$3&gt;=Inputs!$C$48,F$3&lt;=Inputs!$C$15*12),-Inputs!$E$39/12*(1+Inputs!$C$47)^(F$5-1),0)</f>
        <v>0</v>
      </c>
      <c r="G27" s="153">
        <f>IF(AND(G$3&gt;=Inputs!$C$48,G$3&lt;=Inputs!$C$15*12),-Inputs!$E$39/12*(1+Inputs!$C$47)^(G$5-1),0)</f>
        <v>0</v>
      </c>
      <c r="H27" s="153">
        <f>IF(AND(H$3&gt;=Inputs!$C$48,H$3&lt;=Inputs!$C$15*12),-Inputs!$E$39/12*(1+Inputs!$C$47)^(H$5-1),0)</f>
        <v>0</v>
      </c>
      <c r="I27" s="153">
        <f>IF(AND(I$3&gt;=Inputs!$C$48,I$3&lt;=Inputs!$C$15*12),-Inputs!$E$39/12*(1+Inputs!$C$47)^(I$5-1),0)</f>
        <v>0</v>
      </c>
      <c r="J27" s="153">
        <f>IF(AND(J$3&gt;=Inputs!$C$48,J$3&lt;=Inputs!$C$15*12),-Inputs!$E$39/12*(1+Inputs!$C$47)^(J$5-1),0)</f>
        <v>0</v>
      </c>
      <c r="K27" s="153">
        <f>IF(AND(K$3&gt;=Inputs!$C$48,K$3&lt;=Inputs!$C$15*12),-Inputs!$E$39/12*(1+Inputs!$C$47)^(K$5-1),0)</f>
        <v>0</v>
      </c>
      <c r="L27" s="153">
        <f>IF(AND(L$3&gt;=Inputs!$C$48,L$3&lt;=Inputs!$C$15*12),-Inputs!$E$39/12*(1+Inputs!$C$47)^(L$5-1),0)</f>
        <v>0</v>
      </c>
      <c r="M27" s="153">
        <f>IF(AND(M$3&gt;=Inputs!$C$48,M$3&lt;=Inputs!$C$15*12),-Inputs!$E$39/12*(1+Inputs!$C$47)^(M$5-1),0)</f>
        <v>0</v>
      </c>
      <c r="N27" s="153">
        <f>IF(AND(N$3&gt;=Inputs!$C$48,N$3&lt;=Inputs!$C$15*12),-Inputs!$E$39/12*(1+Inputs!$C$47)^(N$5-1),0)</f>
        <v>0</v>
      </c>
      <c r="O27" s="153">
        <f>IF(AND(O$3&gt;=Inputs!$C$48,O$3&lt;=Inputs!$C$15*12),-Inputs!$E$39/12*(1+Inputs!$C$47)^(O$5-1),0)</f>
        <v>0</v>
      </c>
      <c r="P27" s="153">
        <f>IF(AND(P$3&gt;=Inputs!$C$48,P$3&lt;=Inputs!$C$15*12),-Inputs!$E$39/12*(1+Inputs!$C$47)^(P$5-1),0)</f>
        <v>0</v>
      </c>
      <c r="Q27" s="153">
        <f>IF(AND(Q$3&gt;=Inputs!$C$48,Q$3&lt;=Inputs!$C$15*12),-Inputs!$E$39/12*(1+Inputs!$C$47)^(Q$5-1),0)</f>
        <v>0</v>
      </c>
      <c r="R27" s="153">
        <f>IF(AND(R$3&gt;=Inputs!$C$48,R$3&lt;=Inputs!$C$15*12),-Inputs!$E$39/12*(1+Inputs!$C$47)^(R$5-1),0)</f>
        <v>0</v>
      </c>
      <c r="S27" s="153">
        <f>IF(AND(S$3&gt;=Inputs!$C$48,S$3&lt;=Inputs!$C$15*12),-Inputs!$E$39/12*(1+Inputs!$C$47)^(S$5-1),0)</f>
        <v>0</v>
      </c>
      <c r="T27" s="153">
        <f>IF(AND(T$3&gt;=Inputs!$C$48,T$3&lt;=Inputs!$C$15*12),-Inputs!$E$39/12*(1+Inputs!$C$47)^(T$5-1),0)</f>
        <v>0</v>
      </c>
      <c r="U27" s="153">
        <f>IF(AND(U$3&gt;=Inputs!$C$48,U$3&lt;=Inputs!$C$15*12),-Inputs!$E$39/12*(1+Inputs!$C$47)^(U$5-1),0)</f>
        <v>0</v>
      </c>
      <c r="V27" s="153">
        <f>IF(AND(V$3&gt;=Inputs!$C$48,V$3&lt;=Inputs!$C$15*12),-Inputs!$E$39/12*(1+Inputs!$C$47)^(V$5-1),0)</f>
        <v>0</v>
      </c>
      <c r="W27" s="153">
        <f>IF(AND(W$3&gt;=Inputs!$C$48,W$3&lt;=Inputs!$C$15*12),-Inputs!$E$39/12*(1+Inputs!$C$47)^(W$5-1),0)</f>
        <v>0</v>
      </c>
      <c r="X27" s="153">
        <f>IF(AND(X$3&gt;=Inputs!$C$48,X$3&lt;=Inputs!$C$15*12),-Inputs!$E$39/12*(1+Inputs!$C$47)^(X$5-1),0)</f>
        <v>0</v>
      </c>
      <c r="Y27" s="153">
        <f>IF(AND(Y$3&gt;=Inputs!$C$48,Y$3&lt;=Inputs!$C$15*12),-Inputs!$E$39/12*(1+Inputs!$C$47)^(Y$5-1),0)</f>
        <v>0</v>
      </c>
      <c r="Z27" s="153">
        <f>IF(AND(Z$3&gt;=Inputs!$C$48,Z$3&lt;=Inputs!$C$15*12),-Inputs!$E$39/12*(1+Inputs!$C$47)^(Z$5-1),0)</f>
        <v>0</v>
      </c>
      <c r="AA27" s="153">
        <f>IF(AND(AA$3&gt;=Inputs!$C$48,AA$3&lt;=Inputs!$C$15*12),-Inputs!$E$39/12*(1+Inputs!$C$47)^(AA$5-1),0)</f>
        <v>0</v>
      </c>
      <c r="AB27" s="153">
        <f>IF(AND(AB$3&gt;=Inputs!$C$48,AB$3&lt;=Inputs!$C$15*12),-Inputs!$E$39/12*(1+Inputs!$C$47)^(AB$5-1),0)</f>
        <v>0</v>
      </c>
      <c r="AC27" s="153">
        <f>IF(AND(AC$3&gt;=Inputs!$C$48,AC$3&lt;=Inputs!$C$15*12),-Inputs!$E$39/12*(1+Inputs!$C$47)^(AC$5-1),0)</f>
        <v>0</v>
      </c>
      <c r="AD27" s="153">
        <f>IF(AND(AD$3&gt;=Inputs!$C$48,AD$3&lt;=Inputs!$C$15*12),-Inputs!$E$39/12*(1+Inputs!$C$47)^(AD$5-1),0)</f>
        <v>0</v>
      </c>
      <c r="AE27" s="153">
        <f>IF(AND(AE$3&gt;=Inputs!$C$48,AE$3&lt;=Inputs!$C$15*12),-Inputs!$E$39/12*(1+Inputs!$C$47)^(AE$5-1),0)</f>
        <v>0</v>
      </c>
      <c r="AF27" s="153">
        <f>IF(AND(AF$3&gt;=Inputs!$C$48,AF$3&lt;=Inputs!$C$15*12),-Inputs!$E$39/12*(1+Inputs!$C$47)^(AF$5-1),0)</f>
        <v>0</v>
      </c>
      <c r="AG27" s="153">
        <f>IF(AND(AG$3&gt;=Inputs!$C$48,AG$3&lt;=Inputs!$C$15*12),-Inputs!$E$39/12*(1+Inputs!$C$47)^(AG$5-1),0)</f>
        <v>0</v>
      </c>
      <c r="AH27" s="153">
        <f>IF(AND(AH$3&gt;=Inputs!$C$48,AH$3&lt;=Inputs!$C$15*12),-Inputs!$E$39/12*(1+Inputs!$C$47)^(AH$5-1),0)</f>
        <v>0</v>
      </c>
      <c r="AI27" s="153">
        <f>IF(AND(AI$3&gt;=Inputs!$C$48,AI$3&lt;=Inputs!$C$15*12),-Inputs!$E$39/12*(1+Inputs!$C$47)^(AI$5-1),0)</f>
        <v>0</v>
      </c>
      <c r="AJ27" s="153">
        <f>IF(AND(AJ$3&gt;=Inputs!$C$48,AJ$3&lt;=Inputs!$C$15*12),-Inputs!$E$39/12*(1+Inputs!$C$47)^(AJ$5-1),0)</f>
        <v>0</v>
      </c>
      <c r="AK27" s="153">
        <f>IF(AND(AK$3&gt;=Inputs!$C$48,AK$3&lt;=Inputs!$C$15*12),-Inputs!$E$39/12*(1+Inputs!$C$47)^(AK$5-1),0)</f>
        <v>0</v>
      </c>
      <c r="AL27" s="153">
        <f>IF(AND(AL$3&gt;=Inputs!$C$48,AL$3&lt;=Inputs!$C$15*12),-Inputs!$E$39/12*(1+Inputs!$C$47)^(AL$5-1),0)</f>
        <v>0</v>
      </c>
      <c r="AM27" s="153">
        <f>IF(AND(AM$3&gt;=Inputs!$C$48,AM$3&lt;=Inputs!$C$15*12),-Inputs!$E$39/12*(1+Inputs!$C$47)^(AM$5-1),0)</f>
        <v>0</v>
      </c>
      <c r="AN27" s="153">
        <f>IF(AND(AN$3&gt;=Inputs!$C$48,AN$3&lt;=Inputs!$C$15*12),-Inputs!$E$39/12*(1+Inputs!$C$47)^(AN$5-1),0)</f>
        <v>0</v>
      </c>
      <c r="AO27" s="153">
        <f>IF(AND(AO$3&gt;=Inputs!$C$48,AO$3&lt;=Inputs!$C$15*12),-Inputs!$E$39/12*(1+Inputs!$C$47)^(AO$5-1),0)</f>
        <v>0</v>
      </c>
      <c r="AP27" s="153">
        <f>IF(AND(AP$3&gt;=Inputs!$C$48,AP$3&lt;=Inputs!$C$15*12),-Inputs!$E$39/12*(1+Inputs!$C$47)^(AP$5-1),0)</f>
        <v>0</v>
      </c>
      <c r="AQ27" s="153">
        <f>IF(AND(AQ$3&gt;=Inputs!$C$48,AQ$3&lt;=Inputs!$C$15*12),-Inputs!$E$39/12*(1+Inputs!$C$47)^(AQ$5-1),0)</f>
        <v>0</v>
      </c>
      <c r="AR27" s="153">
        <f>IF(AND(AR$3&gt;=Inputs!$C$48,AR$3&lt;=Inputs!$C$15*12),-Inputs!$E$39/12*(1+Inputs!$C$47)^(AR$5-1),0)</f>
        <v>0</v>
      </c>
      <c r="AS27" s="153">
        <f>IF(AND(AS$3&gt;=Inputs!$C$48,AS$3&lt;=Inputs!$C$15*12),-Inputs!$E$39/12*(1+Inputs!$C$47)^(AS$5-1),0)</f>
        <v>0</v>
      </c>
      <c r="AT27" s="153">
        <f>IF(AND(AT$3&gt;=Inputs!$C$48,AT$3&lt;=Inputs!$C$15*12),-Inputs!$E$39/12*(1+Inputs!$C$47)^(AT$5-1),0)</f>
        <v>0</v>
      </c>
      <c r="AU27" s="153">
        <f>IF(AND(AU$3&gt;=Inputs!$C$48,AU$3&lt;=Inputs!$C$15*12),-Inputs!$E$39/12*(1+Inputs!$C$47)^(AU$5-1),0)</f>
        <v>0</v>
      </c>
      <c r="AV27" s="153">
        <f>IF(AND(AV$3&gt;=Inputs!$C$48,AV$3&lt;=Inputs!$C$15*12),-Inputs!$E$39/12*(1+Inputs!$C$47)^(AV$5-1),0)</f>
        <v>0</v>
      </c>
      <c r="AW27" s="153">
        <f>IF(AND(AW$3&gt;=Inputs!$C$48,AW$3&lt;=Inputs!$C$15*12),-Inputs!$E$39/12*(1+Inputs!$C$47)^(AW$5-1),0)</f>
        <v>0</v>
      </c>
      <c r="AX27" s="153">
        <f>IF(AND(AX$3&gt;=Inputs!$C$48,AX$3&lt;=Inputs!$C$15*12),-Inputs!$E$39/12*(1+Inputs!$C$47)^(AX$5-1),0)</f>
        <v>0</v>
      </c>
      <c r="AY27" s="153">
        <f>IF(AND(AY$3&gt;=Inputs!$C$48,AY$3&lt;=Inputs!$C$15*12),-Inputs!$E$39/12*(1+Inputs!$C$47)^(AY$5-1),0)</f>
        <v>0</v>
      </c>
      <c r="AZ27" s="153">
        <f>IF(AND(AZ$3&gt;=Inputs!$C$48,AZ$3&lt;=Inputs!$C$15*12),-Inputs!$E$39/12*(1+Inputs!$C$47)^(AZ$5-1),0)</f>
        <v>0</v>
      </c>
      <c r="BA27" s="153">
        <f>IF(AND(BA$3&gt;=Inputs!$C$48,BA$3&lt;=Inputs!$C$15*12),-Inputs!$E$39/12*(1+Inputs!$C$47)^(BA$5-1),0)</f>
        <v>0</v>
      </c>
      <c r="BB27" s="153">
        <f>IF(AND(BB$3&gt;=Inputs!$C$48,BB$3&lt;=Inputs!$C$15*12),-Inputs!$E$39/12*(1+Inputs!$C$47)^(BB$5-1),0)</f>
        <v>0</v>
      </c>
      <c r="BC27" s="153">
        <f>IF(AND(BC$3&gt;=Inputs!$C$48,BC$3&lt;=Inputs!$C$15*12),-Inputs!$E$39/12*(1+Inputs!$C$47)^(BC$5-1),0)</f>
        <v>0</v>
      </c>
      <c r="BD27" s="153">
        <f>IF(AND(BD$3&gt;=Inputs!$C$48,BD$3&lt;=Inputs!$C$15*12),-Inputs!$E$39/12*(1+Inputs!$C$47)^(BD$5-1),0)</f>
        <v>0</v>
      </c>
      <c r="BE27" s="153">
        <f>IF(AND(BE$3&gt;=Inputs!$C$48,BE$3&lt;=Inputs!$C$15*12),-Inputs!$E$39/12*(1+Inputs!$C$47)^(BE$5-1),0)</f>
        <v>0</v>
      </c>
      <c r="BF27" s="153">
        <f>IF(AND(BF$3&gt;=Inputs!$C$48,BF$3&lt;=Inputs!$C$15*12),-Inputs!$E$39/12*(1+Inputs!$C$47)^(BF$5-1),0)</f>
        <v>0</v>
      </c>
      <c r="BG27" s="153">
        <f>IF(AND(BG$3&gt;=Inputs!$C$48,BG$3&lt;=Inputs!$C$15*12),-Inputs!$E$39/12*(1+Inputs!$C$47)^(BG$5-1),0)</f>
        <v>0</v>
      </c>
      <c r="BH27" s="153">
        <f>IF(AND(BH$3&gt;=Inputs!$C$48,BH$3&lt;=Inputs!$C$15*12),-Inputs!$E$39/12*(1+Inputs!$C$47)^(BH$5-1),0)</f>
        <v>0</v>
      </c>
      <c r="BI27" s="153">
        <f>IF(AND(BI$3&gt;=Inputs!$C$48,BI$3&lt;=Inputs!$C$15*12),-Inputs!$E$39/12*(1+Inputs!$C$47)^(BI$5-1),0)</f>
        <v>0</v>
      </c>
      <c r="BJ27" s="153">
        <f>IF(AND(BJ$3&gt;=Inputs!$C$48,BJ$3&lt;=Inputs!$C$15*12),-Inputs!$E$39/12*(1+Inputs!$C$47)^(BJ$5-1),0)</f>
        <v>0</v>
      </c>
      <c r="BK27" s="153">
        <f>IF(AND(BK$3&gt;=Inputs!$C$48,BK$3&lt;=Inputs!$C$15*12),-Inputs!$E$39/12*(1+Inputs!$C$47)^(BK$5-1),0)</f>
        <v>0</v>
      </c>
      <c r="BL27" s="153">
        <f>IF(AND(BL$3&gt;=Inputs!$C$48,BL$3&lt;=Inputs!$C$15*12),-Inputs!$E$39/12*(1+Inputs!$C$47)^(BL$5-1),0)</f>
        <v>0</v>
      </c>
      <c r="BM27" s="153">
        <f>IF(AND(BM$3&gt;=Inputs!$C$48,BM$3&lt;=Inputs!$C$15*12),-Inputs!$E$39/12*(1+Inputs!$C$47)^(BM$5-1),0)</f>
        <v>0</v>
      </c>
      <c r="BN27" s="153">
        <f>IF(AND(BN$3&gt;=Inputs!$C$48,BN$3&lt;=Inputs!$C$15*12),-Inputs!$E$39/12*(1+Inputs!$C$47)^(BN$5-1),0)</f>
        <v>0</v>
      </c>
      <c r="BO27" s="153">
        <f>IF(AND(BO$3&gt;=Inputs!$C$48,BO$3&lt;=Inputs!$C$15*12),-Inputs!$E$39/12*(1+Inputs!$C$47)^(BO$5-1),0)</f>
        <v>0</v>
      </c>
      <c r="BP27" s="153">
        <f>IF(AND(BP$3&gt;=Inputs!$C$48,BP$3&lt;=Inputs!$C$15*12),-Inputs!$E$39/12*(1+Inputs!$C$47)^(BP$5-1),0)</f>
        <v>0</v>
      </c>
      <c r="BQ27" s="153">
        <f>IF(AND(BQ$3&gt;=Inputs!$C$48,BQ$3&lt;=Inputs!$C$15*12),-Inputs!$E$39/12*(1+Inputs!$C$47)^(BQ$5-1),0)</f>
        <v>0</v>
      </c>
      <c r="BR27" s="153">
        <f>IF(AND(BR$3&gt;=Inputs!$C$48,BR$3&lt;=Inputs!$C$15*12),-Inputs!$E$39/12*(1+Inputs!$C$47)^(BR$5-1),0)</f>
        <v>0</v>
      </c>
      <c r="BS27" s="153">
        <f>IF(AND(BS$3&gt;=Inputs!$C$48,BS$3&lt;=Inputs!$C$15*12),-Inputs!$E$39/12*(1+Inputs!$C$47)^(BS$5-1),0)</f>
        <v>0</v>
      </c>
      <c r="BT27" s="153">
        <f>IF(AND(BT$3&gt;=Inputs!$C$48,BT$3&lt;=Inputs!$C$15*12),-Inputs!$E$39/12*(1+Inputs!$C$47)^(BT$5-1),0)</f>
        <v>0</v>
      </c>
      <c r="BU27" s="153">
        <f>IF(AND(BU$3&gt;=Inputs!$C$48,BU$3&lt;=Inputs!$C$15*12),-Inputs!$E$39/12*(1+Inputs!$C$47)^(BU$5-1),0)</f>
        <v>0</v>
      </c>
      <c r="BV27" s="153">
        <f>IF(AND(BV$3&gt;=Inputs!$C$48,BV$3&lt;=Inputs!$C$15*12),-Inputs!$E$39/12*(1+Inputs!$C$47)^(BV$5-1),0)</f>
        <v>0</v>
      </c>
      <c r="BW27" s="153">
        <f>IF(AND(BW$3&gt;=Inputs!$C$48,BW$3&lt;=Inputs!$C$15*12),-Inputs!$E$39/12*(1+Inputs!$C$47)^(BW$5-1),0)</f>
        <v>0</v>
      </c>
      <c r="BX27" s="153">
        <f>IF(AND(BX$3&gt;=Inputs!$C$48,BX$3&lt;=Inputs!$C$15*12),-Inputs!$E$39/12*(1+Inputs!$C$47)^(BX$5-1),0)</f>
        <v>0</v>
      </c>
      <c r="BY27" s="153">
        <f>IF(AND(BY$3&gt;=Inputs!$C$48,BY$3&lt;=Inputs!$C$15*12),-Inputs!$E$39/12*(1+Inputs!$C$47)^(BY$5-1),0)</f>
        <v>0</v>
      </c>
      <c r="BZ27" s="153">
        <f>IF(AND(BZ$3&gt;=Inputs!$C$48,BZ$3&lt;=Inputs!$C$15*12),-Inputs!$E$39/12*(1+Inputs!$C$47)^(BZ$5-1),0)</f>
        <v>0</v>
      </c>
      <c r="CA27" s="153">
        <f>IF(AND(CA$3&gt;=Inputs!$C$48,CA$3&lt;=Inputs!$C$15*12),-Inputs!$E$39/12*(1+Inputs!$C$47)^(CA$5-1),0)</f>
        <v>0</v>
      </c>
      <c r="CB27" s="153">
        <f>IF(AND(CB$3&gt;=Inputs!$C$48,CB$3&lt;=Inputs!$C$15*12),-Inputs!$E$39/12*(1+Inputs!$C$47)^(CB$5-1),0)</f>
        <v>0</v>
      </c>
      <c r="CC27" s="153">
        <f>IF(AND(CC$3&gt;=Inputs!$C$48,CC$3&lt;=Inputs!$C$15*12),-Inputs!$E$39/12*(1+Inputs!$C$47)^(CC$5-1),0)</f>
        <v>0</v>
      </c>
      <c r="CD27" s="153">
        <f>IF(AND(CD$3&gt;=Inputs!$C$48,CD$3&lt;=Inputs!$C$15*12),-Inputs!$E$39/12*(1+Inputs!$C$47)^(CD$5-1),0)</f>
        <v>0</v>
      </c>
      <c r="CE27" s="153">
        <f>IF(AND(CE$3&gt;=Inputs!$C$48,CE$3&lt;=Inputs!$C$15*12),-Inputs!$E$39/12*(1+Inputs!$C$47)^(CE$5-1),0)</f>
        <v>0</v>
      </c>
      <c r="CF27" s="153">
        <f>IF(AND(CF$3&gt;=Inputs!$C$48,CF$3&lt;=Inputs!$C$15*12),-Inputs!$E$39/12*(1+Inputs!$C$47)^(CF$5-1),0)</f>
        <v>0</v>
      </c>
      <c r="CG27" s="153">
        <f>IF(AND(CG$3&gt;=Inputs!$C$48,CG$3&lt;=Inputs!$C$15*12),-Inputs!$E$39/12*(1+Inputs!$C$47)^(CG$5-1),0)</f>
        <v>0</v>
      </c>
      <c r="CH27" s="153">
        <f>IF(AND(CH$3&gt;=Inputs!$C$48,CH$3&lt;=Inputs!$C$15*12),-Inputs!$E$39/12*(1+Inputs!$C$47)^(CH$5-1),0)</f>
        <v>0</v>
      </c>
      <c r="CI27" s="153">
        <f>IF(AND(CI$3&gt;=Inputs!$C$48,CI$3&lt;=Inputs!$C$15*12),-Inputs!$E$39/12*(1+Inputs!$C$47)^(CI$5-1),0)</f>
        <v>0</v>
      </c>
      <c r="CJ27" s="153">
        <f>IF(AND(CJ$3&gt;=Inputs!$C$48,CJ$3&lt;=Inputs!$C$15*12),-Inputs!$E$39/12*(1+Inputs!$C$47)^(CJ$5-1),0)</f>
        <v>0</v>
      </c>
      <c r="CK27" s="153">
        <f>IF(AND(CK$3&gt;=Inputs!$C$48,CK$3&lt;=Inputs!$C$15*12),-Inputs!$E$39/12*(1+Inputs!$C$47)^(CK$5-1),0)</f>
        <v>0</v>
      </c>
      <c r="CL27" s="153">
        <f>IF(AND(CL$3&gt;=Inputs!$C$48,CL$3&lt;=Inputs!$C$15*12),-Inputs!$E$39/12*(1+Inputs!$C$47)^(CL$5-1),0)</f>
        <v>0</v>
      </c>
      <c r="CM27" s="153">
        <f>IF(AND(CM$3&gt;=Inputs!$C$48,CM$3&lt;=Inputs!$C$15*12),-Inputs!$E$39/12*(1+Inputs!$C$47)^(CM$5-1),0)</f>
        <v>0</v>
      </c>
      <c r="CN27" s="153">
        <f>IF(AND(CN$3&gt;=Inputs!$C$48,CN$3&lt;=Inputs!$C$15*12),-Inputs!$E$39/12*(1+Inputs!$C$47)^(CN$5-1),0)</f>
        <v>0</v>
      </c>
      <c r="CO27" s="153">
        <f>IF(AND(CO$3&gt;=Inputs!$C$48,CO$3&lt;=Inputs!$C$15*12),-Inputs!$E$39/12*(1+Inputs!$C$47)^(CO$5-1),0)</f>
        <v>0</v>
      </c>
      <c r="CP27" s="153">
        <f>IF(AND(CP$3&gt;=Inputs!$C$48,CP$3&lt;=Inputs!$C$15*12),-Inputs!$E$39/12*(1+Inputs!$C$47)^(CP$5-1),0)</f>
        <v>0</v>
      </c>
      <c r="CQ27" s="153">
        <f>IF(AND(CQ$3&gt;=Inputs!$C$48,CQ$3&lt;=Inputs!$C$15*12),-Inputs!$E$39/12*(1+Inputs!$C$47)^(CQ$5-1),0)</f>
        <v>0</v>
      </c>
      <c r="CR27" s="153">
        <f>IF(AND(CR$3&gt;=Inputs!$C$48,CR$3&lt;=Inputs!$C$15*12),-Inputs!$E$39/12*(1+Inputs!$C$47)^(CR$5-1),0)</f>
        <v>0</v>
      </c>
      <c r="CS27" s="153">
        <f>IF(AND(CS$3&gt;=Inputs!$C$48,CS$3&lt;=Inputs!$C$15*12),-Inputs!$E$39/12*(1+Inputs!$C$47)^(CS$5-1),0)</f>
        <v>0</v>
      </c>
      <c r="CT27" s="153">
        <f>IF(AND(CT$3&gt;=Inputs!$C$48,CT$3&lt;=Inputs!$C$15*12),-Inputs!$E$39/12*(1+Inputs!$C$47)^(CT$5-1),0)</f>
        <v>0</v>
      </c>
      <c r="CU27" s="153">
        <f>IF(AND(CU$3&gt;=Inputs!$C$48,CU$3&lt;=Inputs!$C$15*12),-Inputs!$E$39/12*(1+Inputs!$C$47)^(CU$5-1),0)</f>
        <v>0</v>
      </c>
      <c r="CV27" s="153">
        <f>IF(AND(CV$3&gt;=Inputs!$C$48,CV$3&lt;=Inputs!$C$15*12),-Inputs!$E$39/12*(1+Inputs!$C$47)^(CV$5-1),0)</f>
        <v>0</v>
      </c>
      <c r="CW27" s="153">
        <f>IF(AND(CW$3&gt;=Inputs!$C$48,CW$3&lt;=Inputs!$C$15*12),-Inputs!$E$39/12*(1+Inputs!$C$47)^(CW$5-1),0)</f>
        <v>0</v>
      </c>
      <c r="CX27" s="153">
        <f>IF(AND(CX$3&gt;=Inputs!$C$48,CX$3&lt;=Inputs!$C$15*12),-Inputs!$E$39/12*(1+Inputs!$C$47)^(CX$5-1),0)</f>
        <v>0</v>
      </c>
      <c r="CY27" s="153">
        <f>IF(AND(CY$3&gt;=Inputs!$C$48,CY$3&lt;=Inputs!$C$15*12),-Inputs!$E$39/12*(1+Inputs!$C$47)^(CY$5-1),0)</f>
        <v>0</v>
      </c>
      <c r="CZ27" s="153">
        <f>IF(AND(CZ$3&gt;=Inputs!$C$48,CZ$3&lt;=Inputs!$C$15*12),-Inputs!$E$39/12*(1+Inputs!$C$47)^(CZ$5-1),0)</f>
        <v>0</v>
      </c>
      <c r="DA27" s="153">
        <f>IF(AND(DA$3&gt;=Inputs!$C$48,DA$3&lt;=Inputs!$C$15*12),-Inputs!$E$39/12*(1+Inputs!$C$47)^(DA$5-1),0)</f>
        <v>0</v>
      </c>
      <c r="DB27" s="153">
        <f>IF(AND(DB$3&gt;=Inputs!$C$48,DB$3&lt;=Inputs!$C$15*12),-Inputs!$E$39/12*(1+Inputs!$C$47)^(DB$5-1),0)</f>
        <v>0</v>
      </c>
      <c r="DC27" s="153">
        <f>IF(AND(DC$3&gt;=Inputs!$C$48,DC$3&lt;=Inputs!$C$15*12),-Inputs!$E$39/12*(1+Inputs!$C$47)^(DC$5-1),0)</f>
        <v>0</v>
      </c>
      <c r="DD27" s="153">
        <f>IF(AND(DD$3&gt;=Inputs!$C$48,DD$3&lt;=Inputs!$C$15*12),-Inputs!$E$39/12*(1+Inputs!$C$47)^(DD$5-1),0)</f>
        <v>0</v>
      </c>
      <c r="DE27" s="153">
        <f>IF(AND(DE$3&gt;=Inputs!$C$48,DE$3&lt;=Inputs!$C$15*12),-Inputs!$E$39/12*(1+Inputs!$C$47)^(DE$5-1),0)</f>
        <v>0</v>
      </c>
      <c r="DF27" s="153">
        <f>IF(AND(DF$3&gt;=Inputs!$C$48,DF$3&lt;=Inputs!$C$15*12),-Inputs!$E$39/12*(1+Inputs!$C$47)^(DF$5-1),0)</f>
        <v>0</v>
      </c>
      <c r="DG27" s="153">
        <f>IF(AND(DG$3&gt;=Inputs!$C$48,DG$3&lt;=Inputs!$C$15*12),-Inputs!$E$39/12*(1+Inputs!$C$47)^(DG$5-1),0)</f>
        <v>0</v>
      </c>
      <c r="DH27" s="153">
        <f>IF(AND(DH$3&gt;=Inputs!$C$48,DH$3&lt;=Inputs!$C$15*12),-Inputs!$E$39/12*(1+Inputs!$C$47)^(DH$5-1),0)</f>
        <v>0</v>
      </c>
      <c r="DI27" s="153">
        <f>IF(AND(DI$3&gt;=Inputs!$C$48,DI$3&lt;=Inputs!$C$15*12),-Inputs!$E$39/12*(1+Inputs!$C$47)^(DI$5-1),0)</f>
        <v>0</v>
      </c>
      <c r="DJ27" s="153">
        <f>IF(AND(DJ$3&gt;=Inputs!$C$48,DJ$3&lt;=Inputs!$C$15*12),-Inputs!$E$39/12*(1+Inputs!$C$47)^(DJ$5-1),0)</f>
        <v>0</v>
      </c>
      <c r="DK27" s="153">
        <f>IF(AND(DK$3&gt;=Inputs!$C$48,DK$3&lt;=Inputs!$C$15*12),-Inputs!$E$39/12*(1+Inputs!$C$47)^(DK$5-1),0)</f>
        <v>0</v>
      </c>
      <c r="DL27" s="153">
        <f>IF(AND(DL$3&gt;=Inputs!$C$48,DL$3&lt;=Inputs!$C$15*12),-Inputs!$E$39/12*(1+Inputs!$C$47)^(DL$5-1),0)</f>
        <v>0</v>
      </c>
      <c r="DM27" s="153">
        <f>IF(AND(DM$3&gt;=Inputs!$C$48,DM$3&lt;=Inputs!$C$15*12),-Inputs!$E$39/12*(1+Inputs!$C$47)^(DM$5-1),0)</f>
        <v>0</v>
      </c>
      <c r="DN27" s="153">
        <f>IF(AND(DN$3&gt;=Inputs!$C$48,DN$3&lt;=Inputs!$C$15*12),-Inputs!$E$39/12*(1+Inputs!$C$47)^(DN$5-1),0)</f>
        <v>0</v>
      </c>
      <c r="DO27" s="153">
        <f>IF(AND(DO$3&gt;=Inputs!$C$48,DO$3&lt;=Inputs!$C$15*12),-Inputs!$E$39/12*(1+Inputs!$C$47)^(DO$5-1),0)</f>
        <v>0</v>
      </c>
      <c r="DP27" s="153">
        <f>IF(AND(DP$3&gt;=Inputs!$C$48,DP$3&lt;=Inputs!$C$15*12),-Inputs!$E$39/12*(1+Inputs!$C$47)^(DP$5-1),0)</f>
        <v>0</v>
      </c>
      <c r="DQ27" s="153">
        <f>IF(AND(DQ$3&gt;=Inputs!$C$48,DQ$3&lt;=Inputs!$C$15*12),-Inputs!$E$39/12*(1+Inputs!$C$47)^(DQ$5-1),0)</f>
        <v>0</v>
      </c>
      <c r="DR27" s="153">
        <f>IF(AND(DR$3&gt;=Inputs!$C$48,DR$3&lt;=Inputs!$C$15*12),-Inputs!$E$39/12*(1+Inputs!$C$47)^(DR$5-1),0)</f>
        <v>0</v>
      </c>
      <c r="DS27" s="54"/>
    </row>
    <row r="28" ht="15.0" customHeight="1">
      <c r="A28" s="54"/>
      <c r="B28" s="56" t="str">
        <f>Inputs!B40</f>
        <v>  Other Expenses</v>
      </c>
      <c r="C28" s="153">
        <f>IF(AND(C$3&gt;=Inputs!$C$48,C$3&lt;=Inputs!$C$15*12),-Inputs!$E$40/12*(1+Inputs!$C$47)^(C$5-1),0)</f>
        <v>0</v>
      </c>
      <c r="D28" s="153">
        <f>IF(AND(D$3&gt;=Inputs!$C$48,D$3&lt;=Inputs!$C$15*12),-Inputs!$E$40/12*(1+Inputs!$C$47)^(D$5-1),0)</f>
        <v>0</v>
      </c>
      <c r="E28" s="153">
        <f>IF(AND(E$3&gt;=Inputs!$C$48,E$3&lt;=Inputs!$C$15*12),-Inputs!$E$40/12*(1+Inputs!$C$47)^(E$5-1),0)</f>
        <v>0</v>
      </c>
      <c r="F28" s="153">
        <f>IF(AND(F$3&gt;=Inputs!$C$48,F$3&lt;=Inputs!$C$15*12),-Inputs!$E$40/12*(1+Inputs!$C$47)^(F$5-1),0)</f>
        <v>0</v>
      </c>
      <c r="G28" s="153">
        <f>IF(AND(G$3&gt;=Inputs!$C$48,G$3&lt;=Inputs!$C$15*12),-Inputs!$E$40/12*(1+Inputs!$C$47)^(G$5-1),0)</f>
        <v>0</v>
      </c>
      <c r="H28" s="153">
        <f>IF(AND(H$3&gt;=Inputs!$C$48,H$3&lt;=Inputs!$C$15*12),-Inputs!$E$40/12*(1+Inputs!$C$47)^(H$5-1),0)</f>
        <v>0</v>
      </c>
      <c r="I28" s="153">
        <f>IF(AND(I$3&gt;=Inputs!$C$48,I$3&lt;=Inputs!$C$15*12),-Inputs!$E$40/12*(1+Inputs!$C$47)^(I$5-1),0)</f>
        <v>0</v>
      </c>
      <c r="J28" s="153">
        <f>IF(AND(J$3&gt;=Inputs!$C$48,J$3&lt;=Inputs!$C$15*12),-Inputs!$E$40/12*(1+Inputs!$C$47)^(J$5-1),0)</f>
        <v>0</v>
      </c>
      <c r="K28" s="153">
        <f>IF(AND(K$3&gt;=Inputs!$C$48,K$3&lt;=Inputs!$C$15*12),-Inputs!$E$40/12*(1+Inputs!$C$47)^(K$5-1),0)</f>
        <v>0</v>
      </c>
      <c r="L28" s="153">
        <f>IF(AND(L$3&gt;=Inputs!$C$48,L$3&lt;=Inputs!$C$15*12),-Inputs!$E$40/12*(1+Inputs!$C$47)^(L$5-1),0)</f>
        <v>0</v>
      </c>
      <c r="M28" s="153">
        <f>IF(AND(M$3&gt;=Inputs!$C$48,M$3&lt;=Inputs!$C$15*12),-Inputs!$E$40/12*(1+Inputs!$C$47)^(M$5-1),0)</f>
        <v>0</v>
      </c>
      <c r="N28" s="153">
        <f>IF(AND(N$3&gt;=Inputs!$C$48,N$3&lt;=Inputs!$C$15*12),-Inputs!$E$40/12*(1+Inputs!$C$47)^(N$5-1),0)</f>
        <v>0</v>
      </c>
      <c r="O28" s="153">
        <f>IF(AND(O$3&gt;=Inputs!$C$48,O$3&lt;=Inputs!$C$15*12),-Inputs!$E$40/12*(1+Inputs!$C$47)^(O$5-1),0)</f>
        <v>0</v>
      </c>
      <c r="P28" s="153">
        <f>IF(AND(P$3&gt;=Inputs!$C$48,P$3&lt;=Inputs!$C$15*12),-Inputs!$E$40/12*(1+Inputs!$C$47)^(P$5-1),0)</f>
        <v>0</v>
      </c>
      <c r="Q28" s="153">
        <f>IF(AND(Q$3&gt;=Inputs!$C$48,Q$3&lt;=Inputs!$C$15*12),-Inputs!$E$40/12*(1+Inputs!$C$47)^(Q$5-1),0)</f>
        <v>0</v>
      </c>
      <c r="R28" s="153">
        <f>IF(AND(R$3&gt;=Inputs!$C$48,R$3&lt;=Inputs!$C$15*12),-Inputs!$E$40/12*(1+Inputs!$C$47)^(R$5-1),0)</f>
        <v>0</v>
      </c>
      <c r="S28" s="153">
        <f>IF(AND(S$3&gt;=Inputs!$C$48,S$3&lt;=Inputs!$C$15*12),-Inputs!$E$40/12*(1+Inputs!$C$47)^(S$5-1),0)</f>
        <v>0</v>
      </c>
      <c r="T28" s="153">
        <f>IF(AND(T$3&gt;=Inputs!$C$48,T$3&lt;=Inputs!$C$15*12),-Inputs!$E$40/12*(1+Inputs!$C$47)^(T$5-1),0)</f>
        <v>0</v>
      </c>
      <c r="U28" s="153">
        <f>IF(AND(U$3&gt;=Inputs!$C$48,U$3&lt;=Inputs!$C$15*12),-Inputs!$E$40/12*(1+Inputs!$C$47)^(U$5-1),0)</f>
        <v>0</v>
      </c>
      <c r="V28" s="153">
        <f>IF(AND(V$3&gt;=Inputs!$C$48,V$3&lt;=Inputs!$C$15*12),-Inputs!$E$40/12*(1+Inputs!$C$47)^(V$5-1),0)</f>
        <v>0</v>
      </c>
      <c r="W28" s="153">
        <f>IF(AND(W$3&gt;=Inputs!$C$48,W$3&lt;=Inputs!$C$15*12),-Inputs!$E$40/12*(1+Inputs!$C$47)^(W$5-1),0)</f>
        <v>0</v>
      </c>
      <c r="X28" s="153">
        <f>IF(AND(X$3&gt;=Inputs!$C$48,X$3&lt;=Inputs!$C$15*12),-Inputs!$E$40/12*(1+Inputs!$C$47)^(X$5-1),0)</f>
        <v>0</v>
      </c>
      <c r="Y28" s="153">
        <f>IF(AND(Y$3&gt;=Inputs!$C$48,Y$3&lt;=Inputs!$C$15*12),-Inputs!$E$40/12*(1+Inputs!$C$47)^(Y$5-1),0)</f>
        <v>0</v>
      </c>
      <c r="Z28" s="153">
        <f>IF(AND(Z$3&gt;=Inputs!$C$48,Z$3&lt;=Inputs!$C$15*12),-Inputs!$E$40/12*(1+Inputs!$C$47)^(Z$5-1),0)</f>
        <v>0</v>
      </c>
      <c r="AA28" s="153">
        <f>IF(AND(AA$3&gt;=Inputs!$C$48,AA$3&lt;=Inputs!$C$15*12),-Inputs!$E$40/12*(1+Inputs!$C$47)^(AA$5-1),0)</f>
        <v>0</v>
      </c>
      <c r="AB28" s="153">
        <f>IF(AND(AB$3&gt;=Inputs!$C$48,AB$3&lt;=Inputs!$C$15*12),-Inputs!$E$40/12*(1+Inputs!$C$47)^(AB$5-1),0)</f>
        <v>0</v>
      </c>
      <c r="AC28" s="153">
        <f>IF(AND(AC$3&gt;=Inputs!$C$48,AC$3&lt;=Inputs!$C$15*12),-Inputs!$E$40/12*(1+Inputs!$C$47)^(AC$5-1),0)</f>
        <v>0</v>
      </c>
      <c r="AD28" s="153">
        <f>IF(AND(AD$3&gt;=Inputs!$C$48,AD$3&lt;=Inputs!$C$15*12),-Inputs!$E$40/12*(1+Inputs!$C$47)^(AD$5-1),0)</f>
        <v>0</v>
      </c>
      <c r="AE28" s="153">
        <f>IF(AND(AE$3&gt;=Inputs!$C$48,AE$3&lt;=Inputs!$C$15*12),-Inputs!$E$40/12*(1+Inputs!$C$47)^(AE$5-1),0)</f>
        <v>0</v>
      </c>
      <c r="AF28" s="153">
        <f>IF(AND(AF$3&gt;=Inputs!$C$48,AF$3&lt;=Inputs!$C$15*12),-Inputs!$E$40/12*(1+Inputs!$C$47)^(AF$5-1),0)</f>
        <v>0</v>
      </c>
      <c r="AG28" s="153">
        <f>IF(AND(AG$3&gt;=Inputs!$C$48,AG$3&lt;=Inputs!$C$15*12),-Inputs!$E$40/12*(1+Inputs!$C$47)^(AG$5-1),0)</f>
        <v>0</v>
      </c>
      <c r="AH28" s="153">
        <f>IF(AND(AH$3&gt;=Inputs!$C$48,AH$3&lt;=Inputs!$C$15*12),-Inputs!$E$40/12*(1+Inputs!$C$47)^(AH$5-1),0)</f>
        <v>0</v>
      </c>
      <c r="AI28" s="153">
        <f>IF(AND(AI$3&gt;=Inputs!$C$48,AI$3&lt;=Inputs!$C$15*12),-Inputs!$E$40/12*(1+Inputs!$C$47)^(AI$5-1),0)</f>
        <v>0</v>
      </c>
      <c r="AJ28" s="153">
        <f>IF(AND(AJ$3&gt;=Inputs!$C$48,AJ$3&lt;=Inputs!$C$15*12),-Inputs!$E$40/12*(1+Inputs!$C$47)^(AJ$5-1),0)</f>
        <v>0</v>
      </c>
      <c r="AK28" s="153">
        <f>IF(AND(AK$3&gt;=Inputs!$C$48,AK$3&lt;=Inputs!$C$15*12),-Inputs!$E$40/12*(1+Inputs!$C$47)^(AK$5-1),0)</f>
        <v>0</v>
      </c>
      <c r="AL28" s="153">
        <f>IF(AND(AL$3&gt;=Inputs!$C$48,AL$3&lt;=Inputs!$C$15*12),-Inputs!$E$40/12*(1+Inputs!$C$47)^(AL$5-1),0)</f>
        <v>0</v>
      </c>
      <c r="AM28" s="153">
        <f>IF(AND(AM$3&gt;=Inputs!$C$48,AM$3&lt;=Inputs!$C$15*12),-Inputs!$E$40/12*(1+Inputs!$C$47)^(AM$5-1),0)</f>
        <v>0</v>
      </c>
      <c r="AN28" s="153">
        <f>IF(AND(AN$3&gt;=Inputs!$C$48,AN$3&lt;=Inputs!$C$15*12),-Inputs!$E$40/12*(1+Inputs!$C$47)^(AN$5-1),0)</f>
        <v>0</v>
      </c>
      <c r="AO28" s="153">
        <f>IF(AND(AO$3&gt;=Inputs!$C$48,AO$3&lt;=Inputs!$C$15*12),-Inputs!$E$40/12*(1+Inputs!$C$47)^(AO$5-1),0)</f>
        <v>0</v>
      </c>
      <c r="AP28" s="153">
        <f>IF(AND(AP$3&gt;=Inputs!$C$48,AP$3&lt;=Inputs!$C$15*12),-Inputs!$E$40/12*(1+Inputs!$C$47)^(AP$5-1),0)</f>
        <v>0</v>
      </c>
      <c r="AQ28" s="153">
        <f>IF(AND(AQ$3&gt;=Inputs!$C$48,AQ$3&lt;=Inputs!$C$15*12),-Inputs!$E$40/12*(1+Inputs!$C$47)^(AQ$5-1),0)</f>
        <v>0</v>
      </c>
      <c r="AR28" s="153">
        <f>IF(AND(AR$3&gt;=Inputs!$C$48,AR$3&lt;=Inputs!$C$15*12),-Inputs!$E$40/12*(1+Inputs!$C$47)^(AR$5-1),0)</f>
        <v>0</v>
      </c>
      <c r="AS28" s="153">
        <f>IF(AND(AS$3&gt;=Inputs!$C$48,AS$3&lt;=Inputs!$C$15*12),-Inputs!$E$40/12*(1+Inputs!$C$47)^(AS$5-1),0)</f>
        <v>0</v>
      </c>
      <c r="AT28" s="153">
        <f>IF(AND(AT$3&gt;=Inputs!$C$48,AT$3&lt;=Inputs!$C$15*12),-Inputs!$E$40/12*(1+Inputs!$C$47)^(AT$5-1),0)</f>
        <v>0</v>
      </c>
      <c r="AU28" s="153">
        <f>IF(AND(AU$3&gt;=Inputs!$C$48,AU$3&lt;=Inputs!$C$15*12),-Inputs!$E$40/12*(1+Inputs!$C$47)^(AU$5-1),0)</f>
        <v>0</v>
      </c>
      <c r="AV28" s="153">
        <f>IF(AND(AV$3&gt;=Inputs!$C$48,AV$3&lt;=Inputs!$C$15*12),-Inputs!$E$40/12*(1+Inputs!$C$47)^(AV$5-1),0)</f>
        <v>0</v>
      </c>
      <c r="AW28" s="153">
        <f>IF(AND(AW$3&gt;=Inputs!$C$48,AW$3&lt;=Inputs!$C$15*12),-Inputs!$E$40/12*(1+Inputs!$C$47)^(AW$5-1),0)</f>
        <v>0</v>
      </c>
      <c r="AX28" s="153">
        <f>IF(AND(AX$3&gt;=Inputs!$C$48,AX$3&lt;=Inputs!$C$15*12),-Inputs!$E$40/12*(1+Inputs!$C$47)^(AX$5-1),0)</f>
        <v>0</v>
      </c>
      <c r="AY28" s="153">
        <f>IF(AND(AY$3&gt;=Inputs!$C$48,AY$3&lt;=Inputs!$C$15*12),-Inputs!$E$40/12*(1+Inputs!$C$47)^(AY$5-1),0)</f>
        <v>0</v>
      </c>
      <c r="AZ28" s="153">
        <f>IF(AND(AZ$3&gt;=Inputs!$C$48,AZ$3&lt;=Inputs!$C$15*12),-Inputs!$E$40/12*(1+Inputs!$C$47)^(AZ$5-1),0)</f>
        <v>0</v>
      </c>
      <c r="BA28" s="153">
        <f>IF(AND(BA$3&gt;=Inputs!$C$48,BA$3&lt;=Inputs!$C$15*12),-Inputs!$E$40/12*(1+Inputs!$C$47)^(BA$5-1),0)</f>
        <v>0</v>
      </c>
      <c r="BB28" s="153">
        <f>IF(AND(BB$3&gt;=Inputs!$C$48,BB$3&lt;=Inputs!$C$15*12),-Inputs!$E$40/12*(1+Inputs!$C$47)^(BB$5-1),0)</f>
        <v>0</v>
      </c>
      <c r="BC28" s="153">
        <f>IF(AND(BC$3&gt;=Inputs!$C$48,BC$3&lt;=Inputs!$C$15*12),-Inputs!$E$40/12*(1+Inputs!$C$47)^(BC$5-1),0)</f>
        <v>0</v>
      </c>
      <c r="BD28" s="153">
        <f>IF(AND(BD$3&gt;=Inputs!$C$48,BD$3&lt;=Inputs!$C$15*12),-Inputs!$E$40/12*(1+Inputs!$C$47)^(BD$5-1),0)</f>
        <v>0</v>
      </c>
      <c r="BE28" s="153">
        <f>IF(AND(BE$3&gt;=Inputs!$C$48,BE$3&lt;=Inputs!$C$15*12),-Inputs!$E$40/12*(1+Inputs!$C$47)^(BE$5-1),0)</f>
        <v>0</v>
      </c>
      <c r="BF28" s="153">
        <f>IF(AND(BF$3&gt;=Inputs!$C$48,BF$3&lt;=Inputs!$C$15*12),-Inputs!$E$40/12*(1+Inputs!$C$47)^(BF$5-1),0)</f>
        <v>0</v>
      </c>
      <c r="BG28" s="153">
        <f>IF(AND(BG$3&gt;=Inputs!$C$48,BG$3&lt;=Inputs!$C$15*12),-Inputs!$E$40/12*(1+Inputs!$C$47)^(BG$5-1),0)</f>
        <v>0</v>
      </c>
      <c r="BH28" s="153">
        <f>IF(AND(BH$3&gt;=Inputs!$C$48,BH$3&lt;=Inputs!$C$15*12),-Inputs!$E$40/12*(1+Inputs!$C$47)^(BH$5-1),0)</f>
        <v>0</v>
      </c>
      <c r="BI28" s="153">
        <f>IF(AND(BI$3&gt;=Inputs!$C$48,BI$3&lt;=Inputs!$C$15*12),-Inputs!$E$40/12*(1+Inputs!$C$47)^(BI$5-1),0)</f>
        <v>0</v>
      </c>
      <c r="BJ28" s="153">
        <f>IF(AND(BJ$3&gt;=Inputs!$C$48,BJ$3&lt;=Inputs!$C$15*12),-Inputs!$E$40/12*(1+Inputs!$C$47)^(BJ$5-1),0)</f>
        <v>0</v>
      </c>
      <c r="BK28" s="153">
        <f>IF(AND(BK$3&gt;=Inputs!$C$48,BK$3&lt;=Inputs!$C$15*12),-Inputs!$E$40/12*(1+Inputs!$C$47)^(BK$5-1),0)</f>
        <v>0</v>
      </c>
      <c r="BL28" s="153">
        <f>IF(AND(BL$3&gt;=Inputs!$C$48,BL$3&lt;=Inputs!$C$15*12),-Inputs!$E$40/12*(1+Inputs!$C$47)^(BL$5-1),0)</f>
        <v>0</v>
      </c>
      <c r="BM28" s="153">
        <f>IF(AND(BM$3&gt;=Inputs!$C$48,BM$3&lt;=Inputs!$C$15*12),-Inputs!$E$40/12*(1+Inputs!$C$47)^(BM$5-1),0)</f>
        <v>0</v>
      </c>
      <c r="BN28" s="153">
        <f>IF(AND(BN$3&gt;=Inputs!$C$48,BN$3&lt;=Inputs!$C$15*12),-Inputs!$E$40/12*(1+Inputs!$C$47)^(BN$5-1),0)</f>
        <v>0</v>
      </c>
      <c r="BO28" s="153">
        <f>IF(AND(BO$3&gt;=Inputs!$C$48,BO$3&lt;=Inputs!$C$15*12),-Inputs!$E$40/12*(1+Inputs!$C$47)^(BO$5-1),0)</f>
        <v>0</v>
      </c>
      <c r="BP28" s="153">
        <f>IF(AND(BP$3&gt;=Inputs!$C$48,BP$3&lt;=Inputs!$C$15*12),-Inputs!$E$40/12*(1+Inputs!$C$47)^(BP$5-1),0)</f>
        <v>0</v>
      </c>
      <c r="BQ28" s="153">
        <f>IF(AND(BQ$3&gt;=Inputs!$C$48,BQ$3&lt;=Inputs!$C$15*12),-Inputs!$E$40/12*(1+Inputs!$C$47)^(BQ$5-1),0)</f>
        <v>0</v>
      </c>
      <c r="BR28" s="153">
        <f>IF(AND(BR$3&gt;=Inputs!$C$48,BR$3&lt;=Inputs!$C$15*12),-Inputs!$E$40/12*(1+Inputs!$C$47)^(BR$5-1),0)</f>
        <v>0</v>
      </c>
      <c r="BS28" s="153">
        <f>IF(AND(BS$3&gt;=Inputs!$C$48,BS$3&lt;=Inputs!$C$15*12),-Inputs!$E$40/12*(1+Inputs!$C$47)^(BS$5-1),0)</f>
        <v>0</v>
      </c>
      <c r="BT28" s="153">
        <f>IF(AND(BT$3&gt;=Inputs!$C$48,BT$3&lt;=Inputs!$C$15*12),-Inputs!$E$40/12*(1+Inputs!$C$47)^(BT$5-1),0)</f>
        <v>0</v>
      </c>
      <c r="BU28" s="153">
        <f>IF(AND(BU$3&gt;=Inputs!$C$48,BU$3&lt;=Inputs!$C$15*12),-Inputs!$E$40/12*(1+Inputs!$C$47)^(BU$5-1),0)</f>
        <v>0</v>
      </c>
      <c r="BV28" s="153">
        <f>IF(AND(BV$3&gt;=Inputs!$C$48,BV$3&lt;=Inputs!$C$15*12),-Inputs!$E$40/12*(1+Inputs!$C$47)^(BV$5-1),0)</f>
        <v>0</v>
      </c>
      <c r="BW28" s="153">
        <f>IF(AND(BW$3&gt;=Inputs!$C$48,BW$3&lt;=Inputs!$C$15*12),-Inputs!$E$40/12*(1+Inputs!$C$47)^(BW$5-1),0)</f>
        <v>0</v>
      </c>
      <c r="BX28" s="153">
        <f>IF(AND(BX$3&gt;=Inputs!$C$48,BX$3&lt;=Inputs!$C$15*12),-Inputs!$E$40/12*(1+Inputs!$C$47)^(BX$5-1),0)</f>
        <v>0</v>
      </c>
      <c r="BY28" s="153">
        <f>IF(AND(BY$3&gt;=Inputs!$C$48,BY$3&lt;=Inputs!$C$15*12),-Inputs!$E$40/12*(1+Inputs!$C$47)^(BY$5-1),0)</f>
        <v>0</v>
      </c>
      <c r="BZ28" s="153">
        <f>IF(AND(BZ$3&gt;=Inputs!$C$48,BZ$3&lt;=Inputs!$C$15*12),-Inputs!$E$40/12*(1+Inputs!$C$47)^(BZ$5-1),0)</f>
        <v>0</v>
      </c>
      <c r="CA28" s="153">
        <f>IF(AND(CA$3&gt;=Inputs!$C$48,CA$3&lt;=Inputs!$C$15*12),-Inputs!$E$40/12*(1+Inputs!$C$47)^(CA$5-1),0)</f>
        <v>0</v>
      </c>
      <c r="CB28" s="153">
        <f>IF(AND(CB$3&gt;=Inputs!$C$48,CB$3&lt;=Inputs!$C$15*12),-Inputs!$E$40/12*(1+Inputs!$C$47)^(CB$5-1),0)</f>
        <v>0</v>
      </c>
      <c r="CC28" s="153">
        <f>IF(AND(CC$3&gt;=Inputs!$C$48,CC$3&lt;=Inputs!$C$15*12),-Inputs!$E$40/12*(1+Inputs!$C$47)^(CC$5-1),0)</f>
        <v>0</v>
      </c>
      <c r="CD28" s="153">
        <f>IF(AND(CD$3&gt;=Inputs!$C$48,CD$3&lt;=Inputs!$C$15*12),-Inputs!$E$40/12*(1+Inputs!$C$47)^(CD$5-1),0)</f>
        <v>0</v>
      </c>
      <c r="CE28" s="153">
        <f>IF(AND(CE$3&gt;=Inputs!$C$48,CE$3&lt;=Inputs!$C$15*12),-Inputs!$E$40/12*(1+Inputs!$C$47)^(CE$5-1),0)</f>
        <v>0</v>
      </c>
      <c r="CF28" s="153">
        <f>IF(AND(CF$3&gt;=Inputs!$C$48,CF$3&lt;=Inputs!$C$15*12),-Inputs!$E$40/12*(1+Inputs!$C$47)^(CF$5-1),0)</f>
        <v>0</v>
      </c>
      <c r="CG28" s="153">
        <f>IF(AND(CG$3&gt;=Inputs!$C$48,CG$3&lt;=Inputs!$C$15*12),-Inputs!$E$40/12*(1+Inputs!$C$47)^(CG$5-1),0)</f>
        <v>0</v>
      </c>
      <c r="CH28" s="153">
        <f>IF(AND(CH$3&gt;=Inputs!$C$48,CH$3&lt;=Inputs!$C$15*12),-Inputs!$E$40/12*(1+Inputs!$C$47)^(CH$5-1),0)</f>
        <v>0</v>
      </c>
      <c r="CI28" s="153">
        <f>IF(AND(CI$3&gt;=Inputs!$C$48,CI$3&lt;=Inputs!$C$15*12),-Inputs!$E$40/12*(1+Inputs!$C$47)^(CI$5-1),0)</f>
        <v>0</v>
      </c>
      <c r="CJ28" s="153">
        <f>IF(AND(CJ$3&gt;=Inputs!$C$48,CJ$3&lt;=Inputs!$C$15*12),-Inputs!$E$40/12*(1+Inputs!$C$47)^(CJ$5-1),0)</f>
        <v>0</v>
      </c>
      <c r="CK28" s="153">
        <f>IF(AND(CK$3&gt;=Inputs!$C$48,CK$3&lt;=Inputs!$C$15*12),-Inputs!$E$40/12*(1+Inputs!$C$47)^(CK$5-1),0)</f>
        <v>0</v>
      </c>
      <c r="CL28" s="153">
        <f>IF(AND(CL$3&gt;=Inputs!$C$48,CL$3&lt;=Inputs!$C$15*12),-Inputs!$E$40/12*(1+Inputs!$C$47)^(CL$5-1),0)</f>
        <v>0</v>
      </c>
      <c r="CM28" s="153">
        <f>IF(AND(CM$3&gt;=Inputs!$C$48,CM$3&lt;=Inputs!$C$15*12),-Inputs!$E$40/12*(1+Inputs!$C$47)^(CM$5-1),0)</f>
        <v>0</v>
      </c>
      <c r="CN28" s="153">
        <f>IF(AND(CN$3&gt;=Inputs!$C$48,CN$3&lt;=Inputs!$C$15*12),-Inputs!$E$40/12*(1+Inputs!$C$47)^(CN$5-1),0)</f>
        <v>0</v>
      </c>
      <c r="CO28" s="153">
        <f>IF(AND(CO$3&gt;=Inputs!$C$48,CO$3&lt;=Inputs!$C$15*12),-Inputs!$E$40/12*(1+Inputs!$C$47)^(CO$5-1),0)</f>
        <v>0</v>
      </c>
      <c r="CP28" s="153">
        <f>IF(AND(CP$3&gt;=Inputs!$C$48,CP$3&lt;=Inputs!$C$15*12),-Inputs!$E$40/12*(1+Inputs!$C$47)^(CP$5-1),0)</f>
        <v>0</v>
      </c>
      <c r="CQ28" s="153">
        <f>IF(AND(CQ$3&gt;=Inputs!$C$48,CQ$3&lt;=Inputs!$C$15*12),-Inputs!$E$40/12*(1+Inputs!$C$47)^(CQ$5-1),0)</f>
        <v>0</v>
      </c>
      <c r="CR28" s="153">
        <f>IF(AND(CR$3&gt;=Inputs!$C$48,CR$3&lt;=Inputs!$C$15*12),-Inputs!$E$40/12*(1+Inputs!$C$47)^(CR$5-1),0)</f>
        <v>0</v>
      </c>
      <c r="CS28" s="153">
        <f>IF(AND(CS$3&gt;=Inputs!$C$48,CS$3&lt;=Inputs!$C$15*12),-Inputs!$E$40/12*(1+Inputs!$C$47)^(CS$5-1),0)</f>
        <v>0</v>
      </c>
      <c r="CT28" s="153">
        <f>IF(AND(CT$3&gt;=Inputs!$C$48,CT$3&lt;=Inputs!$C$15*12),-Inputs!$E$40/12*(1+Inputs!$C$47)^(CT$5-1),0)</f>
        <v>0</v>
      </c>
      <c r="CU28" s="153">
        <f>IF(AND(CU$3&gt;=Inputs!$C$48,CU$3&lt;=Inputs!$C$15*12),-Inputs!$E$40/12*(1+Inputs!$C$47)^(CU$5-1),0)</f>
        <v>0</v>
      </c>
      <c r="CV28" s="153">
        <f>IF(AND(CV$3&gt;=Inputs!$C$48,CV$3&lt;=Inputs!$C$15*12),-Inputs!$E$40/12*(1+Inputs!$C$47)^(CV$5-1),0)</f>
        <v>0</v>
      </c>
      <c r="CW28" s="153">
        <f>IF(AND(CW$3&gt;=Inputs!$C$48,CW$3&lt;=Inputs!$C$15*12),-Inputs!$E$40/12*(1+Inputs!$C$47)^(CW$5-1),0)</f>
        <v>0</v>
      </c>
      <c r="CX28" s="153">
        <f>IF(AND(CX$3&gt;=Inputs!$C$48,CX$3&lt;=Inputs!$C$15*12),-Inputs!$E$40/12*(1+Inputs!$C$47)^(CX$5-1),0)</f>
        <v>0</v>
      </c>
      <c r="CY28" s="153">
        <f>IF(AND(CY$3&gt;=Inputs!$C$48,CY$3&lt;=Inputs!$C$15*12),-Inputs!$E$40/12*(1+Inputs!$C$47)^(CY$5-1),0)</f>
        <v>0</v>
      </c>
      <c r="CZ28" s="153">
        <f>IF(AND(CZ$3&gt;=Inputs!$C$48,CZ$3&lt;=Inputs!$C$15*12),-Inputs!$E$40/12*(1+Inputs!$C$47)^(CZ$5-1),0)</f>
        <v>0</v>
      </c>
      <c r="DA28" s="153">
        <f>IF(AND(DA$3&gt;=Inputs!$C$48,DA$3&lt;=Inputs!$C$15*12),-Inputs!$E$40/12*(1+Inputs!$C$47)^(DA$5-1),0)</f>
        <v>0</v>
      </c>
      <c r="DB28" s="153">
        <f>IF(AND(DB$3&gt;=Inputs!$C$48,DB$3&lt;=Inputs!$C$15*12),-Inputs!$E$40/12*(1+Inputs!$C$47)^(DB$5-1),0)</f>
        <v>0</v>
      </c>
      <c r="DC28" s="153">
        <f>IF(AND(DC$3&gt;=Inputs!$C$48,DC$3&lt;=Inputs!$C$15*12),-Inputs!$E$40/12*(1+Inputs!$C$47)^(DC$5-1),0)</f>
        <v>0</v>
      </c>
      <c r="DD28" s="153">
        <f>IF(AND(DD$3&gt;=Inputs!$C$48,DD$3&lt;=Inputs!$C$15*12),-Inputs!$E$40/12*(1+Inputs!$C$47)^(DD$5-1),0)</f>
        <v>0</v>
      </c>
      <c r="DE28" s="153">
        <f>IF(AND(DE$3&gt;=Inputs!$C$48,DE$3&lt;=Inputs!$C$15*12),-Inputs!$E$40/12*(1+Inputs!$C$47)^(DE$5-1),0)</f>
        <v>0</v>
      </c>
      <c r="DF28" s="153">
        <f>IF(AND(DF$3&gt;=Inputs!$C$48,DF$3&lt;=Inputs!$C$15*12),-Inputs!$E$40/12*(1+Inputs!$C$47)^(DF$5-1),0)</f>
        <v>0</v>
      </c>
      <c r="DG28" s="153">
        <f>IF(AND(DG$3&gt;=Inputs!$C$48,DG$3&lt;=Inputs!$C$15*12),-Inputs!$E$40/12*(1+Inputs!$C$47)^(DG$5-1),0)</f>
        <v>0</v>
      </c>
      <c r="DH28" s="153">
        <f>IF(AND(DH$3&gt;=Inputs!$C$48,DH$3&lt;=Inputs!$C$15*12),-Inputs!$E$40/12*(1+Inputs!$C$47)^(DH$5-1),0)</f>
        <v>0</v>
      </c>
      <c r="DI28" s="153">
        <f>IF(AND(DI$3&gt;=Inputs!$C$48,DI$3&lt;=Inputs!$C$15*12),-Inputs!$E$40/12*(1+Inputs!$C$47)^(DI$5-1),0)</f>
        <v>0</v>
      </c>
      <c r="DJ28" s="153">
        <f>IF(AND(DJ$3&gt;=Inputs!$C$48,DJ$3&lt;=Inputs!$C$15*12),-Inputs!$E$40/12*(1+Inputs!$C$47)^(DJ$5-1),0)</f>
        <v>0</v>
      </c>
      <c r="DK28" s="153">
        <f>IF(AND(DK$3&gt;=Inputs!$C$48,DK$3&lt;=Inputs!$C$15*12),-Inputs!$E$40/12*(1+Inputs!$C$47)^(DK$5-1),0)</f>
        <v>0</v>
      </c>
      <c r="DL28" s="153">
        <f>IF(AND(DL$3&gt;=Inputs!$C$48,DL$3&lt;=Inputs!$C$15*12),-Inputs!$E$40/12*(1+Inputs!$C$47)^(DL$5-1),0)</f>
        <v>0</v>
      </c>
      <c r="DM28" s="153">
        <f>IF(AND(DM$3&gt;=Inputs!$C$48,DM$3&lt;=Inputs!$C$15*12),-Inputs!$E$40/12*(1+Inputs!$C$47)^(DM$5-1),0)</f>
        <v>0</v>
      </c>
      <c r="DN28" s="153">
        <f>IF(AND(DN$3&gt;=Inputs!$C$48,DN$3&lt;=Inputs!$C$15*12),-Inputs!$E$40/12*(1+Inputs!$C$47)^(DN$5-1),0)</f>
        <v>0</v>
      </c>
      <c r="DO28" s="153">
        <f>IF(AND(DO$3&gt;=Inputs!$C$48,DO$3&lt;=Inputs!$C$15*12),-Inputs!$E$40/12*(1+Inputs!$C$47)^(DO$5-1),0)</f>
        <v>0</v>
      </c>
      <c r="DP28" s="153">
        <f>IF(AND(DP$3&gt;=Inputs!$C$48,DP$3&lt;=Inputs!$C$15*12),-Inputs!$E$40/12*(1+Inputs!$C$47)^(DP$5-1),0)</f>
        <v>0</v>
      </c>
      <c r="DQ28" s="153">
        <f>IF(AND(DQ$3&gt;=Inputs!$C$48,DQ$3&lt;=Inputs!$C$15*12),-Inputs!$E$40/12*(1+Inputs!$C$47)^(DQ$5-1),0)</f>
        <v>0</v>
      </c>
      <c r="DR28" s="153">
        <f>IF(AND(DR$3&gt;=Inputs!$C$48,DR$3&lt;=Inputs!$C$15*12),-Inputs!$E$40/12*(1+Inputs!$C$47)^(DR$5-1),0)</f>
        <v>0</v>
      </c>
      <c r="DS28" s="54"/>
    </row>
    <row r="29" ht="15.0" customHeight="1">
      <c r="A29" s="54"/>
      <c r="B29" s="56" t="str">
        <f>Inputs!B41</f>
        <v>  Pest Control</v>
      </c>
      <c r="C29" s="153">
        <f>IF(AND(C$3&gt;=Inputs!$C$48,C$3&lt;=Inputs!$C$15*12),-Inputs!$E$41/12*(1+Inputs!$C$47)^(C$5-1),0)</f>
        <v>0</v>
      </c>
      <c r="D29" s="153">
        <f>IF(AND(D$3&gt;=Inputs!$C$48,D$3&lt;=Inputs!$C$15*12),-Inputs!$E$41/12*(1+Inputs!$C$47)^(D$5-1),0)</f>
        <v>0</v>
      </c>
      <c r="E29" s="153">
        <f>IF(AND(E$3&gt;=Inputs!$C$48,E$3&lt;=Inputs!$C$15*12),-Inputs!$E$41/12*(1+Inputs!$C$47)^(E$5-1),0)</f>
        <v>0</v>
      </c>
      <c r="F29" s="153">
        <f>IF(AND(F$3&gt;=Inputs!$C$48,F$3&lt;=Inputs!$C$15*12),-Inputs!$E$41/12*(1+Inputs!$C$47)^(F$5-1),0)</f>
        <v>0</v>
      </c>
      <c r="G29" s="153">
        <f>IF(AND(G$3&gt;=Inputs!$C$48,G$3&lt;=Inputs!$C$15*12),-Inputs!$E$41/12*(1+Inputs!$C$47)^(G$5-1),0)</f>
        <v>0</v>
      </c>
      <c r="H29" s="153">
        <f>IF(AND(H$3&gt;=Inputs!$C$48,H$3&lt;=Inputs!$C$15*12),-Inputs!$E$41/12*(1+Inputs!$C$47)^(H$5-1),0)</f>
        <v>0</v>
      </c>
      <c r="I29" s="153">
        <f>IF(AND(I$3&gt;=Inputs!$C$48,I$3&lt;=Inputs!$C$15*12),-Inputs!$E$41/12*(1+Inputs!$C$47)^(I$5-1),0)</f>
        <v>0</v>
      </c>
      <c r="J29" s="153">
        <f>IF(AND(J$3&gt;=Inputs!$C$48,J$3&lt;=Inputs!$C$15*12),-Inputs!$E$41/12*(1+Inputs!$C$47)^(J$5-1),0)</f>
        <v>0</v>
      </c>
      <c r="K29" s="153">
        <f>IF(AND(K$3&gt;=Inputs!$C$48,K$3&lt;=Inputs!$C$15*12),-Inputs!$E$41/12*(1+Inputs!$C$47)^(K$5-1),0)</f>
        <v>0</v>
      </c>
      <c r="L29" s="153">
        <f>IF(AND(L$3&gt;=Inputs!$C$48,L$3&lt;=Inputs!$C$15*12),-Inputs!$E$41/12*(1+Inputs!$C$47)^(L$5-1),0)</f>
        <v>0</v>
      </c>
      <c r="M29" s="153">
        <f>IF(AND(M$3&gt;=Inputs!$C$48,M$3&lt;=Inputs!$C$15*12),-Inputs!$E$41/12*(1+Inputs!$C$47)^(M$5-1),0)</f>
        <v>0</v>
      </c>
      <c r="N29" s="153">
        <f>IF(AND(N$3&gt;=Inputs!$C$48,N$3&lt;=Inputs!$C$15*12),-Inputs!$E$41/12*(1+Inputs!$C$47)^(N$5-1),0)</f>
        <v>0</v>
      </c>
      <c r="O29" s="153">
        <f>IF(AND(O$3&gt;=Inputs!$C$48,O$3&lt;=Inputs!$C$15*12),-Inputs!$E$41/12*(1+Inputs!$C$47)^(O$5-1),0)</f>
        <v>0</v>
      </c>
      <c r="P29" s="153">
        <f>IF(AND(P$3&gt;=Inputs!$C$48,P$3&lt;=Inputs!$C$15*12),-Inputs!$E$41/12*(1+Inputs!$C$47)^(P$5-1),0)</f>
        <v>0</v>
      </c>
      <c r="Q29" s="153">
        <f>IF(AND(Q$3&gt;=Inputs!$C$48,Q$3&lt;=Inputs!$C$15*12),-Inputs!$E$41/12*(1+Inputs!$C$47)^(Q$5-1),0)</f>
        <v>0</v>
      </c>
      <c r="R29" s="153">
        <f>IF(AND(R$3&gt;=Inputs!$C$48,R$3&lt;=Inputs!$C$15*12),-Inputs!$E$41/12*(1+Inputs!$C$47)^(R$5-1),0)</f>
        <v>0</v>
      </c>
      <c r="S29" s="153">
        <f>IF(AND(S$3&gt;=Inputs!$C$48,S$3&lt;=Inputs!$C$15*12),-Inputs!$E$41/12*(1+Inputs!$C$47)^(S$5-1),0)</f>
        <v>0</v>
      </c>
      <c r="T29" s="153">
        <f>IF(AND(T$3&gt;=Inputs!$C$48,T$3&lt;=Inputs!$C$15*12),-Inputs!$E$41/12*(1+Inputs!$C$47)^(T$5-1),0)</f>
        <v>0</v>
      </c>
      <c r="U29" s="153">
        <f>IF(AND(U$3&gt;=Inputs!$C$48,U$3&lt;=Inputs!$C$15*12),-Inputs!$E$41/12*(1+Inputs!$C$47)^(U$5-1),0)</f>
        <v>0</v>
      </c>
      <c r="V29" s="153">
        <f>IF(AND(V$3&gt;=Inputs!$C$48,V$3&lt;=Inputs!$C$15*12),-Inputs!$E$41/12*(1+Inputs!$C$47)^(V$5-1),0)</f>
        <v>0</v>
      </c>
      <c r="W29" s="153">
        <f>IF(AND(W$3&gt;=Inputs!$C$48,W$3&lt;=Inputs!$C$15*12),-Inputs!$E$41/12*(1+Inputs!$C$47)^(W$5-1),0)</f>
        <v>0</v>
      </c>
      <c r="X29" s="153">
        <f>IF(AND(X$3&gt;=Inputs!$C$48,X$3&lt;=Inputs!$C$15*12),-Inputs!$E$41/12*(1+Inputs!$C$47)^(X$5-1),0)</f>
        <v>0</v>
      </c>
      <c r="Y29" s="153">
        <f>IF(AND(Y$3&gt;=Inputs!$C$48,Y$3&lt;=Inputs!$C$15*12),-Inputs!$E$41/12*(1+Inputs!$C$47)^(Y$5-1),0)</f>
        <v>0</v>
      </c>
      <c r="Z29" s="153">
        <f>IF(AND(Z$3&gt;=Inputs!$C$48,Z$3&lt;=Inputs!$C$15*12),-Inputs!$E$41/12*(1+Inputs!$C$47)^(Z$5-1),0)</f>
        <v>0</v>
      </c>
      <c r="AA29" s="153">
        <f>IF(AND(AA$3&gt;=Inputs!$C$48,AA$3&lt;=Inputs!$C$15*12),-Inputs!$E$41/12*(1+Inputs!$C$47)^(AA$5-1),0)</f>
        <v>0</v>
      </c>
      <c r="AB29" s="153">
        <f>IF(AND(AB$3&gt;=Inputs!$C$48,AB$3&lt;=Inputs!$C$15*12),-Inputs!$E$41/12*(1+Inputs!$C$47)^(AB$5-1),0)</f>
        <v>0</v>
      </c>
      <c r="AC29" s="153">
        <f>IF(AND(AC$3&gt;=Inputs!$C$48,AC$3&lt;=Inputs!$C$15*12),-Inputs!$E$41/12*(1+Inputs!$C$47)^(AC$5-1),0)</f>
        <v>0</v>
      </c>
      <c r="AD29" s="153">
        <f>IF(AND(AD$3&gt;=Inputs!$C$48,AD$3&lt;=Inputs!$C$15*12),-Inputs!$E$41/12*(1+Inputs!$C$47)^(AD$5-1),0)</f>
        <v>0</v>
      </c>
      <c r="AE29" s="153">
        <f>IF(AND(AE$3&gt;=Inputs!$C$48,AE$3&lt;=Inputs!$C$15*12),-Inputs!$E$41/12*(1+Inputs!$C$47)^(AE$5-1),0)</f>
        <v>0</v>
      </c>
      <c r="AF29" s="153">
        <f>IF(AND(AF$3&gt;=Inputs!$C$48,AF$3&lt;=Inputs!$C$15*12),-Inputs!$E$41/12*(1+Inputs!$C$47)^(AF$5-1),0)</f>
        <v>0</v>
      </c>
      <c r="AG29" s="153">
        <f>IF(AND(AG$3&gt;=Inputs!$C$48,AG$3&lt;=Inputs!$C$15*12),-Inputs!$E$41/12*(1+Inputs!$C$47)^(AG$5-1),0)</f>
        <v>0</v>
      </c>
      <c r="AH29" s="153">
        <f>IF(AND(AH$3&gt;=Inputs!$C$48,AH$3&lt;=Inputs!$C$15*12),-Inputs!$E$41/12*(1+Inputs!$C$47)^(AH$5-1),0)</f>
        <v>0</v>
      </c>
      <c r="AI29" s="153">
        <f>IF(AND(AI$3&gt;=Inputs!$C$48,AI$3&lt;=Inputs!$C$15*12),-Inputs!$E$41/12*(1+Inputs!$C$47)^(AI$5-1),0)</f>
        <v>0</v>
      </c>
      <c r="AJ29" s="153">
        <f>IF(AND(AJ$3&gt;=Inputs!$C$48,AJ$3&lt;=Inputs!$C$15*12),-Inputs!$E$41/12*(1+Inputs!$C$47)^(AJ$5-1),0)</f>
        <v>0</v>
      </c>
      <c r="AK29" s="153">
        <f>IF(AND(AK$3&gt;=Inputs!$C$48,AK$3&lt;=Inputs!$C$15*12),-Inputs!$E$41/12*(1+Inputs!$C$47)^(AK$5-1),0)</f>
        <v>0</v>
      </c>
      <c r="AL29" s="153">
        <f>IF(AND(AL$3&gt;=Inputs!$C$48,AL$3&lt;=Inputs!$C$15*12),-Inputs!$E$41/12*(1+Inputs!$C$47)^(AL$5-1),0)</f>
        <v>0</v>
      </c>
      <c r="AM29" s="153">
        <f>IF(AND(AM$3&gt;=Inputs!$C$48,AM$3&lt;=Inputs!$C$15*12),-Inputs!$E$41/12*(1+Inputs!$C$47)^(AM$5-1),0)</f>
        <v>0</v>
      </c>
      <c r="AN29" s="153">
        <f>IF(AND(AN$3&gt;=Inputs!$C$48,AN$3&lt;=Inputs!$C$15*12),-Inputs!$E$41/12*(1+Inputs!$C$47)^(AN$5-1),0)</f>
        <v>0</v>
      </c>
      <c r="AO29" s="153">
        <f>IF(AND(AO$3&gt;=Inputs!$C$48,AO$3&lt;=Inputs!$C$15*12),-Inputs!$E$41/12*(1+Inputs!$C$47)^(AO$5-1),0)</f>
        <v>0</v>
      </c>
      <c r="AP29" s="153">
        <f>IF(AND(AP$3&gt;=Inputs!$C$48,AP$3&lt;=Inputs!$C$15*12),-Inputs!$E$41/12*(1+Inputs!$C$47)^(AP$5-1),0)</f>
        <v>0</v>
      </c>
      <c r="AQ29" s="153">
        <f>IF(AND(AQ$3&gt;=Inputs!$C$48,AQ$3&lt;=Inputs!$C$15*12),-Inputs!$E$41/12*(1+Inputs!$C$47)^(AQ$5-1),0)</f>
        <v>0</v>
      </c>
      <c r="AR29" s="153">
        <f>IF(AND(AR$3&gt;=Inputs!$C$48,AR$3&lt;=Inputs!$C$15*12),-Inputs!$E$41/12*(1+Inputs!$C$47)^(AR$5-1),0)</f>
        <v>0</v>
      </c>
      <c r="AS29" s="153">
        <f>IF(AND(AS$3&gt;=Inputs!$C$48,AS$3&lt;=Inputs!$C$15*12),-Inputs!$E$41/12*(1+Inputs!$C$47)^(AS$5-1),0)</f>
        <v>0</v>
      </c>
      <c r="AT29" s="153">
        <f>IF(AND(AT$3&gt;=Inputs!$C$48,AT$3&lt;=Inputs!$C$15*12),-Inputs!$E$41/12*(1+Inputs!$C$47)^(AT$5-1),0)</f>
        <v>0</v>
      </c>
      <c r="AU29" s="153">
        <f>IF(AND(AU$3&gt;=Inputs!$C$48,AU$3&lt;=Inputs!$C$15*12),-Inputs!$E$41/12*(1+Inputs!$C$47)^(AU$5-1),0)</f>
        <v>0</v>
      </c>
      <c r="AV29" s="153">
        <f>IF(AND(AV$3&gt;=Inputs!$C$48,AV$3&lt;=Inputs!$C$15*12),-Inputs!$E$41/12*(1+Inputs!$C$47)^(AV$5-1),0)</f>
        <v>0</v>
      </c>
      <c r="AW29" s="153">
        <f>IF(AND(AW$3&gt;=Inputs!$C$48,AW$3&lt;=Inputs!$C$15*12),-Inputs!$E$41/12*(1+Inputs!$C$47)^(AW$5-1),0)</f>
        <v>0</v>
      </c>
      <c r="AX29" s="153">
        <f>IF(AND(AX$3&gt;=Inputs!$C$48,AX$3&lt;=Inputs!$C$15*12),-Inputs!$E$41/12*(1+Inputs!$C$47)^(AX$5-1),0)</f>
        <v>0</v>
      </c>
      <c r="AY29" s="153">
        <f>IF(AND(AY$3&gt;=Inputs!$C$48,AY$3&lt;=Inputs!$C$15*12),-Inputs!$E$41/12*(1+Inputs!$C$47)^(AY$5-1),0)</f>
        <v>0</v>
      </c>
      <c r="AZ29" s="153">
        <f>IF(AND(AZ$3&gt;=Inputs!$C$48,AZ$3&lt;=Inputs!$C$15*12),-Inputs!$E$41/12*(1+Inputs!$C$47)^(AZ$5-1),0)</f>
        <v>0</v>
      </c>
      <c r="BA29" s="153">
        <f>IF(AND(BA$3&gt;=Inputs!$C$48,BA$3&lt;=Inputs!$C$15*12),-Inputs!$E$41/12*(1+Inputs!$C$47)^(BA$5-1),0)</f>
        <v>0</v>
      </c>
      <c r="BB29" s="153">
        <f>IF(AND(BB$3&gt;=Inputs!$C$48,BB$3&lt;=Inputs!$C$15*12),-Inputs!$E$41/12*(1+Inputs!$C$47)^(BB$5-1),0)</f>
        <v>0</v>
      </c>
      <c r="BC29" s="153">
        <f>IF(AND(BC$3&gt;=Inputs!$C$48,BC$3&lt;=Inputs!$C$15*12),-Inputs!$E$41/12*(1+Inputs!$C$47)^(BC$5-1),0)</f>
        <v>0</v>
      </c>
      <c r="BD29" s="153">
        <f>IF(AND(BD$3&gt;=Inputs!$C$48,BD$3&lt;=Inputs!$C$15*12),-Inputs!$E$41/12*(1+Inputs!$C$47)^(BD$5-1),0)</f>
        <v>0</v>
      </c>
      <c r="BE29" s="153">
        <f>IF(AND(BE$3&gt;=Inputs!$C$48,BE$3&lt;=Inputs!$C$15*12),-Inputs!$E$41/12*(1+Inputs!$C$47)^(BE$5-1),0)</f>
        <v>0</v>
      </c>
      <c r="BF29" s="153">
        <f>IF(AND(BF$3&gt;=Inputs!$C$48,BF$3&lt;=Inputs!$C$15*12),-Inputs!$E$41/12*(1+Inputs!$C$47)^(BF$5-1),0)</f>
        <v>0</v>
      </c>
      <c r="BG29" s="153">
        <f>IF(AND(BG$3&gt;=Inputs!$C$48,BG$3&lt;=Inputs!$C$15*12),-Inputs!$E$41/12*(1+Inputs!$C$47)^(BG$5-1),0)</f>
        <v>0</v>
      </c>
      <c r="BH29" s="153">
        <f>IF(AND(BH$3&gt;=Inputs!$C$48,BH$3&lt;=Inputs!$C$15*12),-Inputs!$E$41/12*(1+Inputs!$C$47)^(BH$5-1),0)</f>
        <v>0</v>
      </c>
      <c r="BI29" s="153">
        <f>IF(AND(BI$3&gt;=Inputs!$C$48,BI$3&lt;=Inputs!$C$15*12),-Inputs!$E$41/12*(1+Inputs!$C$47)^(BI$5-1),0)</f>
        <v>0</v>
      </c>
      <c r="BJ29" s="153">
        <f>IF(AND(BJ$3&gt;=Inputs!$C$48,BJ$3&lt;=Inputs!$C$15*12),-Inputs!$E$41/12*(1+Inputs!$C$47)^(BJ$5-1),0)</f>
        <v>0</v>
      </c>
      <c r="BK29" s="153">
        <f>IF(AND(BK$3&gt;=Inputs!$C$48,BK$3&lt;=Inputs!$C$15*12),-Inputs!$E$41/12*(1+Inputs!$C$47)^(BK$5-1),0)</f>
        <v>0</v>
      </c>
      <c r="BL29" s="153">
        <f>IF(AND(BL$3&gt;=Inputs!$C$48,BL$3&lt;=Inputs!$C$15*12),-Inputs!$E$41/12*(1+Inputs!$C$47)^(BL$5-1),0)</f>
        <v>0</v>
      </c>
      <c r="BM29" s="153">
        <f>IF(AND(BM$3&gt;=Inputs!$C$48,BM$3&lt;=Inputs!$C$15*12),-Inputs!$E$41/12*(1+Inputs!$C$47)^(BM$5-1),0)</f>
        <v>0</v>
      </c>
      <c r="BN29" s="153">
        <f>IF(AND(BN$3&gt;=Inputs!$C$48,BN$3&lt;=Inputs!$C$15*12),-Inputs!$E$41/12*(1+Inputs!$C$47)^(BN$5-1),0)</f>
        <v>0</v>
      </c>
      <c r="BO29" s="153">
        <f>IF(AND(BO$3&gt;=Inputs!$C$48,BO$3&lt;=Inputs!$C$15*12),-Inputs!$E$41/12*(1+Inputs!$C$47)^(BO$5-1),0)</f>
        <v>0</v>
      </c>
      <c r="BP29" s="153">
        <f>IF(AND(BP$3&gt;=Inputs!$C$48,BP$3&lt;=Inputs!$C$15*12),-Inputs!$E$41/12*(1+Inputs!$C$47)^(BP$5-1),0)</f>
        <v>0</v>
      </c>
      <c r="BQ29" s="153">
        <f>IF(AND(BQ$3&gt;=Inputs!$C$48,BQ$3&lt;=Inputs!$C$15*12),-Inputs!$E$41/12*(1+Inputs!$C$47)^(BQ$5-1),0)</f>
        <v>0</v>
      </c>
      <c r="BR29" s="153">
        <f>IF(AND(BR$3&gt;=Inputs!$C$48,BR$3&lt;=Inputs!$C$15*12),-Inputs!$E$41/12*(1+Inputs!$C$47)^(BR$5-1),0)</f>
        <v>0</v>
      </c>
      <c r="BS29" s="153">
        <f>IF(AND(BS$3&gt;=Inputs!$C$48,BS$3&lt;=Inputs!$C$15*12),-Inputs!$E$41/12*(1+Inputs!$C$47)^(BS$5-1),0)</f>
        <v>0</v>
      </c>
      <c r="BT29" s="153">
        <f>IF(AND(BT$3&gt;=Inputs!$C$48,BT$3&lt;=Inputs!$C$15*12),-Inputs!$E$41/12*(1+Inputs!$C$47)^(BT$5-1),0)</f>
        <v>0</v>
      </c>
      <c r="BU29" s="153">
        <f>IF(AND(BU$3&gt;=Inputs!$C$48,BU$3&lt;=Inputs!$C$15*12),-Inputs!$E$41/12*(1+Inputs!$C$47)^(BU$5-1),0)</f>
        <v>0</v>
      </c>
      <c r="BV29" s="153">
        <f>IF(AND(BV$3&gt;=Inputs!$C$48,BV$3&lt;=Inputs!$C$15*12),-Inputs!$E$41/12*(1+Inputs!$C$47)^(BV$5-1),0)</f>
        <v>0</v>
      </c>
      <c r="BW29" s="153">
        <f>IF(AND(BW$3&gt;=Inputs!$C$48,BW$3&lt;=Inputs!$C$15*12),-Inputs!$E$41/12*(1+Inputs!$C$47)^(BW$5-1),0)</f>
        <v>0</v>
      </c>
      <c r="BX29" s="153">
        <f>IF(AND(BX$3&gt;=Inputs!$C$48,BX$3&lt;=Inputs!$C$15*12),-Inputs!$E$41/12*(1+Inputs!$C$47)^(BX$5-1),0)</f>
        <v>0</v>
      </c>
      <c r="BY29" s="153">
        <f>IF(AND(BY$3&gt;=Inputs!$C$48,BY$3&lt;=Inputs!$C$15*12),-Inputs!$E$41/12*(1+Inputs!$C$47)^(BY$5-1),0)</f>
        <v>0</v>
      </c>
      <c r="BZ29" s="153">
        <f>IF(AND(BZ$3&gt;=Inputs!$C$48,BZ$3&lt;=Inputs!$C$15*12),-Inputs!$E$41/12*(1+Inputs!$C$47)^(BZ$5-1),0)</f>
        <v>0</v>
      </c>
      <c r="CA29" s="153">
        <f>IF(AND(CA$3&gt;=Inputs!$C$48,CA$3&lt;=Inputs!$C$15*12),-Inputs!$E$41/12*(1+Inputs!$C$47)^(CA$5-1),0)</f>
        <v>0</v>
      </c>
      <c r="CB29" s="153">
        <f>IF(AND(CB$3&gt;=Inputs!$C$48,CB$3&lt;=Inputs!$C$15*12),-Inputs!$E$41/12*(1+Inputs!$C$47)^(CB$5-1),0)</f>
        <v>0</v>
      </c>
      <c r="CC29" s="153">
        <f>IF(AND(CC$3&gt;=Inputs!$C$48,CC$3&lt;=Inputs!$C$15*12),-Inputs!$E$41/12*(1+Inputs!$C$47)^(CC$5-1),0)</f>
        <v>0</v>
      </c>
      <c r="CD29" s="153">
        <f>IF(AND(CD$3&gt;=Inputs!$C$48,CD$3&lt;=Inputs!$C$15*12),-Inputs!$E$41/12*(1+Inputs!$C$47)^(CD$5-1),0)</f>
        <v>0</v>
      </c>
      <c r="CE29" s="153">
        <f>IF(AND(CE$3&gt;=Inputs!$C$48,CE$3&lt;=Inputs!$C$15*12),-Inputs!$E$41/12*(1+Inputs!$C$47)^(CE$5-1),0)</f>
        <v>0</v>
      </c>
      <c r="CF29" s="153">
        <f>IF(AND(CF$3&gt;=Inputs!$C$48,CF$3&lt;=Inputs!$C$15*12),-Inputs!$E$41/12*(1+Inputs!$C$47)^(CF$5-1),0)</f>
        <v>0</v>
      </c>
      <c r="CG29" s="153">
        <f>IF(AND(CG$3&gt;=Inputs!$C$48,CG$3&lt;=Inputs!$C$15*12),-Inputs!$E$41/12*(1+Inputs!$C$47)^(CG$5-1),0)</f>
        <v>0</v>
      </c>
      <c r="CH29" s="153">
        <f>IF(AND(CH$3&gt;=Inputs!$C$48,CH$3&lt;=Inputs!$C$15*12),-Inputs!$E$41/12*(1+Inputs!$C$47)^(CH$5-1),0)</f>
        <v>0</v>
      </c>
      <c r="CI29" s="153">
        <f>IF(AND(CI$3&gt;=Inputs!$C$48,CI$3&lt;=Inputs!$C$15*12),-Inputs!$E$41/12*(1+Inputs!$C$47)^(CI$5-1),0)</f>
        <v>0</v>
      </c>
      <c r="CJ29" s="153">
        <f>IF(AND(CJ$3&gt;=Inputs!$C$48,CJ$3&lt;=Inputs!$C$15*12),-Inputs!$E$41/12*(1+Inputs!$C$47)^(CJ$5-1),0)</f>
        <v>0</v>
      </c>
      <c r="CK29" s="153">
        <f>IF(AND(CK$3&gt;=Inputs!$C$48,CK$3&lt;=Inputs!$C$15*12),-Inputs!$E$41/12*(1+Inputs!$C$47)^(CK$5-1),0)</f>
        <v>0</v>
      </c>
      <c r="CL29" s="153">
        <f>IF(AND(CL$3&gt;=Inputs!$C$48,CL$3&lt;=Inputs!$C$15*12),-Inputs!$E$41/12*(1+Inputs!$C$47)^(CL$5-1),0)</f>
        <v>0</v>
      </c>
      <c r="CM29" s="153">
        <f>IF(AND(CM$3&gt;=Inputs!$C$48,CM$3&lt;=Inputs!$C$15*12),-Inputs!$E$41/12*(1+Inputs!$C$47)^(CM$5-1),0)</f>
        <v>0</v>
      </c>
      <c r="CN29" s="153">
        <f>IF(AND(CN$3&gt;=Inputs!$C$48,CN$3&lt;=Inputs!$C$15*12),-Inputs!$E$41/12*(1+Inputs!$C$47)^(CN$5-1),0)</f>
        <v>0</v>
      </c>
      <c r="CO29" s="153">
        <f>IF(AND(CO$3&gt;=Inputs!$C$48,CO$3&lt;=Inputs!$C$15*12),-Inputs!$E$41/12*(1+Inputs!$C$47)^(CO$5-1),0)</f>
        <v>0</v>
      </c>
      <c r="CP29" s="153">
        <f>IF(AND(CP$3&gt;=Inputs!$C$48,CP$3&lt;=Inputs!$C$15*12),-Inputs!$E$41/12*(1+Inputs!$C$47)^(CP$5-1),0)</f>
        <v>0</v>
      </c>
      <c r="CQ29" s="153">
        <f>IF(AND(CQ$3&gt;=Inputs!$C$48,CQ$3&lt;=Inputs!$C$15*12),-Inputs!$E$41/12*(1+Inputs!$C$47)^(CQ$5-1),0)</f>
        <v>0</v>
      </c>
      <c r="CR29" s="153">
        <f>IF(AND(CR$3&gt;=Inputs!$C$48,CR$3&lt;=Inputs!$C$15*12),-Inputs!$E$41/12*(1+Inputs!$C$47)^(CR$5-1),0)</f>
        <v>0</v>
      </c>
      <c r="CS29" s="153">
        <f>IF(AND(CS$3&gt;=Inputs!$C$48,CS$3&lt;=Inputs!$C$15*12),-Inputs!$E$41/12*(1+Inputs!$C$47)^(CS$5-1),0)</f>
        <v>0</v>
      </c>
      <c r="CT29" s="153">
        <f>IF(AND(CT$3&gt;=Inputs!$C$48,CT$3&lt;=Inputs!$C$15*12),-Inputs!$E$41/12*(1+Inputs!$C$47)^(CT$5-1),0)</f>
        <v>0</v>
      </c>
      <c r="CU29" s="153">
        <f>IF(AND(CU$3&gt;=Inputs!$C$48,CU$3&lt;=Inputs!$C$15*12),-Inputs!$E$41/12*(1+Inputs!$C$47)^(CU$5-1),0)</f>
        <v>0</v>
      </c>
      <c r="CV29" s="153">
        <f>IF(AND(CV$3&gt;=Inputs!$C$48,CV$3&lt;=Inputs!$C$15*12),-Inputs!$E$41/12*(1+Inputs!$C$47)^(CV$5-1),0)</f>
        <v>0</v>
      </c>
      <c r="CW29" s="153">
        <f>IF(AND(CW$3&gt;=Inputs!$C$48,CW$3&lt;=Inputs!$C$15*12),-Inputs!$E$41/12*(1+Inputs!$C$47)^(CW$5-1),0)</f>
        <v>0</v>
      </c>
      <c r="CX29" s="153">
        <f>IF(AND(CX$3&gt;=Inputs!$C$48,CX$3&lt;=Inputs!$C$15*12),-Inputs!$E$41/12*(1+Inputs!$C$47)^(CX$5-1),0)</f>
        <v>0</v>
      </c>
      <c r="CY29" s="153">
        <f>IF(AND(CY$3&gt;=Inputs!$C$48,CY$3&lt;=Inputs!$C$15*12),-Inputs!$E$41/12*(1+Inputs!$C$47)^(CY$5-1),0)</f>
        <v>0</v>
      </c>
      <c r="CZ29" s="153">
        <f>IF(AND(CZ$3&gt;=Inputs!$C$48,CZ$3&lt;=Inputs!$C$15*12),-Inputs!$E$41/12*(1+Inputs!$C$47)^(CZ$5-1),0)</f>
        <v>0</v>
      </c>
      <c r="DA29" s="153">
        <f>IF(AND(DA$3&gt;=Inputs!$C$48,DA$3&lt;=Inputs!$C$15*12),-Inputs!$E$41/12*(1+Inputs!$C$47)^(DA$5-1),0)</f>
        <v>0</v>
      </c>
      <c r="DB29" s="153">
        <f>IF(AND(DB$3&gt;=Inputs!$C$48,DB$3&lt;=Inputs!$C$15*12),-Inputs!$E$41/12*(1+Inputs!$C$47)^(DB$5-1),0)</f>
        <v>0</v>
      </c>
      <c r="DC29" s="153">
        <f>IF(AND(DC$3&gt;=Inputs!$C$48,DC$3&lt;=Inputs!$C$15*12),-Inputs!$E$41/12*(1+Inputs!$C$47)^(DC$5-1),0)</f>
        <v>0</v>
      </c>
      <c r="DD29" s="153">
        <f>IF(AND(DD$3&gt;=Inputs!$C$48,DD$3&lt;=Inputs!$C$15*12),-Inputs!$E$41/12*(1+Inputs!$C$47)^(DD$5-1),0)</f>
        <v>0</v>
      </c>
      <c r="DE29" s="153">
        <f>IF(AND(DE$3&gt;=Inputs!$C$48,DE$3&lt;=Inputs!$C$15*12),-Inputs!$E$41/12*(1+Inputs!$C$47)^(DE$5-1),0)</f>
        <v>0</v>
      </c>
      <c r="DF29" s="153">
        <f>IF(AND(DF$3&gt;=Inputs!$C$48,DF$3&lt;=Inputs!$C$15*12),-Inputs!$E$41/12*(1+Inputs!$C$47)^(DF$5-1),0)</f>
        <v>0</v>
      </c>
      <c r="DG29" s="153">
        <f>IF(AND(DG$3&gt;=Inputs!$C$48,DG$3&lt;=Inputs!$C$15*12),-Inputs!$E$41/12*(1+Inputs!$C$47)^(DG$5-1),0)</f>
        <v>0</v>
      </c>
      <c r="DH29" s="153">
        <f>IF(AND(DH$3&gt;=Inputs!$C$48,DH$3&lt;=Inputs!$C$15*12),-Inputs!$E$41/12*(1+Inputs!$C$47)^(DH$5-1),0)</f>
        <v>0</v>
      </c>
      <c r="DI29" s="153">
        <f>IF(AND(DI$3&gt;=Inputs!$C$48,DI$3&lt;=Inputs!$C$15*12),-Inputs!$E$41/12*(1+Inputs!$C$47)^(DI$5-1),0)</f>
        <v>0</v>
      </c>
      <c r="DJ29" s="153">
        <f>IF(AND(DJ$3&gt;=Inputs!$C$48,DJ$3&lt;=Inputs!$C$15*12),-Inputs!$E$41/12*(1+Inputs!$C$47)^(DJ$5-1),0)</f>
        <v>0</v>
      </c>
      <c r="DK29" s="153">
        <f>IF(AND(DK$3&gt;=Inputs!$C$48,DK$3&lt;=Inputs!$C$15*12),-Inputs!$E$41/12*(1+Inputs!$C$47)^(DK$5-1),0)</f>
        <v>0</v>
      </c>
      <c r="DL29" s="153">
        <f>IF(AND(DL$3&gt;=Inputs!$C$48,DL$3&lt;=Inputs!$C$15*12),-Inputs!$E$41/12*(1+Inputs!$C$47)^(DL$5-1),0)</f>
        <v>0</v>
      </c>
      <c r="DM29" s="153">
        <f>IF(AND(DM$3&gt;=Inputs!$C$48,DM$3&lt;=Inputs!$C$15*12),-Inputs!$E$41/12*(1+Inputs!$C$47)^(DM$5-1),0)</f>
        <v>0</v>
      </c>
      <c r="DN29" s="153">
        <f>IF(AND(DN$3&gt;=Inputs!$C$48,DN$3&lt;=Inputs!$C$15*12),-Inputs!$E$41/12*(1+Inputs!$C$47)^(DN$5-1),0)</f>
        <v>0</v>
      </c>
      <c r="DO29" s="153">
        <f>IF(AND(DO$3&gt;=Inputs!$C$48,DO$3&lt;=Inputs!$C$15*12),-Inputs!$E$41/12*(1+Inputs!$C$47)^(DO$5-1),0)</f>
        <v>0</v>
      </c>
      <c r="DP29" s="153">
        <f>IF(AND(DP$3&gt;=Inputs!$C$48,DP$3&lt;=Inputs!$C$15*12),-Inputs!$E$41/12*(1+Inputs!$C$47)^(DP$5-1),0)</f>
        <v>0</v>
      </c>
      <c r="DQ29" s="153">
        <f>IF(AND(DQ$3&gt;=Inputs!$C$48,DQ$3&lt;=Inputs!$C$15*12),-Inputs!$E$41/12*(1+Inputs!$C$47)^(DQ$5-1),0)</f>
        <v>0</v>
      </c>
      <c r="DR29" s="153">
        <f>IF(AND(DR$3&gt;=Inputs!$C$48,DR$3&lt;=Inputs!$C$15*12),-Inputs!$E$41/12*(1+Inputs!$C$47)^(DR$5-1),0)</f>
        <v>0</v>
      </c>
      <c r="DS29" s="54"/>
    </row>
    <row r="30" ht="15.0" customHeight="1">
      <c r="A30" s="54"/>
      <c r="B30" s="56" t="str">
        <f>Inputs!B42</f>
        <v>  Security / Access Control</v>
      </c>
      <c r="C30" s="153">
        <f>IF(AND(C$3&gt;=Inputs!$C$48,C$3&lt;=Inputs!$C$15*12),-Inputs!$E$42/12*(1+Inputs!$C$47)^(C$5-1),0)</f>
        <v>0</v>
      </c>
      <c r="D30" s="153">
        <f>IF(AND(D$3&gt;=Inputs!$C$48,D$3&lt;=Inputs!$C$15*12),-Inputs!$E$42/12*(1+Inputs!$C$47)^(D$5-1),0)</f>
        <v>0</v>
      </c>
      <c r="E30" s="153">
        <f>IF(AND(E$3&gt;=Inputs!$C$48,E$3&lt;=Inputs!$C$15*12),-Inputs!$E$42/12*(1+Inputs!$C$47)^(E$5-1),0)</f>
        <v>0</v>
      </c>
      <c r="F30" s="153">
        <f>IF(AND(F$3&gt;=Inputs!$C$48,F$3&lt;=Inputs!$C$15*12),-Inputs!$E$42/12*(1+Inputs!$C$47)^(F$5-1),0)</f>
        <v>0</v>
      </c>
      <c r="G30" s="153">
        <f>IF(AND(G$3&gt;=Inputs!$C$48,G$3&lt;=Inputs!$C$15*12),-Inputs!$E$42/12*(1+Inputs!$C$47)^(G$5-1),0)</f>
        <v>0</v>
      </c>
      <c r="H30" s="153">
        <f>IF(AND(H$3&gt;=Inputs!$C$48,H$3&lt;=Inputs!$C$15*12),-Inputs!$E$42/12*(1+Inputs!$C$47)^(H$5-1),0)</f>
        <v>0</v>
      </c>
      <c r="I30" s="153">
        <f>IF(AND(I$3&gt;=Inputs!$C$48,I$3&lt;=Inputs!$C$15*12),-Inputs!$E$42/12*(1+Inputs!$C$47)^(I$5-1),0)</f>
        <v>0</v>
      </c>
      <c r="J30" s="153">
        <f>IF(AND(J$3&gt;=Inputs!$C$48,J$3&lt;=Inputs!$C$15*12),-Inputs!$E$42/12*(1+Inputs!$C$47)^(J$5-1),0)</f>
        <v>0</v>
      </c>
      <c r="K30" s="153">
        <f>IF(AND(K$3&gt;=Inputs!$C$48,K$3&lt;=Inputs!$C$15*12),-Inputs!$E$42/12*(1+Inputs!$C$47)^(K$5-1),0)</f>
        <v>0</v>
      </c>
      <c r="L30" s="153">
        <f>IF(AND(L$3&gt;=Inputs!$C$48,L$3&lt;=Inputs!$C$15*12),-Inputs!$E$42/12*(1+Inputs!$C$47)^(L$5-1),0)</f>
        <v>0</v>
      </c>
      <c r="M30" s="153">
        <f>IF(AND(M$3&gt;=Inputs!$C$48,M$3&lt;=Inputs!$C$15*12),-Inputs!$E$42/12*(1+Inputs!$C$47)^(M$5-1),0)</f>
        <v>0</v>
      </c>
      <c r="N30" s="153">
        <f>IF(AND(N$3&gt;=Inputs!$C$48,N$3&lt;=Inputs!$C$15*12),-Inputs!$E$42/12*(1+Inputs!$C$47)^(N$5-1),0)</f>
        <v>0</v>
      </c>
      <c r="O30" s="153">
        <f>IF(AND(O$3&gt;=Inputs!$C$48,O$3&lt;=Inputs!$C$15*12),-Inputs!$E$42/12*(1+Inputs!$C$47)^(O$5-1),0)</f>
        <v>0</v>
      </c>
      <c r="P30" s="153">
        <f>IF(AND(P$3&gt;=Inputs!$C$48,P$3&lt;=Inputs!$C$15*12),-Inputs!$E$42/12*(1+Inputs!$C$47)^(P$5-1),0)</f>
        <v>0</v>
      </c>
      <c r="Q30" s="153">
        <f>IF(AND(Q$3&gt;=Inputs!$C$48,Q$3&lt;=Inputs!$C$15*12),-Inputs!$E$42/12*(1+Inputs!$C$47)^(Q$5-1),0)</f>
        <v>0</v>
      </c>
      <c r="R30" s="153">
        <f>IF(AND(R$3&gt;=Inputs!$C$48,R$3&lt;=Inputs!$C$15*12),-Inputs!$E$42/12*(1+Inputs!$C$47)^(R$5-1),0)</f>
        <v>0</v>
      </c>
      <c r="S30" s="153">
        <f>IF(AND(S$3&gt;=Inputs!$C$48,S$3&lt;=Inputs!$C$15*12),-Inputs!$E$42/12*(1+Inputs!$C$47)^(S$5-1),0)</f>
        <v>0</v>
      </c>
      <c r="T30" s="153">
        <f>IF(AND(T$3&gt;=Inputs!$C$48,T$3&lt;=Inputs!$C$15*12),-Inputs!$E$42/12*(1+Inputs!$C$47)^(T$5-1),0)</f>
        <v>0</v>
      </c>
      <c r="U30" s="153">
        <f>IF(AND(U$3&gt;=Inputs!$C$48,U$3&lt;=Inputs!$C$15*12),-Inputs!$E$42/12*(1+Inputs!$C$47)^(U$5-1),0)</f>
        <v>0</v>
      </c>
      <c r="V30" s="153">
        <f>IF(AND(V$3&gt;=Inputs!$C$48,V$3&lt;=Inputs!$C$15*12),-Inputs!$E$42/12*(1+Inputs!$C$47)^(V$5-1),0)</f>
        <v>0</v>
      </c>
      <c r="W30" s="153">
        <f>IF(AND(W$3&gt;=Inputs!$C$48,W$3&lt;=Inputs!$C$15*12),-Inputs!$E$42/12*(1+Inputs!$C$47)^(W$5-1),0)</f>
        <v>0</v>
      </c>
      <c r="X30" s="153">
        <f>IF(AND(X$3&gt;=Inputs!$C$48,X$3&lt;=Inputs!$C$15*12),-Inputs!$E$42/12*(1+Inputs!$C$47)^(X$5-1),0)</f>
        <v>0</v>
      </c>
      <c r="Y30" s="153">
        <f>IF(AND(Y$3&gt;=Inputs!$C$48,Y$3&lt;=Inputs!$C$15*12),-Inputs!$E$42/12*(1+Inputs!$C$47)^(Y$5-1),0)</f>
        <v>0</v>
      </c>
      <c r="Z30" s="153">
        <f>IF(AND(Z$3&gt;=Inputs!$C$48,Z$3&lt;=Inputs!$C$15*12),-Inputs!$E$42/12*(1+Inputs!$C$47)^(Z$5-1),0)</f>
        <v>0</v>
      </c>
      <c r="AA30" s="153">
        <f>IF(AND(AA$3&gt;=Inputs!$C$48,AA$3&lt;=Inputs!$C$15*12),-Inputs!$E$42/12*(1+Inputs!$C$47)^(AA$5-1),0)</f>
        <v>0</v>
      </c>
      <c r="AB30" s="153">
        <f>IF(AND(AB$3&gt;=Inputs!$C$48,AB$3&lt;=Inputs!$C$15*12),-Inputs!$E$42/12*(1+Inputs!$C$47)^(AB$5-1),0)</f>
        <v>0</v>
      </c>
      <c r="AC30" s="153">
        <f>IF(AND(AC$3&gt;=Inputs!$C$48,AC$3&lt;=Inputs!$C$15*12),-Inputs!$E$42/12*(1+Inputs!$C$47)^(AC$5-1),0)</f>
        <v>0</v>
      </c>
      <c r="AD30" s="153">
        <f>IF(AND(AD$3&gt;=Inputs!$C$48,AD$3&lt;=Inputs!$C$15*12),-Inputs!$E$42/12*(1+Inputs!$C$47)^(AD$5-1),0)</f>
        <v>0</v>
      </c>
      <c r="AE30" s="153">
        <f>IF(AND(AE$3&gt;=Inputs!$C$48,AE$3&lt;=Inputs!$C$15*12),-Inputs!$E$42/12*(1+Inputs!$C$47)^(AE$5-1),0)</f>
        <v>0</v>
      </c>
      <c r="AF30" s="153">
        <f>IF(AND(AF$3&gt;=Inputs!$C$48,AF$3&lt;=Inputs!$C$15*12),-Inputs!$E$42/12*(1+Inputs!$C$47)^(AF$5-1),0)</f>
        <v>0</v>
      </c>
      <c r="AG30" s="153">
        <f>IF(AND(AG$3&gt;=Inputs!$C$48,AG$3&lt;=Inputs!$C$15*12),-Inputs!$E$42/12*(1+Inputs!$C$47)^(AG$5-1),0)</f>
        <v>0</v>
      </c>
      <c r="AH30" s="153">
        <f>IF(AND(AH$3&gt;=Inputs!$C$48,AH$3&lt;=Inputs!$C$15*12),-Inputs!$E$42/12*(1+Inputs!$C$47)^(AH$5-1),0)</f>
        <v>0</v>
      </c>
      <c r="AI30" s="153">
        <f>IF(AND(AI$3&gt;=Inputs!$C$48,AI$3&lt;=Inputs!$C$15*12),-Inputs!$E$42/12*(1+Inputs!$C$47)^(AI$5-1),0)</f>
        <v>0</v>
      </c>
      <c r="AJ30" s="153">
        <f>IF(AND(AJ$3&gt;=Inputs!$C$48,AJ$3&lt;=Inputs!$C$15*12),-Inputs!$E$42/12*(1+Inputs!$C$47)^(AJ$5-1),0)</f>
        <v>0</v>
      </c>
      <c r="AK30" s="153">
        <f>IF(AND(AK$3&gt;=Inputs!$C$48,AK$3&lt;=Inputs!$C$15*12),-Inputs!$E$42/12*(1+Inputs!$C$47)^(AK$5-1),0)</f>
        <v>0</v>
      </c>
      <c r="AL30" s="153">
        <f>IF(AND(AL$3&gt;=Inputs!$C$48,AL$3&lt;=Inputs!$C$15*12),-Inputs!$E$42/12*(1+Inputs!$C$47)^(AL$5-1),0)</f>
        <v>0</v>
      </c>
      <c r="AM30" s="153">
        <f>IF(AND(AM$3&gt;=Inputs!$C$48,AM$3&lt;=Inputs!$C$15*12),-Inputs!$E$42/12*(1+Inputs!$C$47)^(AM$5-1),0)</f>
        <v>0</v>
      </c>
      <c r="AN30" s="153">
        <f>IF(AND(AN$3&gt;=Inputs!$C$48,AN$3&lt;=Inputs!$C$15*12),-Inputs!$E$42/12*(1+Inputs!$C$47)^(AN$5-1),0)</f>
        <v>0</v>
      </c>
      <c r="AO30" s="153">
        <f>IF(AND(AO$3&gt;=Inputs!$C$48,AO$3&lt;=Inputs!$C$15*12),-Inputs!$E$42/12*(1+Inputs!$C$47)^(AO$5-1),0)</f>
        <v>0</v>
      </c>
      <c r="AP30" s="153">
        <f>IF(AND(AP$3&gt;=Inputs!$C$48,AP$3&lt;=Inputs!$C$15*12),-Inputs!$E$42/12*(1+Inputs!$C$47)^(AP$5-1),0)</f>
        <v>0</v>
      </c>
      <c r="AQ30" s="153">
        <f>IF(AND(AQ$3&gt;=Inputs!$C$48,AQ$3&lt;=Inputs!$C$15*12),-Inputs!$E$42/12*(1+Inputs!$C$47)^(AQ$5-1),0)</f>
        <v>0</v>
      </c>
      <c r="AR30" s="153">
        <f>IF(AND(AR$3&gt;=Inputs!$C$48,AR$3&lt;=Inputs!$C$15*12),-Inputs!$E$42/12*(1+Inputs!$C$47)^(AR$5-1),0)</f>
        <v>0</v>
      </c>
      <c r="AS30" s="153">
        <f>IF(AND(AS$3&gt;=Inputs!$C$48,AS$3&lt;=Inputs!$C$15*12),-Inputs!$E$42/12*(1+Inputs!$C$47)^(AS$5-1),0)</f>
        <v>0</v>
      </c>
      <c r="AT30" s="153">
        <f>IF(AND(AT$3&gt;=Inputs!$C$48,AT$3&lt;=Inputs!$C$15*12),-Inputs!$E$42/12*(1+Inputs!$C$47)^(AT$5-1),0)</f>
        <v>0</v>
      </c>
      <c r="AU30" s="153">
        <f>IF(AND(AU$3&gt;=Inputs!$C$48,AU$3&lt;=Inputs!$C$15*12),-Inputs!$E$42/12*(1+Inputs!$C$47)^(AU$5-1),0)</f>
        <v>0</v>
      </c>
      <c r="AV30" s="153">
        <f>IF(AND(AV$3&gt;=Inputs!$C$48,AV$3&lt;=Inputs!$C$15*12),-Inputs!$E$42/12*(1+Inputs!$C$47)^(AV$5-1),0)</f>
        <v>0</v>
      </c>
      <c r="AW30" s="153">
        <f>IF(AND(AW$3&gt;=Inputs!$C$48,AW$3&lt;=Inputs!$C$15*12),-Inputs!$E$42/12*(1+Inputs!$C$47)^(AW$5-1),0)</f>
        <v>0</v>
      </c>
      <c r="AX30" s="153">
        <f>IF(AND(AX$3&gt;=Inputs!$C$48,AX$3&lt;=Inputs!$C$15*12),-Inputs!$E$42/12*(1+Inputs!$C$47)^(AX$5-1),0)</f>
        <v>0</v>
      </c>
      <c r="AY30" s="153">
        <f>IF(AND(AY$3&gt;=Inputs!$C$48,AY$3&lt;=Inputs!$C$15*12),-Inputs!$E$42/12*(1+Inputs!$C$47)^(AY$5-1),0)</f>
        <v>0</v>
      </c>
      <c r="AZ30" s="153">
        <f>IF(AND(AZ$3&gt;=Inputs!$C$48,AZ$3&lt;=Inputs!$C$15*12),-Inputs!$E$42/12*(1+Inputs!$C$47)^(AZ$5-1),0)</f>
        <v>0</v>
      </c>
      <c r="BA30" s="153">
        <f>IF(AND(BA$3&gt;=Inputs!$C$48,BA$3&lt;=Inputs!$C$15*12),-Inputs!$E$42/12*(1+Inputs!$C$47)^(BA$5-1),0)</f>
        <v>0</v>
      </c>
      <c r="BB30" s="153">
        <f>IF(AND(BB$3&gt;=Inputs!$C$48,BB$3&lt;=Inputs!$C$15*12),-Inputs!$E$42/12*(1+Inputs!$C$47)^(BB$5-1),0)</f>
        <v>0</v>
      </c>
      <c r="BC30" s="153">
        <f>IF(AND(BC$3&gt;=Inputs!$C$48,BC$3&lt;=Inputs!$C$15*12),-Inputs!$E$42/12*(1+Inputs!$C$47)^(BC$5-1),0)</f>
        <v>0</v>
      </c>
      <c r="BD30" s="153">
        <f>IF(AND(BD$3&gt;=Inputs!$C$48,BD$3&lt;=Inputs!$C$15*12),-Inputs!$E$42/12*(1+Inputs!$C$47)^(BD$5-1),0)</f>
        <v>0</v>
      </c>
      <c r="BE30" s="153">
        <f>IF(AND(BE$3&gt;=Inputs!$C$48,BE$3&lt;=Inputs!$C$15*12),-Inputs!$E$42/12*(1+Inputs!$C$47)^(BE$5-1),0)</f>
        <v>0</v>
      </c>
      <c r="BF30" s="153">
        <f>IF(AND(BF$3&gt;=Inputs!$C$48,BF$3&lt;=Inputs!$C$15*12),-Inputs!$E$42/12*(1+Inputs!$C$47)^(BF$5-1),0)</f>
        <v>0</v>
      </c>
      <c r="BG30" s="153">
        <f>IF(AND(BG$3&gt;=Inputs!$C$48,BG$3&lt;=Inputs!$C$15*12),-Inputs!$E$42/12*(1+Inputs!$C$47)^(BG$5-1),0)</f>
        <v>0</v>
      </c>
      <c r="BH30" s="153">
        <f>IF(AND(BH$3&gt;=Inputs!$C$48,BH$3&lt;=Inputs!$C$15*12),-Inputs!$E$42/12*(1+Inputs!$C$47)^(BH$5-1),0)</f>
        <v>0</v>
      </c>
      <c r="BI30" s="153">
        <f>IF(AND(BI$3&gt;=Inputs!$C$48,BI$3&lt;=Inputs!$C$15*12),-Inputs!$E$42/12*(1+Inputs!$C$47)^(BI$5-1),0)</f>
        <v>0</v>
      </c>
      <c r="BJ30" s="153">
        <f>IF(AND(BJ$3&gt;=Inputs!$C$48,BJ$3&lt;=Inputs!$C$15*12),-Inputs!$E$42/12*(1+Inputs!$C$47)^(BJ$5-1),0)</f>
        <v>0</v>
      </c>
      <c r="BK30" s="153">
        <f>IF(AND(BK$3&gt;=Inputs!$C$48,BK$3&lt;=Inputs!$C$15*12),-Inputs!$E$42/12*(1+Inputs!$C$47)^(BK$5-1),0)</f>
        <v>0</v>
      </c>
      <c r="BL30" s="153">
        <f>IF(AND(BL$3&gt;=Inputs!$C$48,BL$3&lt;=Inputs!$C$15*12),-Inputs!$E$42/12*(1+Inputs!$C$47)^(BL$5-1),0)</f>
        <v>0</v>
      </c>
      <c r="BM30" s="153">
        <f>IF(AND(BM$3&gt;=Inputs!$C$48,BM$3&lt;=Inputs!$C$15*12),-Inputs!$E$42/12*(1+Inputs!$C$47)^(BM$5-1),0)</f>
        <v>0</v>
      </c>
      <c r="BN30" s="153">
        <f>IF(AND(BN$3&gt;=Inputs!$C$48,BN$3&lt;=Inputs!$C$15*12),-Inputs!$E$42/12*(1+Inputs!$C$47)^(BN$5-1),0)</f>
        <v>0</v>
      </c>
      <c r="BO30" s="153">
        <f>IF(AND(BO$3&gt;=Inputs!$C$48,BO$3&lt;=Inputs!$C$15*12),-Inputs!$E$42/12*(1+Inputs!$C$47)^(BO$5-1),0)</f>
        <v>0</v>
      </c>
      <c r="BP30" s="153">
        <f>IF(AND(BP$3&gt;=Inputs!$C$48,BP$3&lt;=Inputs!$C$15*12),-Inputs!$E$42/12*(1+Inputs!$C$47)^(BP$5-1),0)</f>
        <v>0</v>
      </c>
      <c r="BQ30" s="153">
        <f>IF(AND(BQ$3&gt;=Inputs!$C$48,BQ$3&lt;=Inputs!$C$15*12),-Inputs!$E$42/12*(1+Inputs!$C$47)^(BQ$5-1),0)</f>
        <v>0</v>
      </c>
      <c r="BR30" s="153">
        <f>IF(AND(BR$3&gt;=Inputs!$C$48,BR$3&lt;=Inputs!$C$15*12),-Inputs!$E$42/12*(1+Inputs!$C$47)^(BR$5-1),0)</f>
        <v>0</v>
      </c>
      <c r="BS30" s="153">
        <f>IF(AND(BS$3&gt;=Inputs!$C$48,BS$3&lt;=Inputs!$C$15*12),-Inputs!$E$42/12*(1+Inputs!$C$47)^(BS$5-1),0)</f>
        <v>0</v>
      </c>
      <c r="BT30" s="153">
        <f>IF(AND(BT$3&gt;=Inputs!$C$48,BT$3&lt;=Inputs!$C$15*12),-Inputs!$E$42/12*(1+Inputs!$C$47)^(BT$5-1),0)</f>
        <v>0</v>
      </c>
      <c r="BU30" s="153">
        <f>IF(AND(BU$3&gt;=Inputs!$C$48,BU$3&lt;=Inputs!$C$15*12),-Inputs!$E$42/12*(1+Inputs!$C$47)^(BU$5-1),0)</f>
        <v>0</v>
      </c>
      <c r="BV30" s="153">
        <f>IF(AND(BV$3&gt;=Inputs!$C$48,BV$3&lt;=Inputs!$C$15*12),-Inputs!$E$42/12*(1+Inputs!$C$47)^(BV$5-1),0)</f>
        <v>0</v>
      </c>
      <c r="BW30" s="153">
        <f>IF(AND(BW$3&gt;=Inputs!$C$48,BW$3&lt;=Inputs!$C$15*12),-Inputs!$E$42/12*(1+Inputs!$C$47)^(BW$5-1),0)</f>
        <v>0</v>
      </c>
      <c r="BX30" s="153">
        <f>IF(AND(BX$3&gt;=Inputs!$C$48,BX$3&lt;=Inputs!$C$15*12),-Inputs!$E$42/12*(1+Inputs!$C$47)^(BX$5-1),0)</f>
        <v>0</v>
      </c>
      <c r="BY30" s="153">
        <f>IF(AND(BY$3&gt;=Inputs!$C$48,BY$3&lt;=Inputs!$C$15*12),-Inputs!$E$42/12*(1+Inputs!$C$47)^(BY$5-1),0)</f>
        <v>0</v>
      </c>
      <c r="BZ30" s="153">
        <f>IF(AND(BZ$3&gt;=Inputs!$C$48,BZ$3&lt;=Inputs!$C$15*12),-Inputs!$E$42/12*(1+Inputs!$C$47)^(BZ$5-1),0)</f>
        <v>0</v>
      </c>
      <c r="CA30" s="153">
        <f>IF(AND(CA$3&gt;=Inputs!$C$48,CA$3&lt;=Inputs!$C$15*12),-Inputs!$E$42/12*(1+Inputs!$C$47)^(CA$5-1),0)</f>
        <v>0</v>
      </c>
      <c r="CB30" s="153">
        <f>IF(AND(CB$3&gt;=Inputs!$C$48,CB$3&lt;=Inputs!$C$15*12),-Inputs!$E$42/12*(1+Inputs!$C$47)^(CB$5-1),0)</f>
        <v>0</v>
      </c>
      <c r="CC30" s="153">
        <f>IF(AND(CC$3&gt;=Inputs!$C$48,CC$3&lt;=Inputs!$C$15*12),-Inputs!$E$42/12*(1+Inputs!$C$47)^(CC$5-1),0)</f>
        <v>0</v>
      </c>
      <c r="CD30" s="153">
        <f>IF(AND(CD$3&gt;=Inputs!$C$48,CD$3&lt;=Inputs!$C$15*12),-Inputs!$E$42/12*(1+Inputs!$C$47)^(CD$5-1),0)</f>
        <v>0</v>
      </c>
      <c r="CE30" s="153">
        <f>IF(AND(CE$3&gt;=Inputs!$C$48,CE$3&lt;=Inputs!$C$15*12),-Inputs!$E$42/12*(1+Inputs!$C$47)^(CE$5-1),0)</f>
        <v>0</v>
      </c>
      <c r="CF30" s="153">
        <f>IF(AND(CF$3&gt;=Inputs!$C$48,CF$3&lt;=Inputs!$C$15*12),-Inputs!$E$42/12*(1+Inputs!$C$47)^(CF$5-1),0)</f>
        <v>0</v>
      </c>
      <c r="CG30" s="153">
        <f>IF(AND(CG$3&gt;=Inputs!$C$48,CG$3&lt;=Inputs!$C$15*12),-Inputs!$E$42/12*(1+Inputs!$C$47)^(CG$5-1),0)</f>
        <v>0</v>
      </c>
      <c r="CH30" s="153">
        <f>IF(AND(CH$3&gt;=Inputs!$C$48,CH$3&lt;=Inputs!$C$15*12),-Inputs!$E$42/12*(1+Inputs!$C$47)^(CH$5-1),0)</f>
        <v>0</v>
      </c>
      <c r="CI30" s="153">
        <f>IF(AND(CI$3&gt;=Inputs!$C$48,CI$3&lt;=Inputs!$C$15*12),-Inputs!$E$42/12*(1+Inputs!$C$47)^(CI$5-1),0)</f>
        <v>0</v>
      </c>
      <c r="CJ30" s="153">
        <f>IF(AND(CJ$3&gt;=Inputs!$C$48,CJ$3&lt;=Inputs!$C$15*12),-Inputs!$E$42/12*(1+Inputs!$C$47)^(CJ$5-1),0)</f>
        <v>0</v>
      </c>
      <c r="CK30" s="153">
        <f>IF(AND(CK$3&gt;=Inputs!$C$48,CK$3&lt;=Inputs!$C$15*12),-Inputs!$E$42/12*(1+Inputs!$C$47)^(CK$5-1),0)</f>
        <v>0</v>
      </c>
      <c r="CL30" s="153">
        <f>IF(AND(CL$3&gt;=Inputs!$C$48,CL$3&lt;=Inputs!$C$15*12),-Inputs!$E$42/12*(1+Inputs!$C$47)^(CL$5-1),0)</f>
        <v>0</v>
      </c>
      <c r="CM30" s="153">
        <f>IF(AND(CM$3&gt;=Inputs!$C$48,CM$3&lt;=Inputs!$C$15*12),-Inputs!$E$42/12*(1+Inputs!$C$47)^(CM$5-1),0)</f>
        <v>0</v>
      </c>
      <c r="CN30" s="153">
        <f>IF(AND(CN$3&gt;=Inputs!$C$48,CN$3&lt;=Inputs!$C$15*12),-Inputs!$E$42/12*(1+Inputs!$C$47)^(CN$5-1),0)</f>
        <v>0</v>
      </c>
      <c r="CO30" s="153">
        <f>IF(AND(CO$3&gt;=Inputs!$C$48,CO$3&lt;=Inputs!$C$15*12),-Inputs!$E$42/12*(1+Inputs!$C$47)^(CO$5-1),0)</f>
        <v>0</v>
      </c>
      <c r="CP30" s="153">
        <f>IF(AND(CP$3&gt;=Inputs!$C$48,CP$3&lt;=Inputs!$C$15*12),-Inputs!$E$42/12*(1+Inputs!$C$47)^(CP$5-1),0)</f>
        <v>0</v>
      </c>
      <c r="CQ30" s="153">
        <f>IF(AND(CQ$3&gt;=Inputs!$C$48,CQ$3&lt;=Inputs!$C$15*12),-Inputs!$E$42/12*(1+Inputs!$C$47)^(CQ$5-1),0)</f>
        <v>0</v>
      </c>
      <c r="CR30" s="153">
        <f>IF(AND(CR$3&gt;=Inputs!$C$48,CR$3&lt;=Inputs!$C$15*12),-Inputs!$E$42/12*(1+Inputs!$C$47)^(CR$5-1),0)</f>
        <v>0</v>
      </c>
      <c r="CS30" s="153">
        <f>IF(AND(CS$3&gt;=Inputs!$C$48,CS$3&lt;=Inputs!$C$15*12),-Inputs!$E$42/12*(1+Inputs!$C$47)^(CS$5-1),0)</f>
        <v>0</v>
      </c>
      <c r="CT30" s="153">
        <f>IF(AND(CT$3&gt;=Inputs!$C$48,CT$3&lt;=Inputs!$C$15*12),-Inputs!$E$42/12*(1+Inputs!$C$47)^(CT$5-1),0)</f>
        <v>0</v>
      </c>
      <c r="CU30" s="153">
        <f>IF(AND(CU$3&gt;=Inputs!$C$48,CU$3&lt;=Inputs!$C$15*12),-Inputs!$E$42/12*(1+Inputs!$C$47)^(CU$5-1),0)</f>
        <v>0</v>
      </c>
      <c r="CV30" s="153">
        <f>IF(AND(CV$3&gt;=Inputs!$C$48,CV$3&lt;=Inputs!$C$15*12),-Inputs!$E$42/12*(1+Inputs!$C$47)^(CV$5-1),0)</f>
        <v>0</v>
      </c>
      <c r="CW30" s="153">
        <f>IF(AND(CW$3&gt;=Inputs!$C$48,CW$3&lt;=Inputs!$C$15*12),-Inputs!$E$42/12*(1+Inputs!$C$47)^(CW$5-1),0)</f>
        <v>0</v>
      </c>
      <c r="CX30" s="153">
        <f>IF(AND(CX$3&gt;=Inputs!$C$48,CX$3&lt;=Inputs!$C$15*12),-Inputs!$E$42/12*(1+Inputs!$C$47)^(CX$5-1),0)</f>
        <v>0</v>
      </c>
      <c r="CY30" s="153">
        <f>IF(AND(CY$3&gt;=Inputs!$C$48,CY$3&lt;=Inputs!$C$15*12),-Inputs!$E$42/12*(1+Inputs!$C$47)^(CY$5-1),0)</f>
        <v>0</v>
      </c>
      <c r="CZ30" s="153">
        <f>IF(AND(CZ$3&gt;=Inputs!$C$48,CZ$3&lt;=Inputs!$C$15*12),-Inputs!$E$42/12*(1+Inputs!$C$47)^(CZ$5-1),0)</f>
        <v>0</v>
      </c>
      <c r="DA30" s="153">
        <f>IF(AND(DA$3&gt;=Inputs!$C$48,DA$3&lt;=Inputs!$C$15*12),-Inputs!$E$42/12*(1+Inputs!$C$47)^(DA$5-1),0)</f>
        <v>0</v>
      </c>
      <c r="DB30" s="153">
        <f>IF(AND(DB$3&gt;=Inputs!$C$48,DB$3&lt;=Inputs!$C$15*12),-Inputs!$E$42/12*(1+Inputs!$C$47)^(DB$5-1),0)</f>
        <v>0</v>
      </c>
      <c r="DC30" s="153">
        <f>IF(AND(DC$3&gt;=Inputs!$C$48,DC$3&lt;=Inputs!$C$15*12),-Inputs!$E$42/12*(1+Inputs!$C$47)^(DC$5-1),0)</f>
        <v>0</v>
      </c>
      <c r="DD30" s="153">
        <f>IF(AND(DD$3&gt;=Inputs!$C$48,DD$3&lt;=Inputs!$C$15*12),-Inputs!$E$42/12*(1+Inputs!$C$47)^(DD$5-1),0)</f>
        <v>0</v>
      </c>
      <c r="DE30" s="153">
        <f>IF(AND(DE$3&gt;=Inputs!$C$48,DE$3&lt;=Inputs!$C$15*12),-Inputs!$E$42/12*(1+Inputs!$C$47)^(DE$5-1),0)</f>
        <v>0</v>
      </c>
      <c r="DF30" s="153">
        <f>IF(AND(DF$3&gt;=Inputs!$C$48,DF$3&lt;=Inputs!$C$15*12),-Inputs!$E$42/12*(1+Inputs!$C$47)^(DF$5-1),0)</f>
        <v>0</v>
      </c>
      <c r="DG30" s="153">
        <f>IF(AND(DG$3&gt;=Inputs!$C$48,DG$3&lt;=Inputs!$C$15*12),-Inputs!$E$42/12*(1+Inputs!$C$47)^(DG$5-1),0)</f>
        <v>0</v>
      </c>
      <c r="DH30" s="153">
        <f>IF(AND(DH$3&gt;=Inputs!$C$48,DH$3&lt;=Inputs!$C$15*12),-Inputs!$E$42/12*(1+Inputs!$C$47)^(DH$5-1),0)</f>
        <v>0</v>
      </c>
      <c r="DI30" s="153">
        <f>IF(AND(DI$3&gt;=Inputs!$C$48,DI$3&lt;=Inputs!$C$15*12),-Inputs!$E$42/12*(1+Inputs!$C$47)^(DI$5-1),0)</f>
        <v>0</v>
      </c>
      <c r="DJ30" s="153">
        <f>IF(AND(DJ$3&gt;=Inputs!$C$48,DJ$3&lt;=Inputs!$C$15*12),-Inputs!$E$42/12*(1+Inputs!$C$47)^(DJ$5-1),0)</f>
        <v>0</v>
      </c>
      <c r="DK30" s="153">
        <f>IF(AND(DK$3&gt;=Inputs!$C$48,DK$3&lt;=Inputs!$C$15*12),-Inputs!$E$42/12*(1+Inputs!$C$47)^(DK$5-1),0)</f>
        <v>0</v>
      </c>
      <c r="DL30" s="153">
        <f>IF(AND(DL$3&gt;=Inputs!$C$48,DL$3&lt;=Inputs!$C$15*12),-Inputs!$E$42/12*(1+Inputs!$C$47)^(DL$5-1),0)</f>
        <v>0</v>
      </c>
      <c r="DM30" s="153">
        <f>IF(AND(DM$3&gt;=Inputs!$C$48,DM$3&lt;=Inputs!$C$15*12),-Inputs!$E$42/12*(1+Inputs!$C$47)^(DM$5-1),0)</f>
        <v>0</v>
      </c>
      <c r="DN30" s="153">
        <f>IF(AND(DN$3&gt;=Inputs!$C$48,DN$3&lt;=Inputs!$C$15*12),-Inputs!$E$42/12*(1+Inputs!$C$47)^(DN$5-1),0)</f>
        <v>0</v>
      </c>
      <c r="DO30" s="153">
        <f>IF(AND(DO$3&gt;=Inputs!$C$48,DO$3&lt;=Inputs!$C$15*12),-Inputs!$E$42/12*(1+Inputs!$C$47)^(DO$5-1),0)</f>
        <v>0</v>
      </c>
      <c r="DP30" s="153">
        <f>IF(AND(DP$3&gt;=Inputs!$C$48,DP$3&lt;=Inputs!$C$15*12),-Inputs!$E$42/12*(1+Inputs!$C$47)^(DP$5-1),0)</f>
        <v>0</v>
      </c>
      <c r="DQ30" s="153">
        <f>IF(AND(DQ$3&gt;=Inputs!$C$48,DQ$3&lt;=Inputs!$C$15*12),-Inputs!$E$42/12*(1+Inputs!$C$47)^(DQ$5-1),0)</f>
        <v>0</v>
      </c>
      <c r="DR30" s="153">
        <f>IF(AND(DR$3&gt;=Inputs!$C$48,DR$3&lt;=Inputs!$C$15*12),-Inputs!$E$42/12*(1+Inputs!$C$47)^(DR$5-1),0)</f>
        <v>0</v>
      </c>
      <c r="DS30" s="54"/>
    </row>
    <row r="31" ht="15.0" customHeight="1">
      <c r="A31" s="54"/>
      <c r="B31" s="56" t="str">
        <f>Inputs!B43</f>
        <v>  Trash Removal</v>
      </c>
      <c r="C31" s="153">
        <f>IF(AND(C$3&gt;=Inputs!$C$48,C$3&lt;=Inputs!$C$15*12),-Inputs!$E$43/12*(1+Inputs!$C$47)^(C$5-1),0)</f>
        <v>0</v>
      </c>
      <c r="D31" s="153">
        <f>IF(AND(D$3&gt;=Inputs!$C$48,D$3&lt;=Inputs!$C$15*12),-Inputs!$E$43/12*(1+Inputs!$C$47)^(D$5-1),0)</f>
        <v>0</v>
      </c>
      <c r="E31" s="153">
        <f>IF(AND(E$3&gt;=Inputs!$C$48,E$3&lt;=Inputs!$C$15*12),-Inputs!$E$43/12*(1+Inputs!$C$47)^(E$5-1),0)</f>
        <v>0</v>
      </c>
      <c r="F31" s="153">
        <f>IF(AND(F$3&gt;=Inputs!$C$48,F$3&lt;=Inputs!$C$15*12),-Inputs!$E$43/12*(1+Inputs!$C$47)^(F$5-1),0)</f>
        <v>0</v>
      </c>
      <c r="G31" s="153">
        <f>IF(AND(G$3&gt;=Inputs!$C$48,G$3&lt;=Inputs!$C$15*12),-Inputs!$E$43/12*(1+Inputs!$C$47)^(G$5-1),0)</f>
        <v>0</v>
      </c>
      <c r="H31" s="153">
        <f>IF(AND(H$3&gt;=Inputs!$C$48,H$3&lt;=Inputs!$C$15*12),-Inputs!$E$43/12*(1+Inputs!$C$47)^(H$5-1),0)</f>
        <v>0</v>
      </c>
      <c r="I31" s="153">
        <f>IF(AND(I$3&gt;=Inputs!$C$48,I$3&lt;=Inputs!$C$15*12),-Inputs!$E$43/12*(1+Inputs!$C$47)^(I$5-1),0)</f>
        <v>0</v>
      </c>
      <c r="J31" s="153">
        <f>IF(AND(J$3&gt;=Inputs!$C$48,J$3&lt;=Inputs!$C$15*12),-Inputs!$E$43/12*(1+Inputs!$C$47)^(J$5-1),0)</f>
        <v>0</v>
      </c>
      <c r="K31" s="153">
        <f>IF(AND(K$3&gt;=Inputs!$C$48,K$3&lt;=Inputs!$C$15*12),-Inputs!$E$43/12*(1+Inputs!$C$47)^(K$5-1),0)</f>
        <v>0</v>
      </c>
      <c r="L31" s="153">
        <f>IF(AND(L$3&gt;=Inputs!$C$48,L$3&lt;=Inputs!$C$15*12),-Inputs!$E$43/12*(1+Inputs!$C$47)^(L$5-1),0)</f>
        <v>0</v>
      </c>
      <c r="M31" s="153">
        <f>IF(AND(M$3&gt;=Inputs!$C$48,M$3&lt;=Inputs!$C$15*12),-Inputs!$E$43/12*(1+Inputs!$C$47)^(M$5-1),0)</f>
        <v>0</v>
      </c>
      <c r="N31" s="153">
        <f>IF(AND(N$3&gt;=Inputs!$C$48,N$3&lt;=Inputs!$C$15*12),-Inputs!$E$43/12*(1+Inputs!$C$47)^(N$5-1),0)</f>
        <v>0</v>
      </c>
      <c r="O31" s="153">
        <f>IF(AND(O$3&gt;=Inputs!$C$48,O$3&lt;=Inputs!$C$15*12),-Inputs!$E$43/12*(1+Inputs!$C$47)^(O$5-1),0)</f>
        <v>0</v>
      </c>
      <c r="P31" s="153">
        <f>IF(AND(P$3&gt;=Inputs!$C$48,P$3&lt;=Inputs!$C$15*12),-Inputs!$E$43/12*(1+Inputs!$C$47)^(P$5-1),0)</f>
        <v>0</v>
      </c>
      <c r="Q31" s="153">
        <f>IF(AND(Q$3&gt;=Inputs!$C$48,Q$3&lt;=Inputs!$C$15*12),-Inputs!$E$43/12*(1+Inputs!$C$47)^(Q$5-1),0)</f>
        <v>0</v>
      </c>
      <c r="R31" s="153">
        <f>IF(AND(R$3&gt;=Inputs!$C$48,R$3&lt;=Inputs!$C$15*12),-Inputs!$E$43/12*(1+Inputs!$C$47)^(R$5-1),0)</f>
        <v>0</v>
      </c>
      <c r="S31" s="153">
        <f>IF(AND(S$3&gt;=Inputs!$C$48,S$3&lt;=Inputs!$C$15*12),-Inputs!$E$43/12*(1+Inputs!$C$47)^(S$5-1),0)</f>
        <v>0</v>
      </c>
      <c r="T31" s="153">
        <f>IF(AND(T$3&gt;=Inputs!$C$48,T$3&lt;=Inputs!$C$15*12),-Inputs!$E$43/12*(1+Inputs!$C$47)^(T$5-1),0)</f>
        <v>0</v>
      </c>
      <c r="U31" s="153">
        <f>IF(AND(U$3&gt;=Inputs!$C$48,U$3&lt;=Inputs!$C$15*12),-Inputs!$E$43/12*(1+Inputs!$C$47)^(U$5-1),0)</f>
        <v>0</v>
      </c>
      <c r="V31" s="153">
        <f>IF(AND(V$3&gt;=Inputs!$C$48,V$3&lt;=Inputs!$C$15*12),-Inputs!$E$43/12*(1+Inputs!$C$47)^(V$5-1),0)</f>
        <v>0</v>
      </c>
      <c r="W31" s="153">
        <f>IF(AND(W$3&gt;=Inputs!$C$48,W$3&lt;=Inputs!$C$15*12),-Inputs!$E$43/12*(1+Inputs!$C$47)^(W$5-1),0)</f>
        <v>0</v>
      </c>
      <c r="X31" s="153">
        <f>IF(AND(X$3&gt;=Inputs!$C$48,X$3&lt;=Inputs!$C$15*12),-Inputs!$E$43/12*(1+Inputs!$C$47)^(X$5-1),0)</f>
        <v>0</v>
      </c>
      <c r="Y31" s="153">
        <f>IF(AND(Y$3&gt;=Inputs!$C$48,Y$3&lt;=Inputs!$C$15*12),-Inputs!$E$43/12*(1+Inputs!$C$47)^(Y$5-1),0)</f>
        <v>0</v>
      </c>
      <c r="Z31" s="153">
        <f>IF(AND(Z$3&gt;=Inputs!$C$48,Z$3&lt;=Inputs!$C$15*12),-Inputs!$E$43/12*(1+Inputs!$C$47)^(Z$5-1),0)</f>
        <v>0</v>
      </c>
      <c r="AA31" s="153">
        <f>IF(AND(AA$3&gt;=Inputs!$C$48,AA$3&lt;=Inputs!$C$15*12),-Inputs!$E$43/12*(1+Inputs!$C$47)^(AA$5-1),0)</f>
        <v>0</v>
      </c>
      <c r="AB31" s="153">
        <f>IF(AND(AB$3&gt;=Inputs!$C$48,AB$3&lt;=Inputs!$C$15*12),-Inputs!$E$43/12*(1+Inputs!$C$47)^(AB$5-1),0)</f>
        <v>0</v>
      </c>
      <c r="AC31" s="153">
        <f>IF(AND(AC$3&gt;=Inputs!$C$48,AC$3&lt;=Inputs!$C$15*12),-Inputs!$E$43/12*(1+Inputs!$C$47)^(AC$5-1),0)</f>
        <v>0</v>
      </c>
      <c r="AD31" s="153">
        <f>IF(AND(AD$3&gt;=Inputs!$C$48,AD$3&lt;=Inputs!$C$15*12),-Inputs!$E$43/12*(1+Inputs!$C$47)^(AD$5-1),0)</f>
        <v>0</v>
      </c>
      <c r="AE31" s="153">
        <f>IF(AND(AE$3&gt;=Inputs!$C$48,AE$3&lt;=Inputs!$C$15*12),-Inputs!$E$43/12*(1+Inputs!$C$47)^(AE$5-1),0)</f>
        <v>0</v>
      </c>
      <c r="AF31" s="153">
        <f>IF(AND(AF$3&gt;=Inputs!$C$48,AF$3&lt;=Inputs!$C$15*12),-Inputs!$E$43/12*(1+Inputs!$C$47)^(AF$5-1),0)</f>
        <v>0</v>
      </c>
      <c r="AG31" s="153">
        <f>IF(AND(AG$3&gt;=Inputs!$C$48,AG$3&lt;=Inputs!$C$15*12),-Inputs!$E$43/12*(1+Inputs!$C$47)^(AG$5-1),0)</f>
        <v>0</v>
      </c>
      <c r="AH31" s="153">
        <f>IF(AND(AH$3&gt;=Inputs!$C$48,AH$3&lt;=Inputs!$C$15*12),-Inputs!$E$43/12*(1+Inputs!$C$47)^(AH$5-1),0)</f>
        <v>0</v>
      </c>
      <c r="AI31" s="153">
        <f>IF(AND(AI$3&gt;=Inputs!$C$48,AI$3&lt;=Inputs!$C$15*12),-Inputs!$E$43/12*(1+Inputs!$C$47)^(AI$5-1),0)</f>
        <v>0</v>
      </c>
      <c r="AJ31" s="153">
        <f>IF(AND(AJ$3&gt;=Inputs!$C$48,AJ$3&lt;=Inputs!$C$15*12),-Inputs!$E$43/12*(1+Inputs!$C$47)^(AJ$5-1),0)</f>
        <v>0</v>
      </c>
      <c r="AK31" s="153">
        <f>IF(AND(AK$3&gt;=Inputs!$C$48,AK$3&lt;=Inputs!$C$15*12),-Inputs!$E$43/12*(1+Inputs!$C$47)^(AK$5-1),0)</f>
        <v>0</v>
      </c>
      <c r="AL31" s="153">
        <f>IF(AND(AL$3&gt;=Inputs!$C$48,AL$3&lt;=Inputs!$C$15*12),-Inputs!$E$43/12*(1+Inputs!$C$47)^(AL$5-1),0)</f>
        <v>0</v>
      </c>
      <c r="AM31" s="153">
        <f>IF(AND(AM$3&gt;=Inputs!$C$48,AM$3&lt;=Inputs!$C$15*12),-Inputs!$E$43/12*(1+Inputs!$C$47)^(AM$5-1),0)</f>
        <v>0</v>
      </c>
      <c r="AN31" s="153">
        <f>IF(AND(AN$3&gt;=Inputs!$C$48,AN$3&lt;=Inputs!$C$15*12),-Inputs!$E$43/12*(1+Inputs!$C$47)^(AN$5-1),0)</f>
        <v>0</v>
      </c>
      <c r="AO31" s="153">
        <f>IF(AND(AO$3&gt;=Inputs!$C$48,AO$3&lt;=Inputs!$C$15*12),-Inputs!$E$43/12*(1+Inputs!$C$47)^(AO$5-1),0)</f>
        <v>0</v>
      </c>
      <c r="AP31" s="153">
        <f>IF(AND(AP$3&gt;=Inputs!$C$48,AP$3&lt;=Inputs!$C$15*12),-Inputs!$E$43/12*(1+Inputs!$C$47)^(AP$5-1),0)</f>
        <v>0</v>
      </c>
      <c r="AQ31" s="153">
        <f>IF(AND(AQ$3&gt;=Inputs!$C$48,AQ$3&lt;=Inputs!$C$15*12),-Inputs!$E$43/12*(1+Inputs!$C$47)^(AQ$5-1),0)</f>
        <v>0</v>
      </c>
      <c r="AR31" s="153">
        <f>IF(AND(AR$3&gt;=Inputs!$C$48,AR$3&lt;=Inputs!$C$15*12),-Inputs!$E$43/12*(1+Inputs!$C$47)^(AR$5-1),0)</f>
        <v>0</v>
      </c>
      <c r="AS31" s="153">
        <f>IF(AND(AS$3&gt;=Inputs!$C$48,AS$3&lt;=Inputs!$C$15*12),-Inputs!$E$43/12*(1+Inputs!$C$47)^(AS$5-1),0)</f>
        <v>0</v>
      </c>
      <c r="AT31" s="153">
        <f>IF(AND(AT$3&gt;=Inputs!$C$48,AT$3&lt;=Inputs!$C$15*12),-Inputs!$E$43/12*(1+Inputs!$C$47)^(AT$5-1),0)</f>
        <v>0</v>
      </c>
      <c r="AU31" s="153">
        <f>IF(AND(AU$3&gt;=Inputs!$C$48,AU$3&lt;=Inputs!$C$15*12),-Inputs!$E$43/12*(1+Inputs!$C$47)^(AU$5-1),0)</f>
        <v>0</v>
      </c>
      <c r="AV31" s="153">
        <f>IF(AND(AV$3&gt;=Inputs!$C$48,AV$3&lt;=Inputs!$C$15*12),-Inputs!$E$43/12*(1+Inputs!$C$47)^(AV$5-1),0)</f>
        <v>0</v>
      </c>
      <c r="AW31" s="153">
        <f>IF(AND(AW$3&gt;=Inputs!$C$48,AW$3&lt;=Inputs!$C$15*12),-Inputs!$E$43/12*(1+Inputs!$C$47)^(AW$5-1),0)</f>
        <v>0</v>
      </c>
      <c r="AX31" s="153">
        <f>IF(AND(AX$3&gt;=Inputs!$C$48,AX$3&lt;=Inputs!$C$15*12),-Inputs!$E$43/12*(1+Inputs!$C$47)^(AX$5-1),0)</f>
        <v>0</v>
      </c>
      <c r="AY31" s="153">
        <f>IF(AND(AY$3&gt;=Inputs!$C$48,AY$3&lt;=Inputs!$C$15*12),-Inputs!$E$43/12*(1+Inputs!$C$47)^(AY$5-1),0)</f>
        <v>0</v>
      </c>
      <c r="AZ31" s="153">
        <f>IF(AND(AZ$3&gt;=Inputs!$C$48,AZ$3&lt;=Inputs!$C$15*12),-Inputs!$E$43/12*(1+Inputs!$C$47)^(AZ$5-1),0)</f>
        <v>0</v>
      </c>
      <c r="BA31" s="153">
        <f>IF(AND(BA$3&gt;=Inputs!$C$48,BA$3&lt;=Inputs!$C$15*12),-Inputs!$E$43/12*(1+Inputs!$C$47)^(BA$5-1),0)</f>
        <v>0</v>
      </c>
      <c r="BB31" s="153">
        <f>IF(AND(BB$3&gt;=Inputs!$C$48,BB$3&lt;=Inputs!$C$15*12),-Inputs!$E$43/12*(1+Inputs!$C$47)^(BB$5-1),0)</f>
        <v>0</v>
      </c>
      <c r="BC31" s="153">
        <f>IF(AND(BC$3&gt;=Inputs!$C$48,BC$3&lt;=Inputs!$C$15*12),-Inputs!$E$43/12*(1+Inputs!$C$47)^(BC$5-1),0)</f>
        <v>0</v>
      </c>
      <c r="BD31" s="153">
        <f>IF(AND(BD$3&gt;=Inputs!$C$48,BD$3&lt;=Inputs!$C$15*12),-Inputs!$E$43/12*(1+Inputs!$C$47)^(BD$5-1),0)</f>
        <v>0</v>
      </c>
      <c r="BE31" s="153">
        <f>IF(AND(BE$3&gt;=Inputs!$C$48,BE$3&lt;=Inputs!$C$15*12),-Inputs!$E$43/12*(1+Inputs!$C$47)^(BE$5-1),0)</f>
        <v>0</v>
      </c>
      <c r="BF31" s="153">
        <f>IF(AND(BF$3&gt;=Inputs!$C$48,BF$3&lt;=Inputs!$C$15*12),-Inputs!$E$43/12*(1+Inputs!$C$47)^(BF$5-1),0)</f>
        <v>0</v>
      </c>
      <c r="BG31" s="153">
        <f>IF(AND(BG$3&gt;=Inputs!$C$48,BG$3&lt;=Inputs!$C$15*12),-Inputs!$E$43/12*(1+Inputs!$C$47)^(BG$5-1),0)</f>
        <v>0</v>
      </c>
      <c r="BH31" s="153">
        <f>IF(AND(BH$3&gt;=Inputs!$C$48,BH$3&lt;=Inputs!$C$15*12),-Inputs!$E$43/12*(1+Inputs!$C$47)^(BH$5-1),0)</f>
        <v>0</v>
      </c>
      <c r="BI31" s="153">
        <f>IF(AND(BI$3&gt;=Inputs!$C$48,BI$3&lt;=Inputs!$C$15*12),-Inputs!$E$43/12*(1+Inputs!$C$47)^(BI$5-1),0)</f>
        <v>0</v>
      </c>
      <c r="BJ31" s="153">
        <f>IF(AND(BJ$3&gt;=Inputs!$C$48,BJ$3&lt;=Inputs!$C$15*12),-Inputs!$E$43/12*(1+Inputs!$C$47)^(BJ$5-1),0)</f>
        <v>0</v>
      </c>
      <c r="BK31" s="153">
        <f>IF(AND(BK$3&gt;=Inputs!$C$48,BK$3&lt;=Inputs!$C$15*12),-Inputs!$E$43/12*(1+Inputs!$C$47)^(BK$5-1),0)</f>
        <v>0</v>
      </c>
      <c r="BL31" s="153">
        <f>IF(AND(BL$3&gt;=Inputs!$C$48,BL$3&lt;=Inputs!$C$15*12),-Inputs!$E$43/12*(1+Inputs!$C$47)^(BL$5-1),0)</f>
        <v>0</v>
      </c>
      <c r="BM31" s="153">
        <f>IF(AND(BM$3&gt;=Inputs!$C$48,BM$3&lt;=Inputs!$C$15*12),-Inputs!$E$43/12*(1+Inputs!$C$47)^(BM$5-1),0)</f>
        <v>0</v>
      </c>
      <c r="BN31" s="153">
        <f>IF(AND(BN$3&gt;=Inputs!$C$48,BN$3&lt;=Inputs!$C$15*12),-Inputs!$E$43/12*(1+Inputs!$C$47)^(BN$5-1),0)</f>
        <v>0</v>
      </c>
      <c r="BO31" s="153">
        <f>IF(AND(BO$3&gt;=Inputs!$C$48,BO$3&lt;=Inputs!$C$15*12),-Inputs!$E$43/12*(1+Inputs!$C$47)^(BO$5-1),0)</f>
        <v>0</v>
      </c>
      <c r="BP31" s="153">
        <f>IF(AND(BP$3&gt;=Inputs!$C$48,BP$3&lt;=Inputs!$C$15*12),-Inputs!$E$43/12*(1+Inputs!$C$47)^(BP$5-1),0)</f>
        <v>0</v>
      </c>
      <c r="BQ31" s="153">
        <f>IF(AND(BQ$3&gt;=Inputs!$C$48,BQ$3&lt;=Inputs!$C$15*12),-Inputs!$E$43/12*(1+Inputs!$C$47)^(BQ$5-1),0)</f>
        <v>0</v>
      </c>
      <c r="BR31" s="153">
        <f>IF(AND(BR$3&gt;=Inputs!$C$48,BR$3&lt;=Inputs!$C$15*12),-Inputs!$E$43/12*(1+Inputs!$C$47)^(BR$5-1),0)</f>
        <v>0</v>
      </c>
      <c r="BS31" s="153">
        <f>IF(AND(BS$3&gt;=Inputs!$C$48,BS$3&lt;=Inputs!$C$15*12),-Inputs!$E$43/12*(1+Inputs!$C$47)^(BS$5-1),0)</f>
        <v>0</v>
      </c>
      <c r="BT31" s="153">
        <f>IF(AND(BT$3&gt;=Inputs!$C$48,BT$3&lt;=Inputs!$C$15*12),-Inputs!$E$43/12*(1+Inputs!$C$47)^(BT$5-1),0)</f>
        <v>0</v>
      </c>
      <c r="BU31" s="153">
        <f>IF(AND(BU$3&gt;=Inputs!$C$48,BU$3&lt;=Inputs!$C$15*12),-Inputs!$E$43/12*(1+Inputs!$C$47)^(BU$5-1),0)</f>
        <v>0</v>
      </c>
      <c r="BV31" s="153">
        <f>IF(AND(BV$3&gt;=Inputs!$C$48,BV$3&lt;=Inputs!$C$15*12),-Inputs!$E$43/12*(1+Inputs!$C$47)^(BV$5-1),0)</f>
        <v>0</v>
      </c>
      <c r="BW31" s="153">
        <f>IF(AND(BW$3&gt;=Inputs!$C$48,BW$3&lt;=Inputs!$C$15*12),-Inputs!$E$43/12*(1+Inputs!$C$47)^(BW$5-1),0)</f>
        <v>0</v>
      </c>
      <c r="BX31" s="153">
        <f>IF(AND(BX$3&gt;=Inputs!$C$48,BX$3&lt;=Inputs!$C$15*12),-Inputs!$E$43/12*(1+Inputs!$C$47)^(BX$5-1),0)</f>
        <v>0</v>
      </c>
      <c r="BY31" s="153">
        <f>IF(AND(BY$3&gt;=Inputs!$C$48,BY$3&lt;=Inputs!$C$15*12),-Inputs!$E$43/12*(1+Inputs!$C$47)^(BY$5-1),0)</f>
        <v>0</v>
      </c>
      <c r="BZ31" s="153">
        <f>IF(AND(BZ$3&gt;=Inputs!$C$48,BZ$3&lt;=Inputs!$C$15*12),-Inputs!$E$43/12*(1+Inputs!$C$47)^(BZ$5-1),0)</f>
        <v>0</v>
      </c>
      <c r="CA31" s="153">
        <f>IF(AND(CA$3&gt;=Inputs!$C$48,CA$3&lt;=Inputs!$C$15*12),-Inputs!$E$43/12*(1+Inputs!$C$47)^(CA$5-1),0)</f>
        <v>0</v>
      </c>
      <c r="CB31" s="153">
        <f>IF(AND(CB$3&gt;=Inputs!$C$48,CB$3&lt;=Inputs!$C$15*12),-Inputs!$E$43/12*(1+Inputs!$C$47)^(CB$5-1),0)</f>
        <v>0</v>
      </c>
      <c r="CC31" s="153">
        <f>IF(AND(CC$3&gt;=Inputs!$C$48,CC$3&lt;=Inputs!$C$15*12),-Inputs!$E$43/12*(1+Inputs!$C$47)^(CC$5-1),0)</f>
        <v>0</v>
      </c>
      <c r="CD31" s="153">
        <f>IF(AND(CD$3&gt;=Inputs!$C$48,CD$3&lt;=Inputs!$C$15*12),-Inputs!$E$43/12*(1+Inputs!$C$47)^(CD$5-1),0)</f>
        <v>0</v>
      </c>
      <c r="CE31" s="153">
        <f>IF(AND(CE$3&gt;=Inputs!$C$48,CE$3&lt;=Inputs!$C$15*12),-Inputs!$E$43/12*(1+Inputs!$C$47)^(CE$5-1),0)</f>
        <v>0</v>
      </c>
      <c r="CF31" s="153">
        <f>IF(AND(CF$3&gt;=Inputs!$C$48,CF$3&lt;=Inputs!$C$15*12),-Inputs!$E$43/12*(1+Inputs!$C$47)^(CF$5-1),0)</f>
        <v>0</v>
      </c>
      <c r="CG31" s="153">
        <f>IF(AND(CG$3&gt;=Inputs!$C$48,CG$3&lt;=Inputs!$C$15*12),-Inputs!$E$43/12*(1+Inputs!$C$47)^(CG$5-1),0)</f>
        <v>0</v>
      </c>
      <c r="CH31" s="153">
        <f>IF(AND(CH$3&gt;=Inputs!$C$48,CH$3&lt;=Inputs!$C$15*12),-Inputs!$E$43/12*(1+Inputs!$C$47)^(CH$5-1),0)</f>
        <v>0</v>
      </c>
      <c r="CI31" s="153">
        <f>IF(AND(CI$3&gt;=Inputs!$C$48,CI$3&lt;=Inputs!$C$15*12),-Inputs!$E$43/12*(1+Inputs!$C$47)^(CI$5-1),0)</f>
        <v>0</v>
      </c>
      <c r="CJ31" s="153">
        <f>IF(AND(CJ$3&gt;=Inputs!$C$48,CJ$3&lt;=Inputs!$C$15*12),-Inputs!$E$43/12*(1+Inputs!$C$47)^(CJ$5-1),0)</f>
        <v>0</v>
      </c>
      <c r="CK31" s="153">
        <f>IF(AND(CK$3&gt;=Inputs!$C$48,CK$3&lt;=Inputs!$C$15*12),-Inputs!$E$43/12*(1+Inputs!$C$47)^(CK$5-1),0)</f>
        <v>0</v>
      </c>
      <c r="CL31" s="153">
        <f>IF(AND(CL$3&gt;=Inputs!$C$48,CL$3&lt;=Inputs!$C$15*12),-Inputs!$E$43/12*(1+Inputs!$C$47)^(CL$5-1),0)</f>
        <v>0</v>
      </c>
      <c r="CM31" s="153">
        <f>IF(AND(CM$3&gt;=Inputs!$C$48,CM$3&lt;=Inputs!$C$15*12),-Inputs!$E$43/12*(1+Inputs!$C$47)^(CM$5-1),0)</f>
        <v>0</v>
      </c>
      <c r="CN31" s="153">
        <f>IF(AND(CN$3&gt;=Inputs!$C$48,CN$3&lt;=Inputs!$C$15*12),-Inputs!$E$43/12*(1+Inputs!$C$47)^(CN$5-1),0)</f>
        <v>0</v>
      </c>
      <c r="CO31" s="153">
        <f>IF(AND(CO$3&gt;=Inputs!$C$48,CO$3&lt;=Inputs!$C$15*12),-Inputs!$E$43/12*(1+Inputs!$C$47)^(CO$5-1),0)</f>
        <v>0</v>
      </c>
      <c r="CP31" s="153">
        <f>IF(AND(CP$3&gt;=Inputs!$C$48,CP$3&lt;=Inputs!$C$15*12),-Inputs!$E$43/12*(1+Inputs!$C$47)^(CP$5-1),0)</f>
        <v>0</v>
      </c>
      <c r="CQ31" s="153">
        <f>IF(AND(CQ$3&gt;=Inputs!$C$48,CQ$3&lt;=Inputs!$C$15*12),-Inputs!$E$43/12*(1+Inputs!$C$47)^(CQ$5-1),0)</f>
        <v>0</v>
      </c>
      <c r="CR31" s="153">
        <f>IF(AND(CR$3&gt;=Inputs!$C$48,CR$3&lt;=Inputs!$C$15*12),-Inputs!$E$43/12*(1+Inputs!$C$47)^(CR$5-1),0)</f>
        <v>0</v>
      </c>
      <c r="CS31" s="153">
        <f>IF(AND(CS$3&gt;=Inputs!$C$48,CS$3&lt;=Inputs!$C$15*12),-Inputs!$E$43/12*(1+Inputs!$C$47)^(CS$5-1),0)</f>
        <v>0</v>
      </c>
      <c r="CT31" s="153">
        <f>IF(AND(CT$3&gt;=Inputs!$C$48,CT$3&lt;=Inputs!$C$15*12),-Inputs!$E$43/12*(1+Inputs!$C$47)^(CT$5-1),0)</f>
        <v>0</v>
      </c>
      <c r="CU31" s="153">
        <f>IF(AND(CU$3&gt;=Inputs!$C$48,CU$3&lt;=Inputs!$C$15*12),-Inputs!$E$43/12*(1+Inputs!$C$47)^(CU$5-1),0)</f>
        <v>0</v>
      </c>
      <c r="CV31" s="153">
        <f>IF(AND(CV$3&gt;=Inputs!$C$48,CV$3&lt;=Inputs!$C$15*12),-Inputs!$E$43/12*(1+Inputs!$C$47)^(CV$5-1),0)</f>
        <v>0</v>
      </c>
      <c r="CW31" s="153">
        <f>IF(AND(CW$3&gt;=Inputs!$C$48,CW$3&lt;=Inputs!$C$15*12),-Inputs!$E$43/12*(1+Inputs!$C$47)^(CW$5-1),0)</f>
        <v>0</v>
      </c>
      <c r="CX31" s="153">
        <f>IF(AND(CX$3&gt;=Inputs!$C$48,CX$3&lt;=Inputs!$C$15*12),-Inputs!$E$43/12*(1+Inputs!$C$47)^(CX$5-1),0)</f>
        <v>0</v>
      </c>
      <c r="CY31" s="153">
        <f>IF(AND(CY$3&gt;=Inputs!$C$48,CY$3&lt;=Inputs!$C$15*12),-Inputs!$E$43/12*(1+Inputs!$C$47)^(CY$5-1),0)</f>
        <v>0</v>
      </c>
      <c r="CZ31" s="153">
        <f>IF(AND(CZ$3&gt;=Inputs!$C$48,CZ$3&lt;=Inputs!$C$15*12),-Inputs!$E$43/12*(1+Inputs!$C$47)^(CZ$5-1),0)</f>
        <v>0</v>
      </c>
      <c r="DA31" s="153">
        <f>IF(AND(DA$3&gt;=Inputs!$C$48,DA$3&lt;=Inputs!$C$15*12),-Inputs!$E$43/12*(1+Inputs!$C$47)^(DA$5-1),0)</f>
        <v>0</v>
      </c>
      <c r="DB31" s="153">
        <f>IF(AND(DB$3&gt;=Inputs!$C$48,DB$3&lt;=Inputs!$C$15*12),-Inputs!$E$43/12*(1+Inputs!$C$47)^(DB$5-1),0)</f>
        <v>0</v>
      </c>
      <c r="DC31" s="153">
        <f>IF(AND(DC$3&gt;=Inputs!$C$48,DC$3&lt;=Inputs!$C$15*12),-Inputs!$E$43/12*(1+Inputs!$C$47)^(DC$5-1),0)</f>
        <v>0</v>
      </c>
      <c r="DD31" s="153">
        <f>IF(AND(DD$3&gt;=Inputs!$C$48,DD$3&lt;=Inputs!$C$15*12),-Inputs!$E$43/12*(1+Inputs!$C$47)^(DD$5-1),0)</f>
        <v>0</v>
      </c>
      <c r="DE31" s="153">
        <f>IF(AND(DE$3&gt;=Inputs!$C$48,DE$3&lt;=Inputs!$C$15*12),-Inputs!$E$43/12*(1+Inputs!$C$47)^(DE$5-1),0)</f>
        <v>0</v>
      </c>
      <c r="DF31" s="153">
        <f>IF(AND(DF$3&gt;=Inputs!$C$48,DF$3&lt;=Inputs!$C$15*12),-Inputs!$E$43/12*(1+Inputs!$C$47)^(DF$5-1),0)</f>
        <v>0</v>
      </c>
      <c r="DG31" s="153">
        <f>IF(AND(DG$3&gt;=Inputs!$C$48,DG$3&lt;=Inputs!$C$15*12),-Inputs!$E$43/12*(1+Inputs!$C$47)^(DG$5-1),0)</f>
        <v>0</v>
      </c>
      <c r="DH31" s="153">
        <f>IF(AND(DH$3&gt;=Inputs!$C$48,DH$3&lt;=Inputs!$C$15*12),-Inputs!$E$43/12*(1+Inputs!$C$47)^(DH$5-1),0)</f>
        <v>0</v>
      </c>
      <c r="DI31" s="153">
        <f>IF(AND(DI$3&gt;=Inputs!$C$48,DI$3&lt;=Inputs!$C$15*12),-Inputs!$E$43/12*(1+Inputs!$C$47)^(DI$5-1),0)</f>
        <v>0</v>
      </c>
      <c r="DJ31" s="153">
        <f>IF(AND(DJ$3&gt;=Inputs!$C$48,DJ$3&lt;=Inputs!$C$15*12),-Inputs!$E$43/12*(1+Inputs!$C$47)^(DJ$5-1),0)</f>
        <v>0</v>
      </c>
      <c r="DK31" s="153">
        <f>IF(AND(DK$3&gt;=Inputs!$C$48,DK$3&lt;=Inputs!$C$15*12),-Inputs!$E$43/12*(1+Inputs!$C$47)^(DK$5-1),0)</f>
        <v>0</v>
      </c>
      <c r="DL31" s="153">
        <f>IF(AND(DL$3&gt;=Inputs!$C$48,DL$3&lt;=Inputs!$C$15*12),-Inputs!$E$43/12*(1+Inputs!$C$47)^(DL$5-1),0)</f>
        <v>0</v>
      </c>
      <c r="DM31" s="153">
        <f>IF(AND(DM$3&gt;=Inputs!$C$48,DM$3&lt;=Inputs!$C$15*12),-Inputs!$E$43/12*(1+Inputs!$C$47)^(DM$5-1),0)</f>
        <v>0</v>
      </c>
      <c r="DN31" s="153">
        <f>IF(AND(DN$3&gt;=Inputs!$C$48,DN$3&lt;=Inputs!$C$15*12),-Inputs!$E$43/12*(1+Inputs!$C$47)^(DN$5-1),0)</f>
        <v>0</v>
      </c>
      <c r="DO31" s="153">
        <f>IF(AND(DO$3&gt;=Inputs!$C$48,DO$3&lt;=Inputs!$C$15*12),-Inputs!$E$43/12*(1+Inputs!$C$47)^(DO$5-1),0)</f>
        <v>0</v>
      </c>
      <c r="DP31" s="153">
        <f>IF(AND(DP$3&gt;=Inputs!$C$48,DP$3&lt;=Inputs!$C$15*12),-Inputs!$E$43/12*(1+Inputs!$C$47)^(DP$5-1),0)</f>
        <v>0</v>
      </c>
      <c r="DQ31" s="153">
        <f>IF(AND(DQ$3&gt;=Inputs!$C$48,DQ$3&lt;=Inputs!$C$15*12),-Inputs!$E$43/12*(1+Inputs!$C$47)^(DQ$5-1),0)</f>
        <v>0</v>
      </c>
      <c r="DR31" s="153">
        <f>IF(AND(DR$3&gt;=Inputs!$C$48,DR$3&lt;=Inputs!$C$15*12),-Inputs!$E$43/12*(1+Inputs!$C$47)^(DR$5-1),0)</f>
        <v>0</v>
      </c>
      <c r="DS31" s="54"/>
    </row>
    <row r="32" ht="15.0" customHeight="1">
      <c r="A32" s="54"/>
      <c r="B32" s="56" t="str">
        <f>Inputs!B44</f>
        <v>  Legal &amp; Professional</v>
      </c>
      <c r="C32" s="153">
        <f>IF(AND(C$3&gt;=Inputs!$C$48,C$3&lt;=Inputs!$C$15*12),-Inputs!$E$44/12*(1+Inputs!$C$47)^(C$5-1),0)</f>
        <v>0</v>
      </c>
      <c r="D32" s="153">
        <f>IF(AND(D$3&gt;=Inputs!$C$48,D$3&lt;=Inputs!$C$15*12),-Inputs!$E$44/12*(1+Inputs!$C$47)^(D$5-1),0)</f>
        <v>0</v>
      </c>
      <c r="E32" s="153">
        <f>IF(AND(E$3&gt;=Inputs!$C$48,E$3&lt;=Inputs!$C$15*12),-Inputs!$E$44/12*(1+Inputs!$C$47)^(E$5-1),0)</f>
        <v>0</v>
      </c>
      <c r="F32" s="153">
        <f>IF(AND(F$3&gt;=Inputs!$C$48,F$3&lt;=Inputs!$C$15*12),-Inputs!$E$44/12*(1+Inputs!$C$47)^(F$5-1),0)</f>
        <v>0</v>
      </c>
      <c r="G32" s="153">
        <f>IF(AND(G$3&gt;=Inputs!$C$48,G$3&lt;=Inputs!$C$15*12),-Inputs!$E$44/12*(1+Inputs!$C$47)^(G$5-1),0)</f>
        <v>0</v>
      </c>
      <c r="H32" s="153">
        <f>IF(AND(H$3&gt;=Inputs!$C$48,H$3&lt;=Inputs!$C$15*12),-Inputs!$E$44/12*(1+Inputs!$C$47)^(H$5-1),0)</f>
        <v>0</v>
      </c>
      <c r="I32" s="153">
        <f>IF(AND(I$3&gt;=Inputs!$C$48,I$3&lt;=Inputs!$C$15*12),-Inputs!$E$44/12*(1+Inputs!$C$47)^(I$5-1),0)</f>
        <v>0</v>
      </c>
      <c r="J32" s="153">
        <f>IF(AND(J$3&gt;=Inputs!$C$48,J$3&lt;=Inputs!$C$15*12),-Inputs!$E$44/12*(1+Inputs!$C$47)^(J$5-1),0)</f>
        <v>0</v>
      </c>
      <c r="K32" s="153">
        <f>IF(AND(K$3&gt;=Inputs!$C$48,K$3&lt;=Inputs!$C$15*12),-Inputs!$E$44/12*(1+Inputs!$C$47)^(K$5-1),0)</f>
        <v>0</v>
      </c>
      <c r="L32" s="153">
        <f>IF(AND(L$3&gt;=Inputs!$C$48,L$3&lt;=Inputs!$C$15*12),-Inputs!$E$44/12*(1+Inputs!$C$47)^(L$5-1),0)</f>
        <v>0</v>
      </c>
      <c r="M32" s="153">
        <f>IF(AND(M$3&gt;=Inputs!$C$48,M$3&lt;=Inputs!$C$15*12),-Inputs!$E$44/12*(1+Inputs!$C$47)^(M$5-1),0)</f>
        <v>0</v>
      </c>
      <c r="N32" s="153">
        <f>IF(AND(N$3&gt;=Inputs!$C$48,N$3&lt;=Inputs!$C$15*12),-Inputs!$E$44/12*(1+Inputs!$C$47)^(N$5-1),0)</f>
        <v>0</v>
      </c>
      <c r="O32" s="153">
        <f>IF(AND(O$3&gt;=Inputs!$C$48,O$3&lt;=Inputs!$C$15*12),-Inputs!$E$44/12*(1+Inputs!$C$47)^(O$5-1),0)</f>
        <v>0</v>
      </c>
      <c r="P32" s="153">
        <f>IF(AND(P$3&gt;=Inputs!$C$48,P$3&lt;=Inputs!$C$15*12),-Inputs!$E$44/12*(1+Inputs!$C$47)^(P$5-1),0)</f>
        <v>0</v>
      </c>
      <c r="Q32" s="153">
        <f>IF(AND(Q$3&gt;=Inputs!$C$48,Q$3&lt;=Inputs!$C$15*12),-Inputs!$E$44/12*(1+Inputs!$C$47)^(Q$5-1),0)</f>
        <v>0</v>
      </c>
      <c r="R32" s="153">
        <f>IF(AND(R$3&gt;=Inputs!$C$48,R$3&lt;=Inputs!$C$15*12),-Inputs!$E$44/12*(1+Inputs!$C$47)^(R$5-1),0)</f>
        <v>0</v>
      </c>
      <c r="S32" s="153">
        <f>IF(AND(S$3&gt;=Inputs!$C$48,S$3&lt;=Inputs!$C$15*12),-Inputs!$E$44/12*(1+Inputs!$C$47)^(S$5-1),0)</f>
        <v>0</v>
      </c>
      <c r="T32" s="153">
        <f>IF(AND(T$3&gt;=Inputs!$C$48,T$3&lt;=Inputs!$C$15*12),-Inputs!$E$44/12*(1+Inputs!$C$47)^(T$5-1),0)</f>
        <v>0</v>
      </c>
      <c r="U32" s="153">
        <f>IF(AND(U$3&gt;=Inputs!$C$48,U$3&lt;=Inputs!$C$15*12),-Inputs!$E$44/12*(1+Inputs!$C$47)^(U$5-1),0)</f>
        <v>0</v>
      </c>
      <c r="V32" s="153">
        <f>IF(AND(V$3&gt;=Inputs!$C$48,V$3&lt;=Inputs!$C$15*12),-Inputs!$E$44/12*(1+Inputs!$C$47)^(V$5-1),0)</f>
        <v>0</v>
      </c>
      <c r="W32" s="153">
        <f>IF(AND(W$3&gt;=Inputs!$C$48,W$3&lt;=Inputs!$C$15*12),-Inputs!$E$44/12*(1+Inputs!$C$47)^(W$5-1),0)</f>
        <v>0</v>
      </c>
      <c r="X32" s="153">
        <f>IF(AND(X$3&gt;=Inputs!$C$48,X$3&lt;=Inputs!$C$15*12),-Inputs!$E$44/12*(1+Inputs!$C$47)^(X$5-1),0)</f>
        <v>0</v>
      </c>
      <c r="Y32" s="153">
        <f>IF(AND(Y$3&gt;=Inputs!$C$48,Y$3&lt;=Inputs!$C$15*12),-Inputs!$E$44/12*(1+Inputs!$C$47)^(Y$5-1),0)</f>
        <v>0</v>
      </c>
      <c r="Z32" s="153">
        <f>IF(AND(Z$3&gt;=Inputs!$C$48,Z$3&lt;=Inputs!$C$15*12),-Inputs!$E$44/12*(1+Inputs!$C$47)^(Z$5-1),0)</f>
        <v>0</v>
      </c>
      <c r="AA32" s="153">
        <f>IF(AND(AA$3&gt;=Inputs!$C$48,AA$3&lt;=Inputs!$C$15*12),-Inputs!$E$44/12*(1+Inputs!$C$47)^(AA$5-1),0)</f>
        <v>0</v>
      </c>
      <c r="AB32" s="153">
        <f>IF(AND(AB$3&gt;=Inputs!$C$48,AB$3&lt;=Inputs!$C$15*12),-Inputs!$E$44/12*(1+Inputs!$C$47)^(AB$5-1),0)</f>
        <v>0</v>
      </c>
      <c r="AC32" s="153">
        <f>IF(AND(AC$3&gt;=Inputs!$C$48,AC$3&lt;=Inputs!$C$15*12),-Inputs!$E$44/12*(1+Inputs!$C$47)^(AC$5-1),0)</f>
        <v>0</v>
      </c>
      <c r="AD32" s="153">
        <f>IF(AND(AD$3&gt;=Inputs!$C$48,AD$3&lt;=Inputs!$C$15*12),-Inputs!$E$44/12*(1+Inputs!$C$47)^(AD$5-1),0)</f>
        <v>0</v>
      </c>
      <c r="AE32" s="153">
        <f>IF(AND(AE$3&gt;=Inputs!$C$48,AE$3&lt;=Inputs!$C$15*12),-Inputs!$E$44/12*(1+Inputs!$C$47)^(AE$5-1),0)</f>
        <v>0</v>
      </c>
      <c r="AF32" s="153">
        <f>IF(AND(AF$3&gt;=Inputs!$C$48,AF$3&lt;=Inputs!$C$15*12),-Inputs!$E$44/12*(1+Inputs!$C$47)^(AF$5-1),0)</f>
        <v>0</v>
      </c>
      <c r="AG32" s="153">
        <f>IF(AND(AG$3&gt;=Inputs!$C$48,AG$3&lt;=Inputs!$C$15*12),-Inputs!$E$44/12*(1+Inputs!$C$47)^(AG$5-1),0)</f>
        <v>0</v>
      </c>
      <c r="AH32" s="153">
        <f>IF(AND(AH$3&gt;=Inputs!$C$48,AH$3&lt;=Inputs!$C$15*12),-Inputs!$E$44/12*(1+Inputs!$C$47)^(AH$5-1),0)</f>
        <v>0</v>
      </c>
      <c r="AI32" s="153">
        <f>IF(AND(AI$3&gt;=Inputs!$C$48,AI$3&lt;=Inputs!$C$15*12),-Inputs!$E$44/12*(1+Inputs!$C$47)^(AI$5-1),0)</f>
        <v>0</v>
      </c>
      <c r="AJ32" s="153">
        <f>IF(AND(AJ$3&gt;=Inputs!$C$48,AJ$3&lt;=Inputs!$C$15*12),-Inputs!$E$44/12*(1+Inputs!$C$47)^(AJ$5-1),0)</f>
        <v>0</v>
      </c>
      <c r="AK32" s="153">
        <f>IF(AND(AK$3&gt;=Inputs!$C$48,AK$3&lt;=Inputs!$C$15*12),-Inputs!$E$44/12*(1+Inputs!$C$47)^(AK$5-1),0)</f>
        <v>0</v>
      </c>
      <c r="AL32" s="153">
        <f>IF(AND(AL$3&gt;=Inputs!$C$48,AL$3&lt;=Inputs!$C$15*12),-Inputs!$E$44/12*(1+Inputs!$C$47)^(AL$5-1),0)</f>
        <v>0</v>
      </c>
      <c r="AM32" s="153">
        <f>IF(AND(AM$3&gt;=Inputs!$C$48,AM$3&lt;=Inputs!$C$15*12),-Inputs!$E$44/12*(1+Inputs!$C$47)^(AM$5-1),0)</f>
        <v>0</v>
      </c>
      <c r="AN32" s="153">
        <f>IF(AND(AN$3&gt;=Inputs!$C$48,AN$3&lt;=Inputs!$C$15*12),-Inputs!$E$44/12*(1+Inputs!$C$47)^(AN$5-1),0)</f>
        <v>0</v>
      </c>
      <c r="AO32" s="153">
        <f>IF(AND(AO$3&gt;=Inputs!$C$48,AO$3&lt;=Inputs!$C$15*12),-Inputs!$E$44/12*(1+Inputs!$C$47)^(AO$5-1),0)</f>
        <v>0</v>
      </c>
      <c r="AP32" s="153">
        <f>IF(AND(AP$3&gt;=Inputs!$C$48,AP$3&lt;=Inputs!$C$15*12),-Inputs!$E$44/12*(1+Inputs!$C$47)^(AP$5-1),0)</f>
        <v>0</v>
      </c>
      <c r="AQ32" s="153">
        <f>IF(AND(AQ$3&gt;=Inputs!$C$48,AQ$3&lt;=Inputs!$C$15*12),-Inputs!$E$44/12*(1+Inputs!$C$47)^(AQ$5-1),0)</f>
        <v>0</v>
      </c>
      <c r="AR32" s="153">
        <f>IF(AND(AR$3&gt;=Inputs!$C$48,AR$3&lt;=Inputs!$C$15*12),-Inputs!$E$44/12*(1+Inputs!$C$47)^(AR$5-1),0)</f>
        <v>0</v>
      </c>
      <c r="AS32" s="153">
        <f>IF(AND(AS$3&gt;=Inputs!$C$48,AS$3&lt;=Inputs!$C$15*12),-Inputs!$E$44/12*(1+Inputs!$C$47)^(AS$5-1),0)</f>
        <v>0</v>
      </c>
      <c r="AT32" s="153">
        <f>IF(AND(AT$3&gt;=Inputs!$C$48,AT$3&lt;=Inputs!$C$15*12),-Inputs!$E$44/12*(1+Inputs!$C$47)^(AT$5-1),0)</f>
        <v>0</v>
      </c>
      <c r="AU32" s="153">
        <f>IF(AND(AU$3&gt;=Inputs!$C$48,AU$3&lt;=Inputs!$C$15*12),-Inputs!$E$44/12*(1+Inputs!$C$47)^(AU$5-1),0)</f>
        <v>0</v>
      </c>
      <c r="AV32" s="153">
        <f>IF(AND(AV$3&gt;=Inputs!$C$48,AV$3&lt;=Inputs!$C$15*12),-Inputs!$E$44/12*(1+Inputs!$C$47)^(AV$5-1),0)</f>
        <v>0</v>
      </c>
      <c r="AW32" s="153">
        <f>IF(AND(AW$3&gt;=Inputs!$C$48,AW$3&lt;=Inputs!$C$15*12),-Inputs!$E$44/12*(1+Inputs!$C$47)^(AW$5-1),0)</f>
        <v>0</v>
      </c>
      <c r="AX32" s="153">
        <f>IF(AND(AX$3&gt;=Inputs!$C$48,AX$3&lt;=Inputs!$C$15*12),-Inputs!$E$44/12*(1+Inputs!$C$47)^(AX$5-1),0)</f>
        <v>0</v>
      </c>
      <c r="AY32" s="153">
        <f>IF(AND(AY$3&gt;=Inputs!$C$48,AY$3&lt;=Inputs!$C$15*12),-Inputs!$E$44/12*(1+Inputs!$C$47)^(AY$5-1),0)</f>
        <v>0</v>
      </c>
      <c r="AZ32" s="153">
        <f>IF(AND(AZ$3&gt;=Inputs!$C$48,AZ$3&lt;=Inputs!$C$15*12),-Inputs!$E$44/12*(1+Inputs!$C$47)^(AZ$5-1),0)</f>
        <v>0</v>
      </c>
      <c r="BA32" s="153">
        <f>IF(AND(BA$3&gt;=Inputs!$C$48,BA$3&lt;=Inputs!$C$15*12),-Inputs!$E$44/12*(1+Inputs!$C$47)^(BA$5-1),0)</f>
        <v>0</v>
      </c>
      <c r="BB32" s="153">
        <f>IF(AND(BB$3&gt;=Inputs!$C$48,BB$3&lt;=Inputs!$C$15*12),-Inputs!$E$44/12*(1+Inputs!$C$47)^(BB$5-1),0)</f>
        <v>0</v>
      </c>
      <c r="BC32" s="153">
        <f>IF(AND(BC$3&gt;=Inputs!$C$48,BC$3&lt;=Inputs!$C$15*12),-Inputs!$E$44/12*(1+Inputs!$C$47)^(BC$5-1),0)</f>
        <v>0</v>
      </c>
      <c r="BD32" s="153">
        <f>IF(AND(BD$3&gt;=Inputs!$C$48,BD$3&lt;=Inputs!$C$15*12),-Inputs!$E$44/12*(1+Inputs!$C$47)^(BD$5-1),0)</f>
        <v>0</v>
      </c>
      <c r="BE32" s="153">
        <f>IF(AND(BE$3&gt;=Inputs!$C$48,BE$3&lt;=Inputs!$C$15*12),-Inputs!$E$44/12*(1+Inputs!$C$47)^(BE$5-1),0)</f>
        <v>0</v>
      </c>
      <c r="BF32" s="153">
        <f>IF(AND(BF$3&gt;=Inputs!$C$48,BF$3&lt;=Inputs!$C$15*12),-Inputs!$E$44/12*(1+Inputs!$C$47)^(BF$5-1),0)</f>
        <v>0</v>
      </c>
      <c r="BG32" s="153">
        <f>IF(AND(BG$3&gt;=Inputs!$C$48,BG$3&lt;=Inputs!$C$15*12),-Inputs!$E$44/12*(1+Inputs!$C$47)^(BG$5-1),0)</f>
        <v>0</v>
      </c>
      <c r="BH32" s="153">
        <f>IF(AND(BH$3&gt;=Inputs!$C$48,BH$3&lt;=Inputs!$C$15*12),-Inputs!$E$44/12*(1+Inputs!$C$47)^(BH$5-1),0)</f>
        <v>0</v>
      </c>
      <c r="BI32" s="153">
        <f>IF(AND(BI$3&gt;=Inputs!$C$48,BI$3&lt;=Inputs!$C$15*12),-Inputs!$E$44/12*(1+Inputs!$C$47)^(BI$5-1),0)</f>
        <v>0</v>
      </c>
      <c r="BJ32" s="153">
        <f>IF(AND(BJ$3&gt;=Inputs!$C$48,BJ$3&lt;=Inputs!$C$15*12),-Inputs!$E$44/12*(1+Inputs!$C$47)^(BJ$5-1),0)</f>
        <v>0</v>
      </c>
      <c r="BK32" s="153">
        <f>IF(AND(BK$3&gt;=Inputs!$C$48,BK$3&lt;=Inputs!$C$15*12),-Inputs!$E$44/12*(1+Inputs!$C$47)^(BK$5-1),0)</f>
        <v>0</v>
      </c>
      <c r="BL32" s="153">
        <f>IF(AND(BL$3&gt;=Inputs!$C$48,BL$3&lt;=Inputs!$C$15*12),-Inputs!$E$44/12*(1+Inputs!$C$47)^(BL$5-1),0)</f>
        <v>0</v>
      </c>
      <c r="BM32" s="153">
        <f>IF(AND(BM$3&gt;=Inputs!$C$48,BM$3&lt;=Inputs!$C$15*12),-Inputs!$E$44/12*(1+Inputs!$C$47)^(BM$5-1),0)</f>
        <v>0</v>
      </c>
      <c r="BN32" s="153">
        <f>IF(AND(BN$3&gt;=Inputs!$C$48,BN$3&lt;=Inputs!$C$15*12),-Inputs!$E$44/12*(1+Inputs!$C$47)^(BN$5-1),0)</f>
        <v>0</v>
      </c>
      <c r="BO32" s="153">
        <f>IF(AND(BO$3&gt;=Inputs!$C$48,BO$3&lt;=Inputs!$C$15*12),-Inputs!$E$44/12*(1+Inputs!$C$47)^(BO$5-1),0)</f>
        <v>0</v>
      </c>
      <c r="BP32" s="153">
        <f>IF(AND(BP$3&gt;=Inputs!$C$48,BP$3&lt;=Inputs!$C$15*12),-Inputs!$E$44/12*(1+Inputs!$C$47)^(BP$5-1),0)</f>
        <v>0</v>
      </c>
      <c r="BQ32" s="153">
        <f>IF(AND(BQ$3&gt;=Inputs!$C$48,BQ$3&lt;=Inputs!$C$15*12),-Inputs!$E$44/12*(1+Inputs!$C$47)^(BQ$5-1),0)</f>
        <v>0</v>
      </c>
      <c r="BR32" s="153">
        <f>IF(AND(BR$3&gt;=Inputs!$C$48,BR$3&lt;=Inputs!$C$15*12),-Inputs!$E$44/12*(1+Inputs!$C$47)^(BR$5-1),0)</f>
        <v>0</v>
      </c>
      <c r="BS32" s="153">
        <f>IF(AND(BS$3&gt;=Inputs!$C$48,BS$3&lt;=Inputs!$C$15*12),-Inputs!$E$44/12*(1+Inputs!$C$47)^(BS$5-1),0)</f>
        <v>0</v>
      </c>
      <c r="BT32" s="153">
        <f>IF(AND(BT$3&gt;=Inputs!$C$48,BT$3&lt;=Inputs!$C$15*12),-Inputs!$E$44/12*(1+Inputs!$C$47)^(BT$5-1),0)</f>
        <v>0</v>
      </c>
      <c r="BU32" s="153">
        <f>IF(AND(BU$3&gt;=Inputs!$C$48,BU$3&lt;=Inputs!$C$15*12),-Inputs!$E$44/12*(1+Inputs!$C$47)^(BU$5-1),0)</f>
        <v>0</v>
      </c>
      <c r="BV32" s="153">
        <f>IF(AND(BV$3&gt;=Inputs!$C$48,BV$3&lt;=Inputs!$C$15*12),-Inputs!$E$44/12*(1+Inputs!$C$47)^(BV$5-1),0)</f>
        <v>0</v>
      </c>
      <c r="BW32" s="153">
        <f>IF(AND(BW$3&gt;=Inputs!$C$48,BW$3&lt;=Inputs!$C$15*12),-Inputs!$E$44/12*(1+Inputs!$C$47)^(BW$5-1),0)</f>
        <v>0</v>
      </c>
      <c r="BX32" s="153">
        <f>IF(AND(BX$3&gt;=Inputs!$C$48,BX$3&lt;=Inputs!$C$15*12),-Inputs!$E$44/12*(1+Inputs!$C$47)^(BX$5-1),0)</f>
        <v>0</v>
      </c>
      <c r="BY32" s="153">
        <f>IF(AND(BY$3&gt;=Inputs!$C$48,BY$3&lt;=Inputs!$C$15*12),-Inputs!$E$44/12*(1+Inputs!$C$47)^(BY$5-1),0)</f>
        <v>0</v>
      </c>
      <c r="BZ32" s="153">
        <f>IF(AND(BZ$3&gt;=Inputs!$C$48,BZ$3&lt;=Inputs!$C$15*12),-Inputs!$E$44/12*(1+Inputs!$C$47)^(BZ$5-1),0)</f>
        <v>0</v>
      </c>
      <c r="CA32" s="153">
        <f>IF(AND(CA$3&gt;=Inputs!$C$48,CA$3&lt;=Inputs!$C$15*12),-Inputs!$E$44/12*(1+Inputs!$C$47)^(CA$5-1),0)</f>
        <v>0</v>
      </c>
      <c r="CB32" s="153">
        <f>IF(AND(CB$3&gt;=Inputs!$C$48,CB$3&lt;=Inputs!$C$15*12),-Inputs!$E$44/12*(1+Inputs!$C$47)^(CB$5-1),0)</f>
        <v>0</v>
      </c>
      <c r="CC32" s="153">
        <f>IF(AND(CC$3&gt;=Inputs!$C$48,CC$3&lt;=Inputs!$C$15*12),-Inputs!$E$44/12*(1+Inputs!$C$47)^(CC$5-1),0)</f>
        <v>0</v>
      </c>
      <c r="CD32" s="153">
        <f>IF(AND(CD$3&gt;=Inputs!$C$48,CD$3&lt;=Inputs!$C$15*12),-Inputs!$E$44/12*(1+Inputs!$C$47)^(CD$5-1),0)</f>
        <v>0</v>
      </c>
      <c r="CE32" s="153">
        <f>IF(AND(CE$3&gt;=Inputs!$C$48,CE$3&lt;=Inputs!$C$15*12),-Inputs!$E$44/12*(1+Inputs!$C$47)^(CE$5-1),0)</f>
        <v>0</v>
      </c>
      <c r="CF32" s="153">
        <f>IF(AND(CF$3&gt;=Inputs!$C$48,CF$3&lt;=Inputs!$C$15*12),-Inputs!$E$44/12*(1+Inputs!$C$47)^(CF$5-1),0)</f>
        <v>0</v>
      </c>
      <c r="CG32" s="153">
        <f>IF(AND(CG$3&gt;=Inputs!$C$48,CG$3&lt;=Inputs!$C$15*12),-Inputs!$E$44/12*(1+Inputs!$C$47)^(CG$5-1),0)</f>
        <v>0</v>
      </c>
      <c r="CH32" s="153">
        <f>IF(AND(CH$3&gt;=Inputs!$C$48,CH$3&lt;=Inputs!$C$15*12),-Inputs!$E$44/12*(1+Inputs!$C$47)^(CH$5-1),0)</f>
        <v>0</v>
      </c>
      <c r="CI32" s="153">
        <f>IF(AND(CI$3&gt;=Inputs!$C$48,CI$3&lt;=Inputs!$C$15*12),-Inputs!$E$44/12*(1+Inputs!$C$47)^(CI$5-1),0)</f>
        <v>0</v>
      </c>
      <c r="CJ32" s="153">
        <f>IF(AND(CJ$3&gt;=Inputs!$C$48,CJ$3&lt;=Inputs!$C$15*12),-Inputs!$E$44/12*(1+Inputs!$C$47)^(CJ$5-1),0)</f>
        <v>0</v>
      </c>
      <c r="CK32" s="153">
        <f>IF(AND(CK$3&gt;=Inputs!$C$48,CK$3&lt;=Inputs!$C$15*12),-Inputs!$E$44/12*(1+Inputs!$C$47)^(CK$5-1),0)</f>
        <v>0</v>
      </c>
      <c r="CL32" s="153">
        <f>IF(AND(CL$3&gt;=Inputs!$C$48,CL$3&lt;=Inputs!$C$15*12),-Inputs!$E$44/12*(1+Inputs!$C$47)^(CL$5-1),0)</f>
        <v>0</v>
      </c>
      <c r="CM32" s="153">
        <f>IF(AND(CM$3&gt;=Inputs!$C$48,CM$3&lt;=Inputs!$C$15*12),-Inputs!$E$44/12*(1+Inputs!$C$47)^(CM$5-1),0)</f>
        <v>0</v>
      </c>
      <c r="CN32" s="153">
        <f>IF(AND(CN$3&gt;=Inputs!$C$48,CN$3&lt;=Inputs!$C$15*12),-Inputs!$E$44/12*(1+Inputs!$C$47)^(CN$5-1),0)</f>
        <v>0</v>
      </c>
      <c r="CO32" s="153">
        <f>IF(AND(CO$3&gt;=Inputs!$C$48,CO$3&lt;=Inputs!$C$15*12),-Inputs!$E$44/12*(1+Inputs!$C$47)^(CO$5-1),0)</f>
        <v>0</v>
      </c>
      <c r="CP32" s="153">
        <f>IF(AND(CP$3&gt;=Inputs!$C$48,CP$3&lt;=Inputs!$C$15*12),-Inputs!$E$44/12*(1+Inputs!$C$47)^(CP$5-1),0)</f>
        <v>0</v>
      </c>
      <c r="CQ32" s="153">
        <f>IF(AND(CQ$3&gt;=Inputs!$C$48,CQ$3&lt;=Inputs!$C$15*12),-Inputs!$E$44/12*(1+Inputs!$C$47)^(CQ$5-1),0)</f>
        <v>0</v>
      </c>
      <c r="CR32" s="153">
        <f>IF(AND(CR$3&gt;=Inputs!$C$48,CR$3&lt;=Inputs!$C$15*12),-Inputs!$E$44/12*(1+Inputs!$C$47)^(CR$5-1),0)</f>
        <v>0</v>
      </c>
      <c r="CS32" s="153">
        <f>IF(AND(CS$3&gt;=Inputs!$C$48,CS$3&lt;=Inputs!$C$15*12),-Inputs!$E$44/12*(1+Inputs!$C$47)^(CS$5-1),0)</f>
        <v>0</v>
      </c>
      <c r="CT32" s="153">
        <f>IF(AND(CT$3&gt;=Inputs!$C$48,CT$3&lt;=Inputs!$C$15*12),-Inputs!$E$44/12*(1+Inputs!$C$47)^(CT$5-1),0)</f>
        <v>0</v>
      </c>
      <c r="CU32" s="153">
        <f>IF(AND(CU$3&gt;=Inputs!$C$48,CU$3&lt;=Inputs!$C$15*12),-Inputs!$E$44/12*(1+Inputs!$C$47)^(CU$5-1),0)</f>
        <v>0</v>
      </c>
      <c r="CV32" s="153">
        <f>IF(AND(CV$3&gt;=Inputs!$C$48,CV$3&lt;=Inputs!$C$15*12),-Inputs!$E$44/12*(1+Inputs!$C$47)^(CV$5-1),0)</f>
        <v>0</v>
      </c>
      <c r="CW32" s="153">
        <f>IF(AND(CW$3&gt;=Inputs!$C$48,CW$3&lt;=Inputs!$C$15*12),-Inputs!$E$44/12*(1+Inputs!$C$47)^(CW$5-1),0)</f>
        <v>0</v>
      </c>
      <c r="CX32" s="153">
        <f>IF(AND(CX$3&gt;=Inputs!$C$48,CX$3&lt;=Inputs!$C$15*12),-Inputs!$E$44/12*(1+Inputs!$C$47)^(CX$5-1),0)</f>
        <v>0</v>
      </c>
      <c r="CY32" s="153">
        <f>IF(AND(CY$3&gt;=Inputs!$C$48,CY$3&lt;=Inputs!$C$15*12),-Inputs!$E$44/12*(1+Inputs!$C$47)^(CY$5-1),0)</f>
        <v>0</v>
      </c>
      <c r="CZ32" s="153">
        <f>IF(AND(CZ$3&gt;=Inputs!$C$48,CZ$3&lt;=Inputs!$C$15*12),-Inputs!$E$44/12*(1+Inputs!$C$47)^(CZ$5-1),0)</f>
        <v>0</v>
      </c>
      <c r="DA32" s="153">
        <f>IF(AND(DA$3&gt;=Inputs!$C$48,DA$3&lt;=Inputs!$C$15*12),-Inputs!$E$44/12*(1+Inputs!$C$47)^(DA$5-1),0)</f>
        <v>0</v>
      </c>
      <c r="DB32" s="153">
        <f>IF(AND(DB$3&gt;=Inputs!$C$48,DB$3&lt;=Inputs!$C$15*12),-Inputs!$E$44/12*(1+Inputs!$C$47)^(DB$5-1),0)</f>
        <v>0</v>
      </c>
      <c r="DC32" s="153">
        <f>IF(AND(DC$3&gt;=Inputs!$C$48,DC$3&lt;=Inputs!$C$15*12),-Inputs!$E$44/12*(1+Inputs!$C$47)^(DC$5-1),0)</f>
        <v>0</v>
      </c>
      <c r="DD32" s="153">
        <f>IF(AND(DD$3&gt;=Inputs!$C$48,DD$3&lt;=Inputs!$C$15*12),-Inputs!$E$44/12*(1+Inputs!$C$47)^(DD$5-1),0)</f>
        <v>0</v>
      </c>
      <c r="DE32" s="153">
        <f>IF(AND(DE$3&gt;=Inputs!$C$48,DE$3&lt;=Inputs!$C$15*12),-Inputs!$E$44/12*(1+Inputs!$C$47)^(DE$5-1),0)</f>
        <v>0</v>
      </c>
      <c r="DF32" s="153">
        <f>IF(AND(DF$3&gt;=Inputs!$C$48,DF$3&lt;=Inputs!$C$15*12),-Inputs!$E$44/12*(1+Inputs!$C$47)^(DF$5-1),0)</f>
        <v>0</v>
      </c>
      <c r="DG32" s="153">
        <f>IF(AND(DG$3&gt;=Inputs!$C$48,DG$3&lt;=Inputs!$C$15*12),-Inputs!$E$44/12*(1+Inputs!$C$47)^(DG$5-1),0)</f>
        <v>0</v>
      </c>
      <c r="DH32" s="153">
        <f>IF(AND(DH$3&gt;=Inputs!$C$48,DH$3&lt;=Inputs!$C$15*12),-Inputs!$E$44/12*(1+Inputs!$C$47)^(DH$5-1),0)</f>
        <v>0</v>
      </c>
      <c r="DI32" s="153">
        <f>IF(AND(DI$3&gt;=Inputs!$C$48,DI$3&lt;=Inputs!$C$15*12),-Inputs!$E$44/12*(1+Inputs!$C$47)^(DI$5-1),0)</f>
        <v>0</v>
      </c>
      <c r="DJ32" s="153">
        <f>IF(AND(DJ$3&gt;=Inputs!$C$48,DJ$3&lt;=Inputs!$C$15*12),-Inputs!$E$44/12*(1+Inputs!$C$47)^(DJ$5-1),0)</f>
        <v>0</v>
      </c>
      <c r="DK32" s="153">
        <f>IF(AND(DK$3&gt;=Inputs!$C$48,DK$3&lt;=Inputs!$C$15*12),-Inputs!$E$44/12*(1+Inputs!$C$47)^(DK$5-1),0)</f>
        <v>0</v>
      </c>
      <c r="DL32" s="153">
        <f>IF(AND(DL$3&gt;=Inputs!$C$48,DL$3&lt;=Inputs!$C$15*12),-Inputs!$E$44/12*(1+Inputs!$C$47)^(DL$5-1),0)</f>
        <v>0</v>
      </c>
      <c r="DM32" s="153">
        <f>IF(AND(DM$3&gt;=Inputs!$C$48,DM$3&lt;=Inputs!$C$15*12),-Inputs!$E$44/12*(1+Inputs!$C$47)^(DM$5-1),0)</f>
        <v>0</v>
      </c>
      <c r="DN32" s="153">
        <f>IF(AND(DN$3&gt;=Inputs!$C$48,DN$3&lt;=Inputs!$C$15*12),-Inputs!$E$44/12*(1+Inputs!$C$47)^(DN$5-1),0)</f>
        <v>0</v>
      </c>
      <c r="DO32" s="153">
        <f>IF(AND(DO$3&gt;=Inputs!$C$48,DO$3&lt;=Inputs!$C$15*12),-Inputs!$E$44/12*(1+Inputs!$C$47)^(DO$5-1),0)</f>
        <v>0</v>
      </c>
      <c r="DP32" s="153">
        <f>IF(AND(DP$3&gt;=Inputs!$C$48,DP$3&lt;=Inputs!$C$15*12),-Inputs!$E$44/12*(1+Inputs!$C$47)^(DP$5-1),0)</f>
        <v>0</v>
      </c>
      <c r="DQ32" s="153">
        <f>IF(AND(DQ$3&gt;=Inputs!$C$48,DQ$3&lt;=Inputs!$C$15*12),-Inputs!$E$44/12*(1+Inputs!$C$47)^(DQ$5-1),0)</f>
        <v>0</v>
      </c>
      <c r="DR32" s="153">
        <f>IF(AND(DR$3&gt;=Inputs!$C$48,DR$3&lt;=Inputs!$C$15*12),-Inputs!$E$44/12*(1+Inputs!$C$47)^(DR$5-1),0)</f>
        <v>0</v>
      </c>
      <c r="DS32" s="54"/>
    </row>
    <row r="33" ht="15.0" customHeight="1">
      <c r="A33" s="54"/>
      <c r="B33" s="56" t="str">
        <f>Inputs!B45</f>
        <v>  Turnover / Make-Ready</v>
      </c>
      <c r="C33" s="153">
        <f>IF(AND(C$3&gt;=Inputs!$C$48,C$3&lt;=Inputs!$C$15*12),-Inputs!$E$45/12*(1+Inputs!$C$47)^(C$5-1),0)</f>
        <v>0</v>
      </c>
      <c r="D33" s="153">
        <f>IF(AND(D$3&gt;=Inputs!$C$48,D$3&lt;=Inputs!$C$15*12),-Inputs!$E$45/12*(1+Inputs!$C$47)^(D$5-1),0)</f>
        <v>0</v>
      </c>
      <c r="E33" s="153">
        <f>IF(AND(E$3&gt;=Inputs!$C$48,E$3&lt;=Inputs!$C$15*12),-Inputs!$E$45/12*(1+Inputs!$C$47)^(E$5-1),0)</f>
        <v>0</v>
      </c>
      <c r="F33" s="153">
        <f>IF(AND(F$3&gt;=Inputs!$C$48,F$3&lt;=Inputs!$C$15*12),-Inputs!$E$45/12*(1+Inputs!$C$47)^(F$5-1),0)</f>
        <v>0</v>
      </c>
      <c r="G33" s="153">
        <f>IF(AND(G$3&gt;=Inputs!$C$48,G$3&lt;=Inputs!$C$15*12),-Inputs!$E$45/12*(1+Inputs!$C$47)^(G$5-1),0)</f>
        <v>0</v>
      </c>
      <c r="H33" s="153">
        <f>IF(AND(H$3&gt;=Inputs!$C$48,H$3&lt;=Inputs!$C$15*12),-Inputs!$E$45/12*(1+Inputs!$C$47)^(H$5-1),0)</f>
        <v>0</v>
      </c>
      <c r="I33" s="153">
        <f>IF(AND(I$3&gt;=Inputs!$C$48,I$3&lt;=Inputs!$C$15*12),-Inputs!$E$45/12*(1+Inputs!$C$47)^(I$5-1),0)</f>
        <v>0</v>
      </c>
      <c r="J33" s="153">
        <f>IF(AND(J$3&gt;=Inputs!$C$48,J$3&lt;=Inputs!$C$15*12),-Inputs!$E$45/12*(1+Inputs!$C$47)^(J$5-1),0)</f>
        <v>0</v>
      </c>
      <c r="K33" s="153">
        <f>IF(AND(K$3&gt;=Inputs!$C$48,K$3&lt;=Inputs!$C$15*12),-Inputs!$E$45/12*(1+Inputs!$C$47)^(K$5-1),0)</f>
        <v>0</v>
      </c>
      <c r="L33" s="153">
        <f>IF(AND(L$3&gt;=Inputs!$C$48,L$3&lt;=Inputs!$C$15*12),-Inputs!$E$45/12*(1+Inputs!$C$47)^(L$5-1),0)</f>
        <v>0</v>
      </c>
      <c r="M33" s="153">
        <f>IF(AND(M$3&gt;=Inputs!$C$48,M$3&lt;=Inputs!$C$15*12),-Inputs!$E$45/12*(1+Inputs!$C$47)^(M$5-1),0)</f>
        <v>0</v>
      </c>
      <c r="N33" s="153">
        <f>IF(AND(N$3&gt;=Inputs!$C$48,N$3&lt;=Inputs!$C$15*12),-Inputs!$E$45/12*(1+Inputs!$C$47)^(N$5-1),0)</f>
        <v>0</v>
      </c>
      <c r="O33" s="153">
        <f>IF(AND(O$3&gt;=Inputs!$C$48,O$3&lt;=Inputs!$C$15*12),-Inputs!$E$45/12*(1+Inputs!$C$47)^(O$5-1),0)</f>
        <v>0</v>
      </c>
      <c r="P33" s="153">
        <f>IF(AND(P$3&gt;=Inputs!$C$48,P$3&lt;=Inputs!$C$15*12),-Inputs!$E$45/12*(1+Inputs!$C$47)^(P$5-1),0)</f>
        <v>0</v>
      </c>
      <c r="Q33" s="153">
        <f>IF(AND(Q$3&gt;=Inputs!$C$48,Q$3&lt;=Inputs!$C$15*12),-Inputs!$E$45/12*(1+Inputs!$C$47)^(Q$5-1),0)</f>
        <v>0</v>
      </c>
      <c r="R33" s="153">
        <f>IF(AND(R$3&gt;=Inputs!$C$48,R$3&lt;=Inputs!$C$15*12),-Inputs!$E$45/12*(1+Inputs!$C$47)^(R$5-1),0)</f>
        <v>0</v>
      </c>
      <c r="S33" s="153">
        <f>IF(AND(S$3&gt;=Inputs!$C$48,S$3&lt;=Inputs!$C$15*12),-Inputs!$E$45/12*(1+Inputs!$C$47)^(S$5-1),0)</f>
        <v>0</v>
      </c>
      <c r="T33" s="153">
        <f>IF(AND(T$3&gt;=Inputs!$C$48,T$3&lt;=Inputs!$C$15*12),-Inputs!$E$45/12*(1+Inputs!$C$47)^(T$5-1),0)</f>
        <v>0</v>
      </c>
      <c r="U33" s="153">
        <f>IF(AND(U$3&gt;=Inputs!$C$48,U$3&lt;=Inputs!$C$15*12),-Inputs!$E$45/12*(1+Inputs!$C$47)^(U$5-1),0)</f>
        <v>0</v>
      </c>
      <c r="V33" s="153">
        <f>IF(AND(V$3&gt;=Inputs!$C$48,V$3&lt;=Inputs!$C$15*12),-Inputs!$E$45/12*(1+Inputs!$C$47)^(V$5-1),0)</f>
        <v>0</v>
      </c>
      <c r="W33" s="153">
        <f>IF(AND(W$3&gt;=Inputs!$C$48,W$3&lt;=Inputs!$C$15*12),-Inputs!$E$45/12*(1+Inputs!$C$47)^(W$5-1),0)</f>
        <v>0</v>
      </c>
      <c r="X33" s="153">
        <f>IF(AND(X$3&gt;=Inputs!$C$48,X$3&lt;=Inputs!$C$15*12),-Inputs!$E$45/12*(1+Inputs!$C$47)^(X$5-1),0)</f>
        <v>0</v>
      </c>
      <c r="Y33" s="153">
        <f>IF(AND(Y$3&gt;=Inputs!$C$48,Y$3&lt;=Inputs!$C$15*12),-Inputs!$E$45/12*(1+Inputs!$C$47)^(Y$5-1),0)</f>
        <v>0</v>
      </c>
      <c r="Z33" s="153">
        <f>IF(AND(Z$3&gt;=Inputs!$C$48,Z$3&lt;=Inputs!$C$15*12),-Inputs!$E$45/12*(1+Inputs!$C$47)^(Z$5-1),0)</f>
        <v>0</v>
      </c>
      <c r="AA33" s="153">
        <f>IF(AND(AA$3&gt;=Inputs!$C$48,AA$3&lt;=Inputs!$C$15*12),-Inputs!$E$45/12*(1+Inputs!$C$47)^(AA$5-1),0)</f>
        <v>0</v>
      </c>
      <c r="AB33" s="153">
        <f>IF(AND(AB$3&gt;=Inputs!$C$48,AB$3&lt;=Inputs!$C$15*12),-Inputs!$E$45/12*(1+Inputs!$C$47)^(AB$5-1),0)</f>
        <v>0</v>
      </c>
      <c r="AC33" s="153">
        <f>IF(AND(AC$3&gt;=Inputs!$C$48,AC$3&lt;=Inputs!$C$15*12),-Inputs!$E$45/12*(1+Inputs!$C$47)^(AC$5-1),0)</f>
        <v>0</v>
      </c>
      <c r="AD33" s="153">
        <f>IF(AND(AD$3&gt;=Inputs!$C$48,AD$3&lt;=Inputs!$C$15*12),-Inputs!$E$45/12*(1+Inputs!$C$47)^(AD$5-1),0)</f>
        <v>0</v>
      </c>
      <c r="AE33" s="153">
        <f>IF(AND(AE$3&gt;=Inputs!$C$48,AE$3&lt;=Inputs!$C$15*12),-Inputs!$E$45/12*(1+Inputs!$C$47)^(AE$5-1),0)</f>
        <v>0</v>
      </c>
      <c r="AF33" s="153">
        <f>IF(AND(AF$3&gt;=Inputs!$C$48,AF$3&lt;=Inputs!$C$15*12),-Inputs!$E$45/12*(1+Inputs!$C$47)^(AF$5-1),0)</f>
        <v>0</v>
      </c>
      <c r="AG33" s="153">
        <f>IF(AND(AG$3&gt;=Inputs!$C$48,AG$3&lt;=Inputs!$C$15*12),-Inputs!$E$45/12*(1+Inputs!$C$47)^(AG$5-1),0)</f>
        <v>0</v>
      </c>
      <c r="AH33" s="153">
        <f>IF(AND(AH$3&gt;=Inputs!$C$48,AH$3&lt;=Inputs!$C$15*12),-Inputs!$E$45/12*(1+Inputs!$C$47)^(AH$5-1),0)</f>
        <v>0</v>
      </c>
      <c r="AI33" s="153">
        <f>IF(AND(AI$3&gt;=Inputs!$C$48,AI$3&lt;=Inputs!$C$15*12),-Inputs!$E$45/12*(1+Inputs!$C$47)^(AI$5-1),0)</f>
        <v>0</v>
      </c>
      <c r="AJ33" s="153">
        <f>IF(AND(AJ$3&gt;=Inputs!$C$48,AJ$3&lt;=Inputs!$C$15*12),-Inputs!$E$45/12*(1+Inputs!$C$47)^(AJ$5-1),0)</f>
        <v>0</v>
      </c>
      <c r="AK33" s="153">
        <f>IF(AND(AK$3&gt;=Inputs!$C$48,AK$3&lt;=Inputs!$C$15*12),-Inputs!$E$45/12*(1+Inputs!$C$47)^(AK$5-1),0)</f>
        <v>0</v>
      </c>
      <c r="AL33" s="153">
        <f>IF(AND(AL$3&gt;=Inputs!$C$48,AL$3&lt;=Inputs!$C$15*12),-Inputs!$E$45/12*(1+Inputs!$C$47)^(AL$5-1),0)</f>
        <v>0</v>
      </c>
      <c r="AM33" s="153">
        <f>IF(AND(AM$3&gt;=Inputs!$C$48,AM$3&lt;=Inputs!$C$15*12),-Inputs!$E$45/12*(1+Inputs!$C$47)^(AM$5-1),0)</f>
        <v>0</v>
      </c>
      <c r="AN33" s="153">
        <f>IF(AND(AN$3&gt;=Inputs!$C$48,AN$3&lt;=Inputs!$C$15*12),-Inputs!$E$45/12*(1+Inputs!$C$47)^(AN$5-1),0)</f>
        <v>0</v>
      </c>
      <c r="AO33" s="153">
        <f>IF(AND(AO$3&gt;=Inputs!$C$48,AO$3&lt;=Inputs!$C$15*12),-Inputs!$E$45/12*(1+Inputs!$C$47)^(AO$5-1),0)</f>
        <v>0</v>
      </c>
      <c r="AP33" s="153">
        <f>IF(AND(AP$3&gt;=Inputs!$C$48,AP$3&lt;=Inputs!$C$15*12),-Inputs!$E$45/12*(1+Inputs!$C$47)^(AP$5-1),0)</f>
        <v>0</v>
      </c>
      <c r="AQ33" s="153">
        <f>IF(AND(AQ$3&gt;=Inputs!$C$48,AQ$3&lt;=Inputs!$C$15*12),-Inputs!$E$45/12*(1+Inputs!$C$47)^(AQ$5-1),0)</f>
        <v>0</v>
      </c>
      <c r="AR33" s="153">
        <f>IF(AND(AR$3&gt;=Inputs!$C$48,AR$3&lt;=Inputs!$C$15*12),-Inputs!$E$45/12*(1+Inputs!$C$47)^(AR$5-1),0)</f>
        <v>0</v>
      </c>
      <c r="AS33" s="153">
        <f>IF(AND(AS$3&gt;=Inputs!$C$48,AS$3&lt;=Inputs!$C$15*12),-Inputs!$E$45/12*(1+Inputs!$C$47)^(AS$5-1),0)</f>
        <v>0</v>
      </c>
      <c r="AT33" s="153">
        <f>IF(AND(AT$3&gt;=Inputs!$C$48,AT$3&lt;=Inputs!$C$15*12),-Inputs!$E$45/12*(1+Inputs!$C$47)^(AT$5-1),0)</f>
        <v>0</v>
      </c>
      <c r="AU33" s="153">
        <f>IF(AND(AU$3&gt;=Inputs!$C$48,AU$3&lt;=Inputs!$C$15*12),-Inputs!$E$45/12*(1+Inputs!$C$47)^(AU$5-1),0)</f>
        <v>0</v>
      </c>
      <c r="AV33" s="153">
        <f>IF(AND(AV$3&gt;=Inputs!$C$48,AV$3&lt;=Inputs!$C$15*12),-Inputs!$E$45/12*(1+Inputs!$C$47)^(AV$5-1),0)</f>
        <v>0</v>
      </c>
      <c r="AW33" s="153">
        <f>IF(AND(AW$3&gt;=Inputs!$C$48,AW$3&lt;=Inputs!$C$15*12),-Inputs!$E$45/12*(1+Inputs!$C$47)^(AW$5-1),0)</f>
        <v>0</v>
      </c>
      <c r="AX33" s="153">
        <f>IF(AND(AX$3&gt;=Inputs!$C$48,AX$3&lt;=Inputs!$C$15*12),-Inputs!$E$45/12*(1+Inputs!$C$47)^(AX$5-1),0)</f>
        <v>0</v>
      </c>
      <c r="AY33" s="153">
        <f>IF(AND(AY$3&gt;=Inputs!$C$48,AY$3&lt;=Inputs!$C$15*12),-Inputs!$E$45/12*(1+Inputs!$C$47)^(AY$5-1),0)</f>
        <v>0</v>
      </c>
      <c r="AZ33" s="153">
        <f>IF(AND(AZ$3&gt;=Inputs!$C$48,AZ$3&lt;=Inputs!$C$15*12),-Inputs!$E$45/12*(1+Inputs!$C$47)^(AZ$5-1),0)</f>
        <v>0</v>
      </c>
      <c r="BA33" s="153">
        <f>IF(AND(BA$3&gt;=Inputs!$C$48,BA$3&lt;=Inputs!$C$15*12),-Inputs!$E$45/12*(1+Inputs!$C$47)^(BA$5-1),0)</f>
        <v>0</v>
      </c>
      <c r="BB33" s="153">
        <f>IF(AND(BB$3&gt;=Inputs!$C$48,BB$3&lt;=Inputs!$C$15*12),-Inputs!$E$45/12*(1+Inputs!$C$47)^(BB$5-1),0)</f>
        <v>0</v>
      </c>
      <c r="BC33" s="153">
        <f>IF(AND(BC$3&gt;=Inputs!$C$48,BC$3&lt;=Inputs!$C$15*12),-Inputs!$E$45/12*(1+Inputs!$C$47)^(BC$5-1),0)</f>
        <v>0</v>
      </c>
      <c r="BD33" s="153">
        <f>IF(AND(BD$3&gt;=Inputs!$C$48,BD$3&lt;=Inputs!$C$15*12),-Inputs!$E$45/12*(1+Inputs!$C$47)^(BD$5-1),0)</f>
        <v>0</v>
      </c>
      <c r="BE33" s="153">
        <f>IF(AND(BE$3&gt;=Inputs!$C$48,BE$3&lt;=Inputs!$C$15*12),-Inputs!$E$45/12*(1+Inputs!$C$47)^(BE$5-1),0)</f>
        <v>0</v>
      </c>
      <c r="BF33" s="153">
        <f>IF(AND(BF$3&gt;=Inputs!$C$48,BF$3&lt;=Inputs!$C$15*12),-Inputs!$E$45/12*(1+Inputs!$C$47)^(BF$5-1),0)</f>
        <v>0</v>
      </c>
      <c r="BG33" s="153">
        <f>IF(AND(BG$3&gt;=Inputs!$C$48,BG$3&lt;=Inputs!$C$15*12),-Inputs!$E$45/12*(1+Inputs!$C$47)^(BG$5-1),0)</f>
        <v>0</v>
      </c>
      <c r="BH33" s="153">
        <f>IF(AND(BH$3&gt;=Inputs!$C$48,BH$3&lt;=Inputs!$C$15*12),-Inputs!$E$45/12*(1+Inputs!$C$47)^(BH$5-1),0)</f>
        <v>0</v>
      </c>
      <c r="BI33" s="153">
        <f>IF(AND(BI$3&gt;=Inputs!$C$48,BI$3&lt;=Inputs!$C$15*12),-Inputs!$E$45/12*(1+Inputs!$C$47)^(BI$5-1),0)</f>
        <v>0</v>
      </c>
      <c r="BJ33" s="153">
        <f>IF(AND(BJ$3&gt;=Inputs!$C$48,BJ$3&lt;=Inputs!$C$15*12),-Inputs!$E$45/12*(1+Inputs!$C$47)^(BJ$5-1),0)</f>
        <v>0</v>
      </c>
      <c r="BK33" s="153">
        <f>IF(AND(BK$3&gt;=Inputs!$C$48,BK$3&lt;=Inputs!$C$15*12),-Inputs!$E$45/12*(1+Inputs!$C$47)^(BK$5-1),0)</f>
        <v>0</v>
      </c>
      <c r="BL33" s="153">
        <f>IF(AND(BL$3&gt;=Inputs!$C$48,BL$3&lt;=Inputs!$C$15*12),-Inputs!$E$45/12*(1+Inputs!$C$47)^(BL$5-1),0)</f>
        <v>0</v>
      </c>
      <c r="BM33" s="153">
        <f>IF(AND(BM$3&gt;=Inputs!$C$48,BM$3&lt;=Inputs!$C$15*12),-Inputs!$E$45/12*(1+Inputs!$C$47)^(BM$5-1),0)</f>
        <v>0</v>
      </c>
      <c r="BN33" s="153">
        <f>IF(AND(BN$3&gt;=Inputs!$C$48,BN$3&lt;=Inputs!$C$15*12),-Inputs!$E$45/12*(1+Inputs!$C$47)^(BN$5-1),0)</f>
        <v>0</v>
      </c>
      <c r="BO33" s="153">
        <f>IF(AND(BO$3&gt;=Inputs!$C$48,BO$3&lt;=Inputs!$C$15*12),-Inputs!$E$45/12*(1+Inputs!$C$47)^(BO$5-1),0)</f>
        <v>0</v>
      </c>
      <c r="BP33" s="153">
        <f>IF(AND(BP$3&gt;=Inputs!$C$48,BP$3&lt;=Inputs!$C$15*12),-Inputs!$E$45/12*(1+Inputs!$C$47)^(BP$5-1),0)</f>
        <v>0</v>
      </c>
      <c r="BQ33" s="153">
        <f>IF(AND(BQ$3&gt;=Inputs!$C$48,BQ$3&lt;=Inputs!$C$15*12),-Inputs!$E$45/12*(1+Inputs!$C$47)^(BQ$5-1),0)</f>
        <v>0</v>
      </c>
      <c r="BR33" s="153">
        <f>IF(AND(BR$3&gt;=Inputs!$C$48,BR$3&lt;=Inputs!$C$15*12),-Inputs!$E$45/12*(1+Inputs!$C$47)^(BR$5-1),0)</f>
        <v>0</v>
      </c>
      <c r="BS33" s="153">
        <f>IF(AND(BS$3&gt;=Inputs!$C$48,BS$3&lt;=Inputs!$C$15*12),-Inputs!$E$45/12*(1+Inputs!$C$47)^(BS$5-1),0)</f>
        <v>0</v>
      </c>
      <c r="BT33" s="153">
        <f>IF(AND(BT$3&gt;=Inputs!$C$48,BT$3&lt;=Inputs!$C$15*12),-Inputs!$E$45/12*(1+Inputs!$C$47)^(BT$5-1),0)</f>
        <v>0</v>
      </c>
      <c r="BU33" s="153">
        <f>IF(AND(BU$3&gt;=Inputs!$C$48,BU$3&lt;=Inputs!$C$15*12),-Inputs!$E$45/12*(1+Inputs!$C$47)^(BU$5-1),0)</f>
        <v>0</v>
      </c>
      <c r="BV33" s="153">
        <f>IF(AND(BV$3&gt;=Inputs!$C$48,BV$3&lt;=Inputs!$C$15*12),-Inputs!$E$45/12*(1+Inputs!$C$47)^(BV$5-1),0)</f>
        <v>0</v>
      </c>
      <c r="BW33" s="153">
        <f>IF(AND(BW$3&gt;=Inputs!$C$48,BW$3&lt;=Inputs!$C$15*12),-Inputs!$E$45/12*(1+Inputs!$C$47)^(BW$5-1),0)</f>
        <v>0</v>
      </c>
      <c r="BX33" s="153">
        <f>IF(AND(BX$3&gt;=Inputs!$C$48,BX$3&lt;=Inputs!$C$15*12),-Inputs!$E$45/12*(1+Inputs!$C$47)^(BX$5-1),0)</f>
        <v>0</v>
      </c>
      <c r="BY33" s="153">
        <f>IF(AND(BY$3&gt;=Inputs!$C$48,BY$3&lt;=Inputs!$C$15*12),-Inputs!$E$45/12*(1+Inputs!$C$47)^(BY$5-1),0)</f>
        <v>0</v>
      </c>
      <c r="BZ33" s="153">
        <f>IF(AND(BZ$3&gt;=Inputs!$C$48,BZ$3&lt;=Inputs!$C$15*12),-Inputs!$E$45/12*(1+Inputs!$C$47)^(BZ$5-1),0)</f>
        <v>0</v>
      </c>
      <c r="CA33" s="153">
        <f>IF(AND(CA$3&gt;=Inputs!$C$48,CA$3&lt;=Inputs!$C$15*12),-Inputs!$E$45/12*(1+Inputs!$C$47)^(CA$5-1),0)</f>
        <v>0</v>
      </c>
      <c r="CB33" s="153">
        <f>IF(AND(CB$3&gt;=Inputs!$C$48,CB$3&lt;=Inputs!$C$15*12),-Inputs!$E$45/12*(1+Inputs!$C$47)^(CB$5-1),0)</f>
        <v>0</v>
      </c>
      <c r="CC33" s="153">
        <f>IF(AND(CC$3&gt;=Inputs!$C$48,CC$3&lt;=Inputs!$C$15*12),-Inputs!$E$45/12*(1+Inputs!$C$47)^(CC$5-1),0)</f>
        <v>0</v>
      </c>
      <c r="CD33" s="153">
        <f>IF(AND(CD$3&gt;=Inputs!$C$48,CD$3&lt;=Inputs!$C$15*12),-Inputs!$E$45/12*(1+Inputs!$C$47)^(CD$5-1),0)</f>
        <v>0</v>
      </c>
      <c r="CE33" s="153">
        <f>IF(AND(CE$3&gt;=Inputs!$C$48,CE$3&lt;=Inputs!$C$15*12),-Inputs!$E$45/12*(1+Inputs!$C$47)^(CE$5-1),0)</f>
        <v>0</v>
      </c>
      <c r="CF33" s="153">
        <f>IF(AND(CF$3&gt;=Inputs!$C$48,CF$3&lt;=Inputs!$C$15*12),-Inputs!$E$45/12*(1+Inputs!$C$47)^(CF$5-1),0)</f>
        <v>0</v>
      </c>
      <c r="CG33" s="153">
        <f>IF(AND(CG$3&gt;=Inputs!$C$48,CG$3&lt;=Inputs!$C$15*12),-Inputs!$E$45/12*(1+Inputs!$C$47)^(CG$5-1),0)</f>
        <v>0</v>
      </c>
      <c r="CH33" s="153">
        <f>IF(AND(CH$3&gt;=Inputs!$C$48,CH$3&lt;=Inputs!$C$15*12),-Inputs!$E$45/12*(1+Inputs!$C$47)^(CH$5-1),0)</f>
        <v>0</v>
      </c>
      <c r="CI33" s="153">
        <f>IF(AND(CI$3&gt;=Inputs!$C$48,CI$3&lt;=Inputs!$C$15*12),-Inputs!$E$45/12*(1+Inputs!$C$47)^(CI$5-1),0)</f>
        <v>0</v>
      </c>
      <c r="CJ33" s="153">
        <f>IF(AND(CJ$3&gt;=Inputs!$C$48,CJ$3&lt;=Inputs!$C$15*12),-Inputs!$E$45/12*(1+Inputs!$C$47)^(CJ$5-1),0)</f>
        <v>0</v>
      </c>
      <c r="CK33" s="153">
        <f>IF(AND(CK$3&gt;=Inputs!$C$48,CK$3&lt;=Inputs!$C$15*12),-Inputs!$E$45/12*(1+Inputs!$C$47)^(CK$5-1),0)</f>
        <v>0</v>
      </c>
      <c r="CL33" s="153">
        <f>IF(AND(CL$3&gt;=Inputs!$C$48,CL$3&lt;=Inputs!$C$15*12),-Inputs!$E$45/12*(1+Inputs!$C$47)^(CL$5-1),0)</f>
        <v>0</v>
      </c>
      <c r="CM33" s="153">
        <f>IF(AND(CM$3&gt;=Inputs!$C$48,CM$3&lt;=Inputs!$C$15*12),-Inputs!$E$45/12*(1+Inputs!$C$47)^(CM$5-1),0)</f>
        <v>0</v>
      </c>
      <c r="CN33" s="153">
        <f>IF(AND(CN$3&gt;=Inputs!$C$48,CN$3&lt;=Inputs!$C$15*12),-Inputs!$E$45/12*(1+Inputs!$C$47)^(CN$5-1),0)</f>
        <v>0</v>
      </c>
      <c r="CO33" s="153">
        <f>IF(AND(CO$3&gt;=Inputs!$C$48,CO$3&lt;=Inputs!$C$15*12),-Inputs!$E$45/12*(1+Inputs!$C$47)^(CO$5-1),0)</f>
        <v>0</v>
      </c>
      <c r="CP33" s="153">
        <f>IF(AND(CP$3&gt;=Inputs!$C$48,CP$3&lt;=Inputs!$C$15*12),-Inputs!$E$45/12*(1+Inputs!$C$47)^(CP$5-1),0)</f>
        <v>0</v>
      </c>
      <c r="CQ33" s="153">
        <f>IF(AND(CQ$3&gt;=Inputs!$C$48,CQ$3&lt;=Inputs!$C$15*12),-Inputs!$E$45/12*(1+Inputs!$C$47)^(CQ$5-1),0)</f>
        <v>0</v>
      </c>
      <c r="CR33" s="153">
        <f>IF(AND(CR$3&gt;=Inputs!$C$48,CR$3&lt;=Inputs!$C$15*12),-Inputs!$E$45/12*(1+Inputs!$C$47)^(CR$5-1),0)</f>
        <v>0</v>
      </c>
      <c r="CS33" s="153">
        <f>IF(AND(CS$3&gt;=Inputs!$C$48,CS$3&lt;=Inputs!$C$15*12),-Inputs!$E$45/12*(1+Inputs!$C$47)^(CS$5-1),0)</f>
        <v>0</v>
      </c>
      <c r="CT33" s="153">
        <f>IF(AND(CT$3&gt;=Inputs!$C$48,CT$3&lt;=Inputs!$C$15*12),-Inputs!$E$45/12*(1+Inputs!$C$47)^(CT$5-1),0)</f>
        <v>0</v>
      </c>
      <c r="CU33" s="153">
        <f>IF(AND(CU$3&gt;=Inputs!$C$48,CU$3&lt;=Inputs!$C$15*12),-Inputs!$E$45/12*(1+Inputs!$C$47)^(CU$5-1),0)</f>
        <v>0</v>
      </c>
      <c r="CV33" s="153">
        <f>IF(AND(CV$3&gt;=Inputs!$C$48,CV$3&lt;=Inputs!$C$15*12),-Inputs!$E$45/12*(1+Inputs!$C$47)^(CV$5-1),0)</f>
        <v>0</v>
      </c>
      <c r="CW33" s="153">
        <f>IF(AND(CW$3&gt;=Inputs!$C$48,CW$3&lt;=Inputs!$C$15*12),-Inputs!$E$45/12*(1+Inputs!$C$47)^(CW$5-1),0)</f>
        <v>0</v>
      </c>
      <c r="CX33" s="153">
        <f>IF(AND(CX$3&gt;=Inputs!$C$48,CX$3&lt;=Inputs!$C$15*12),-Inputs!$E$45/12*(1+Inputs!$C$47)^(CX$5-1),0)</f>
        <v>0</v>
      </c>
      <c r="CY33" s="153">
        <f>IF(AND(CY$3&gt;=Inputs!$C$48,CY$3&lt;=Inputs!$C$15*12),-Inputs!$E$45/12*(1+Inputs!$C$47)^(CY$5-1),0)</f>
        <v>0</v>
      </c>
      <c r="CZ33" s="153">
        <f>IF(AND(CZ$3&gt;=Inputs!$C$48,CZ$3&lt;=Inputs!$C$15*12),-Inputs!$E$45/12*(1+Inputs!$C$47)^(CZ$5-1),0)</f>
        <v>0</v>
      </c>
      <c r="DA33" s="153">
        <f>IF(AND(DA$3&gt;=Inputs!$C$48,DA$3&lt;=Inputs!$C$15*12),-Inputs!$E$45/12*(1+Inputs!$C$47)^(DA$5-1),0)</f>
        <v>0</v>
      </c>
      <c r="DB33" s="153">
        <f>IF(AND(DB$3&gt;=Inputs!$C$48,DB$3&lt;=Inputs!$C$15*12),-Inputs!$E$45/12*(1+Inputs!$C$47)^(DB$5-1),0)</f>
        <v>0</v>
      </c>
      <c r="DC33" s="153">
        <f>IF(AND(DC$3&gt;=Inputs!$C$48,DC$3&lt;=Inputs!$C$15*12),-Inputs!$E$45/12*(1+Inputs!$C$47)^(DC$5-1),0)</f>
        <v>0</v>
      </c>
      <c r="DD33" s="153">
        <f>IF(AND(DD$3&gt;=Inputs!$C$48,DD$3&lt;=Inputs!$C$15*12),-Inputs!$E$45/12*(1+Inputs!$C$47)^(DD$5-1),0)</f>
        <v>0</v>
      </c>
      <c r="DE33" s="153">
        <f>IF(AND(DE$3&gt;=Inputs!$C$48,DE$3&lt;=Inputs!$C$15*12),-Inputs!$E$45/12*(1+Inputs!$C$47)^(DE$5-1),0)</f>
        <v>0</v>
      </c>
      <c r="DF33" s="153">
        <f>IF(AND(DF$3&gt;=Inputs!$C$48,DF$3&lt;=Inputs!$C$15*12),-Inputs!$E$45/12*(1+Inputs!$C$47)^(DF$5-1),0)</f>
        <v>0</v>
      </c>
      <c r="DG33" s="153">
        <f>IF(AND(DG$3&gt;=Inputs!$C$48,DG$3&lt;=Inputs!$C$15*12),-Inputs!$E$45/12*(1+Inputs!$C$47)^(DG$5-1),0)</f>
        <v>0</v>
      </c>
      <c r="DH33" s="153">
        <f>IF(AND(DH$3&gt;=Inputs!$C$48,DH$3&lt;=Inputs!$C$15*12),-Inputs!$E$45/12*(1+Inputs!$C$47)^(DH$5-1),0)</f>
        <v>0</v>
      </c>
      <c r="DI33" s="153">
        <f>IF(AND(DI$3&gt;=Inputs!$C$48,DI$3&lt;=Inputs!$C$15*12),-Inputs!$E$45/12*(1+Inputs!$C$47)^(DI$5-1),0)</f>
        <v>0</v>
      </c>
      <c r="DJ33" s="153">
        <f>IF(AND(DJ$3&gt;=Inputs!$C$48,DJ$3&lt;=Inputs!$C$15*12),-Inputs!$E$45/12*(1+Inputs!$C$47)^(DJ$5-1),0)</f>
        <v>0</v>
      </c>
      <c r="DK33" s="153">
        <f>IF(AND(DK$3&gt;=Inputs!$C$48,DK$3&lt;=Inputs!$C$15*12),-Inputs!$E$45/12*(1+Inputs!$C$47)^(DK$5-1),0)</f>
        <v>0</v>
      </c>
      <c r="DL33" s="153">
        <f>IF(AND(DL$3&gt;=Inputs!$C$48,DL$3&lt;=Inputs!$C$15*12),-Inputs!$E$45/12*(1+Inputs!$C$47)^(DL$5-1),0)</f>
        <v>0</v>
      </c>
      <c r="DM33" s="153">
        <f>IF(AND(DM$3&gt;=Inputs!$C$48,DM$3&lt;=Inputs!$C$15*12),-Inputs!$E$45/12*(1+Inputs!$C$47)^(DM$5-1),0)</f>
        <v>0</v>
      </c>
      <c r="DN33" s="153">
        <f>IF(AND(DN$3&gt;=Inputs!$C$48,DN$3&lt;=Inputs!$C$15*12),-Inputs!$E$45/12*(1+Inputs!$C$47)^(DN$5-1),0)</f>
        <v>0</v>
      </c>
      <c r="DO33" s="153">
        <f>IF(AND(DO$3&gt;=Inputs!$C$48,DO$3&lt;=Inputs!$C$15*12),-Inputs!$E$45/12*(1+Inputs!$C$47)^(DO$5-1),0)</f>
        <v>0</v>
      </c>
      <c r="DP33" s="153">
        <f>IF(AND(DP$3&gt;=Inputs!$C$48,DP$3&lt;=Inputs!$C$15*12),-Inputs!$E$45/12*(1+Inputs!$C$47)^(DP$5-1),0)</f>
        <v>0</v>
      </c>
      <c r="DQ33" s="153">
        <f>IF(AND(DQ$3&gt;=Inputs!$C$48,DQ$3&lt;=Inputs!$C$15*12),-Inputs!$E$45/12*(1+Inputs!$C$47)^(DQ$5-1),0)</f>
        <v>0</v>
      </c>
      <c r="DR33" s="153">
        <f>IF(AND(DR$3&gt;=Inputs!$C$48,DR$3&lt;=Inputs!$C$15*12),-Inputs!$E$45/12*(1+Inputs!$C$47)^(DR$5-1),0)</f>
        <v>0</v>
      </c>
      <c r="DS33" s="54"/>
    </row>
    <row r="34" ht="15.0" customHeight="1">
      <c r="A34" s="54"/>
      <c r="B34" s="56" t="str">
        <f>Inputs!B46</f>
        <v>  Permits &amp; Licenses</v>
      </c>
      <c r="C34" s="153">
        <f>IF(AND(C$3&gt;=Inputs!$C$48,C$3&lt;=Inputs!$C$15*12),-Inputs!$E$46/12*(1+Inputs!$C$47)^(C$5-1),0)</f>
        <v>0</v>
      </c>
      <c r="D34" s="153">
        <f>IF(AND(D$3&gt;=Inputs!$C$48,D$3&lt;=Inputs!$C$15*12),-Inputs!$E$46/12*(1+Inputs!$C$47)^(D$5-1),0)</f>
        <v>0</v>
      </c>
      <c r="E34" s="153">
        <f>IF(AND(E$3&gt;=Inputs!$C$48,E$3&lt;=Inputs!$C$15*12),-Inputs!$E$46/12*(1+Inputs!$C$47)^(E$5-1),0)</f>
        <v>0</v>
      </c>
      <c r="F34" s="153">
        <f>IF(AND(F$3&gt;=Inputs!$C$48,F$3&lt;=Inputs!$C$15*12),-Inputs!$E$46/12*(1+Inputs!$C$47)^(F$5-1),0)</f>
        <v>0</v>
      </c>
      <c r="G34" s="153">
        <f>IF(AND(G$3&gt;=Inputs!$C$48,G$3&lt;=Inputs!$C$15*12),-Inputs!$E$46/12*(1+Inputs!$C$47)^(G$5-1),0)</f>
        <v>0</v>
      </c>
      <c r="H34" s="153">
        <f>IF(AND(H$3&gt;=Inputs!$C$48,H$3&lt;=Inputs!$C$15*12),-Inputs!$E$46/12*(1+Inputs!$C$47)^(H$5-1),0)</f>
        <v>0</v>
      </c>
      <c r="I34" s="153">
        <f>IF(AND(I$3&gt;=Inputs!$C$48,I$3&lt;=Inputs!$C$15*12),-Inputs!$E$46/12*(1+Inputs!$C$47)^(I$5-1),0)</f>
        <v>0</v>
      </c>
      <c r="J34" s="153">
        <f>IF(AND(J$3&gt;=Inputs!$C$48,J$3&lt;=Inputs!$C$15*12),-Inputs!$E$46/12*(1+Inputs!$C$47)^(J$5-1),0)</f>
        <v>0</v>
      </c>
      <c r="K34" s="153">
        <f>IF(AND(K$3&gt;=Inputs!$C$48,K$3&lt;=Inputs!$C$15*12),-Inputs!$E$46/12*(1+Inputs!$C$47)^(K$5-1),0)</f>
        <v>0</v>
      </c>
      <c r="L34" s="153">
        <f>IF(AND(L$3&gt;=Inputs!$C$48,L$3&lt;=Inputs!$C$15*12),-Inputs!$E$46/12*(1+Inputs!$C$47)^(L$5-1),0)</f>
        <v>0</v>
      </c>
      <c r="M34" s="153">
        <f>IF(AND(M$3&gt;=Inputs!$C$48,M$3&lt;=Inputs!$C$15*12),-Inputs!$E$46/12*(1+Inputs!$C$47)^(M$5-1),0)</f>
        <v>0</v>
      </c>
      <c r="N34" s="153">
        <f>IF(AND(N$3&gt;=Inputs!$C$48,N$3&lt;=Inputs!$C$15*12),-Inputs!$E$46/12*(1+Inputs!$C$47)^(N$5-1),0)</f>
        <v>0</v>
      </c>
      <c r="O34" s="153">
        <f>IF(AND(O$3&gt;=Inputs!$C$48,O$3&lt;=Inputs!$C$15*12),-Inputs!$E$46/12*(1+Inputs!$C$47)^(O$5-1),0)</f>
        <v>0</v>
      </c>
      <c r="P34" s="153">
        <f>IF(AND(P$3&gt;=Inputs!$C$48,P$3&lt;=Inputs!$C$15*12),-Inputs!$E$46/12*(1+Inputs!$C$47)^(P$5-1),0)</f>
        <v>0</v>
      </c>
      <c r="Q34" s="153">
        <f>IF(AND(Q$3&gt;=Inputs!$C$48,Q$3&lt;=Inputs!$C$15*12),-Inputs!$E$46/12*(1+Inputs!$C$47)^(Q$5-1),0)</f>
        <v>0</v>
      </c>
      <c r="R34" s="153">
        <f>IF(AND(R$3&gt;=Inputs!$C$48,R$3&lt;=Inputs!$C$15*12),-Inputs!$E$46/12*(1+Inputs!$C$47)^(R$5-1),0)</f>
        <v>0</v>
      </c>
      <c r="S34" s="153">
        <f>IF(AND(S$3&gt;=Inputs!$C$48,S$3&lt;=Inputs!$C$15*12),-Inputs!$E$46/12*(1+Inputs!$C$47)^(S$5-1),0)</f>
        <v>0</v>
      </c>
      <c r="T34" s="153">
        <f>IF(AND(T$3&gt;=Inputs!$C$48,T$3&lt;=Inputs!$C$15*12),-Inputs!$E$46/12*(1+Inputs!$C$47)^(T$5-1),0)</f>
        <v>0</v>
      </c>
      <c r="U34" s="153">
        <f>IF(AND(U$3&gt;=Inputs!$C$48,U$3&lt;=Inputs!$C$15*12),-Inputs!$E$46/12*(1+Inputs!$C$47)^(U$5-1),0)</f>
        <v>0</v>
      </c>
      <c r="V34" s="153">
        <f>IF(AND(V$3&gt;=Inputs!$C$48,V$3&lt;=Inputs!$C$15*12),-Inputs!$E$46/12*(1+Inputs!$C$47)^(V$5-1),0)</f>
        <v>0</v>
      </c>
      <c r="W34" s="153">
        <f>IF(AND(W$3&gt;=Inputs!$C$48,W$3&lt;=Inputs!$C$15*12),-Inputs!$E$46/12*(1+Inputs!$C$47)^(W$5-1),0)</f>
        <v>0</v>
      </c>
      <c r="X34" s="153">
        <f>IF(AND(X$3&gt;=Inputs!$C$48,X$3&lt;=Inputs!$C$15*12),-Inputs!$E$46/12*(1+Inputs!$C$47)^(X$5-1),0)</f>
        <v>0</v>
      </c>
      <c r="Y34" s="153">
        <f>IF(AND(Y$3&gt;=Inputs!$C$48,Y$3&lt;=Inputs!$C$15*12),-Inputs!$E$46/12*(1+Inputs!$C$47)^(Y$5-1),0)</f>
        <v>0</v>
      </c>
      <c r="Z34" s="153">
        <f>IF(AND(Z$3&gt;=Inputs!$C$48,Z$3&lt;=Inputs!$C$15*12),-Inputs!$E$46/12*(1+Inputs!$C$47)^(Z$5-1),0)</f>
        <v>0</v>
      </c>
      <c r="AA34" s="153">
        <f>IF(AND(AA$3&gt;=Inputs!$C$48,AA$3&lt;=Inputs!$C$15*12),-Inputs!$E$46/12*(1+Inputs!$C$47)^(AA$5-1),0)</f>
        <v>0</v>
      </c>
      <c r="AB34" s="153">
        <f>IF(AND(AB$3&gt;=Inputs!$C$48,AB$3&lt;=Inputs!$C$15*12),-Inputs!$E$46/12*(1+Inputs!$C$47)^(AB$5-1),0)</f>
        <v>0</v>
      </c>
      <c r="AC34" s="153">
        <f>IF(AND(AC$3&gt;=Inputs!$C$48,AC$3&lt;=Inputs!$C$15*12),-Inputs!$E$46/12*(1+Inputs!$C$47)^(AC$5-1),0)</f>
        <v>0</v>
      </c>
      <c r="AD34" s="153">
        <f>IF(AND(AD$3&gt;=Inputs!$C$48,AD$3&lt;=Inputs!$C$15*12),-Inputs!$E$46/12*(1+Inputs!$C$47)^(AD$5-1),0)</f>
        <v>0</v>
      </c>
      <c r="AE34" s="153">
        <f>IF(AND(AE$3&gt;=Inputs!$C$48,AE$3&lt;=Inputs!$C$15*12),-Inputs!$E$46/12*(1+Inputs!$C$47)^(AE$5-1),0)</f>
        <v>0</v>
      </c>
      <c r="AF34" s="153">
        <f>IF(AND(AF$3&gt;=Inputs!$C$48,AF$3&lt;=Inputs!$C$15*12),-Inputs!$E$46/12*(1+Inputs!$C$47)^(AF$5-1),0)</f>
        <v>0</v>
      </c>
      <c r="AG34" s="153">
        <f>IF(AND(AG$3&gt;=Inputs!$C$48,AG$3&lt;=Inputs!$C$15*12),-Inputs!$E$46/12*(1+Inputs!$C$47)^(AG$5-1),0)</f>
        <v>0</v>
      </c>
      <c r="AH34" s="153">
        <f>IF(AND(AH$3&gt;=Inputs!$C$48,AH$3&lt;=Inputs!$C$15*12),-Inputs!$E$46/12*(1+Inputs!$C$47)^(AH$5-1),0)</f>
        <v>0</v>
      </c>
      <c r="AI34" s="153">
        <f>IF(AND(AI$3&gt;=Inputs!$C$48,AI$3&lt;=Inputs!$C$15*12),-Inputs!$E$46/12*(1+Inputs!$C$47)^(AI$5-1),0)</f>
        <v>0</v>
      </c>
      <c r="AJ34" s="153">
        <f>IF(AND(AJ$3&gt;=Inputs!$C$48,AJ$3&lt;=Inputs!$C$15*12),-Inputs!$E$46/12*(1+Inputs!$C$47)^(AJ$5-1),0)</f>
        <v>0</v>
      </c>
      <c r="AK34" s="153">
        <f>IF(AND(AK$3&gt;=Inputs!$C$48,AK$3&lt;=Inputs!$C$15*12),-Inputs!$E$46/12*(1+Inputs!$C$47)^(AK$5-1),0)</f>
        <v>0</v>
      </c>
      <c r="AL34" s="153">
        <f>IF(AND(AL$3&gt;=Inputs!$C$48,AL$3&lt;=Inputs!$C$15*12),-Inputs!$E$46/12*(1+Inputs!$C$47)^(AL$5-1),0)</f>
        <v>0</v>
      </c>
      <c r="AM34" s="153">
        <f>IF(AND(AM$3&gt;=Inputs!$C$48,AM$3&lt;=Inputs!$C$15*12),-Inputs!$E$46/12*(1+Inputs!$C$47)^(AM$5-1),0)</f>
        <v>0</v>
      </c>
      <c r="AN34" s="153">
        <f>IF(AND(AN$3&gt;=Inputs!$C$48,AN$3&lt;=Inputs!$C$15*12),-Inputs!$E$46/12*(1+Inputs!$C$47)^(AN$5-1),0)</f>
        <v>0</v>
      </c>
      <c r="AO34" s="153">
        <f>IF(AND(AO$3&gt;=Inputs!$C$48,AO$3&lt;=Inputs!$C$15*12),-Inputs!$E$46/12*(1+Inputs!$C$47)^(AO$5-1),0)</f>
        <v>0</v>
      </c>
      <c r="AP34" s="153">
        <f>IF(AND(AP$3&gt;=Inputs!$C$48,AP$3&lt;=Inputs!$C$15*12),-Inputs!$E$46/12*(1+Inputs!$C$47)^(AP$5-1),0)</f>
        <v>0</v>
      </c>
      <c r="AQ34" s="153">
        <f>IF(AND(AQ$3&gt;=Inputs!$C$48,AQ$3&lt;=Inputs!$C$15*12),-Inputs!$E$46/12*(1+Inputs!$C$47)^(AQ$5-1),0)</f>
        <v>0</v>
      </c>
      <c r="AR34" s="153">
        <f>IF(AND(AR$3&gt;=Inputs!$C$48,AR$3&lt;=Inputs!$C$15*12),-Inputs!$E$46/12*(1+Inputs!$C$47)^(AR$5-1),0)</f>
        <v>0</v>
      </c>
      <c r="AS34" s="153">
        <f>IF(AND(AS$3&gt;=Inputs!$C$48,AS$3&lt;=Inputs!$C$15*12),-Inputs!$E$46/12*(1+Inputs!$C$47)^(AS$5-1),0)</f>
        <v>0</v>
      </c>
      <c r="AT34" s="153">
        <f>IF(AND(AT$3&gt;=Inputs!$C$48,AT$3&lt;=Inputs!$C$15*12),-Inputs!$E$46/12*(1+Inputs!$C$47)^(AT$5-1),0)</f>
        <v>0</v>
      </c>
      <c r="AU34" s="153">
        <f>IF(AND(AU$3&gt;=Inputs!$C$48,AU$3&lt;=Inputs!$C$15*12),-Inputs!$E$46/12*(1+Inputs!$C$47)^(AU$5-1),0)</f>
        <v>0</v>
      </c>
      <c r="AV34" s="153">
        <f>IF(AND(AV$3&gt;=Inputs!$C$48,AV$3&lt;=Inputs!$C$15*12),-Inputs!$E$46/12*(1+Inputs!$C$47)^(AV$5-1),0)</f>
        <v>0</v>
      </c>
      <c r="AW34" s="153">
        <f>IF(AND(AW$3&gt;=Inputs!$C$48,AW$3&lt;=Inputs!$C$15*12),-Inputs!$E$46/12*(1+Inputs!$C$47)^(AW$5-1),0)</f>
        <v>0</v>
      </c>
      <c r="AX34" s="153">
        <f>IF(AND(AX$3&gt;=Inputs!$C$48,AX$3&lt;=Inputs!$C$15*12),-Inputs!$E$46/12*(1+Inputs!$C$47)^(AX$5-1),0)</f>
        <v>0</v>
      </c>
      <c r="AY34" s="153">
        <f>IF(AND(AY$3&gt;=Inputs!$C$48,AY$3&lt;=Inputs!$C$15*12),-Inputs!$E$46/12*(1+Inputs!$C$47)^(AY$5-1),0)</f>
        <v>0</v>
      </c>
      <c r="AZ34" s="153">
        <f>IF(AND(AZ$3&gt;=Inputs!$C$48,AZ$3&lt;=Inputs!$C$15*12),-Inputs!$E$46/12*(1+Inputs!$C$47)^(AZ$5-1),0)</f>
        <v>0</v>
      </c>
      <c r="BA34" s="153">
        <f>IF(AND(BA$3&gt;=Inputs!$C$48,BA$3&lt;=Inputs!$C$15*12),-Inputs!$E$46/12*(1+Inputs!$C$47)^(BA$5-1),0)</f>
        <v>0</v>
      </c>
      <c r="BB34" s="153">
        <f>IF(AND(BB$3&gt;=Inputs!$C$48,BB$3&lt;=Inputs!$C$15*12),-Inputs!$E$46/12*(1+Inputs!$C$47)^(BB$5-1),0)</f>
        <v>0</v>
      </c>
      <c r="BC34" s="153">
        <f>IF(AND(BC$3&gt;=Inputs!$C$48,BC$3&lt;=Inputs!$C$15*12),-Inputs!$E$46/12*(1+Inputs!$C$47)^(BC$5-1),0)</f>
        <v>0</v>
      </c>
      <c r="BD34" s="153">
        <f>IF(AND(BD$3&gt;=Inputs!$C$48,BD$3&lt;=Inputs!$C$15*12),-Inputs!$E$46/12*(1+Inputs!$C$47)^(BD$5-1),0)</f>
        <v>0</v>
      </c>
      <c r="BE34" s="153">
        <f>IF(AND(BE$3&gt;=Inputs!$C$48,BE$3&lt;=Inputs!$C$15*12),-Inputs!$E$46/12*(1+Inputs!$C$47)^(BE$5-1),0)</f>
        <v>0</v>
      </c>
      <c r="BF34" s="153">
        <f>IF(AND(BF$3&gt;=Inputs!$C$48,BF$3&lt;=Inputs!$C$15*12),-Inputs!$E$46/12*(1+Inputs!$C$47)^(BF$5-1),0)</f>
        <v>0</v>
      </c>
      <c r="BG34" s="153">
        <f>IF(AND(BG$3&gt;=Inputs!$C$48,BG$3&lt;=Inputs!$C$15*12),-Inputs!$E$46/12*(1+Inputs!$C$47)^(BG$5-1),0)</f>
        <v>0</v>
      </c>
      <c r="BH34" s="153">
        <f>IF(AND(BH$3&gt;=Inputs!$C$48,BH$3&lt;=Inputs!$C$15*12),-Inputs!$E$46/12*(1+Inputs!$C$47)^(BH$5-1),0)</f>
        <v>0</v>
      </c>
      <c r="BI34" s="153">
        <f>IF(AND(BI$3&gt;=Inputs!$C$48,BI$3&lt;=Inputs!$C$15*12),-Inputs!$E$46/12*(1+Inputs!$C$47)^(BI$5-1),0)</f>
        <v>0</v>
      </c>
      <c r="BJ34" s="153">
        <f>IF(AND(BJ$3&gt;=Inputs!$C$48,BJ$3&lt;=Inputs!$C$15*12),-Inputs!$E$46/12*(1+Inputs!$C$47)^(BJ$5-1),0)</f>
        <v>0</v>
      </c>
      <c r="BK34" s="153">
        <f>IF(AND(BK$3&gt;=Inputs!$C$48,BK$3&lt;=Inputs!$C$15*12),-Inputs!$E$46/12*(1+Inputs!$C$47)^(BK$5-1),0)</f>
        <v>0</v>
      </c>
      <c r="BL34" s="153">
        <f>IF(AND(BL$3&gt;=Inputs!$C$48,BL$3&lt;=Inputs!$C$15*12),-Inputs!$E$46/12*(1+Inputs!$C$47)^(BL$5-1),0)</f>
        <v>0</v>
      </c>
      <c r="BM34" s="153">
        <f>IF(AND(BM$3&gt;=Inputs!$C$48,BM$3&lt;=Inputs!$C$15*12),-Inputs!$E$46/12*(1+Inputs!$C$47)^(BM$5-1),0)</f>
        <v>0</v>
      </c>
      <c r="BN34" s="153">
        <f>IF(AND(BN$3&gt;=Inputs!$C$48,BN$3&lt;=Inputs!$C$15*12),-Inputs!$E$46/12*(1+Inputs!$C$47)^(BN$5-1),0)</f>
        <v>0</v>
      </c>
      <c r="BO34" s="153">
        <f>IF(AND(BO$3&gt;=Inputs!$C$48,BO$3&lt;=Inputs!$C$15*12),-Inputs!$E$46/12*(1+Inputs!$C$47)^(BO$5-1),0)</f>
        <v>0</v>
      </c>
      <c r="BP34" s="153">
        <f>IF(AND(BP$3&gt;=Inputs!$C$48,BP$3&lt;=Inputs!$C$15*12),-Inputs!$E$46/12*(1+Inputs!$C$47)^(BP$5-1),0)</f>
        <v>0</v>
      </c>
      <c r="BQ34" s="153">
        <f>IF(AND(BQ$3&gt;=Inputs!$C$48,BQ$3&lt;=Inputs!$C$15*12),-Inputs!$E$46/12*(1+Inputs!$C$47)^(BQ$5-1),0)</f>
        <v>0</v>
      </c>
      <c r="BR34" s="153">
        <f>IF(AND(BR$3&gt;=Inputs!$C$48,BR$3&lt;=Inputs!$C$15*12),-Inputs!$E$46/12*(1+Inputs!$C$47)^(BR$5-1),0)</f>
        <v>0</v>
      </c>
      <c r="BS34" s="153">
        <f>IF(AND(BS$3&gt;=Inputs!$C$48,BS$3&lt;=Inputs!$C$15*12),-Inputs!$E$46/12*(1+Inputs!$C$47)^(BS$5-1),0)</f>
        <v>0</v>
      </c>
      <c r="BT34" s="153">
        <f>IF(AND(BT$3&gt;=Inputs!$C$48,BT$3&lt;=Inputs!$C$15*12),-Inputs!$E$46/12*(1+Inputs!$C$47)^(BT$5-1),0)</f>
        <v>0</v>
      </c>
      <c r="BU34" s="153">
        <f>IF(AND(BU$3&gt;=Inputs!$C$48,BU$3&lt;=Inputs!$C$15*12),-Inputs!$E$46/12*(1+Inputs!$C$47)^(BU$5-1),0)</f>
        <v>0</v>
      </c>
      <c r="BV34" s="153">
        <f>IF(AND(BV$3&gt;=Inputs!$C$48,BV$3&lt;=Inputs!$C$15*12),-Inputs!$E$46/12*(1+Inputs!$C$47)^(BV$5-1),0)</f>
        <v>0</v>
      </c>
      <c r="BW34" s="153">
        <f>IF(AND(BW$3&gt;=Inputs!$C$48,BW$3&lt;=Inputs!$C$15*12),-Inputs!$E$46/12*(1+Inputs!$C$47)^(BW$5-1),0)</f>
        <v>0</v>
      </c>
      <c r="BX34" s="153">
        <f>IF(AND(BX$3&gt;=Inputs!$C$48,BX$3&lt;=Inputs!$C$15*12),-Inputs!$E$46/12*(1+Inputs!$C$47)^(BX$5-1),0)</f>
        <v>0</v>
      </c>
      <c r="BY34" s="153">
        <f>IF(AND(BY$3&gt;=Inputs!$C$48,BY$3&lt;=Inputs!$C$15*12),-Inputs!$E$46/12*(1+Inputs!$C$47)^(BY$5-1),0)</f>
        <v>0</v>
      </c>
      <c r="BZ34" s="153">
        <f>IF(AND(BZ$3&gt;=Inputs!$C$48,BZ$3&lt;=Inputs!$C$15*12),-Inputs!$E$46/12*(1+Inputs!$C$47)^(BZ$5-1),0)</f>
        <v>0</v>
      </c>
      <c r="CA34" s="153">
        <f>IF(AND(CA$3&gt;=Inputs!$C$48,CA$3&lt;=Inputs!$C$15*12),-Inputs!$E$46/12*(1+Inputs!$C$47)^(CA$5-1),0)</f>
        <v>0</v>
      </c>
      <c r="CB34" s="153">
        <f>IF(AND(CB$3&gt;=Inputs!$C$48,CB$3&lt;=Inputs!$C$15*12),-Inputs!$E$46/12*(1+Inputs!$C$47)^(CB$5-1),0)</f>
        <v>0</v>
      </c>
      <c r="CC34" s="153">
        <f>IF(AND(CC$3&gt;=Inputs!$C$48,CC$3&lt;=Inputs!$C$15*12),-Inputs!$E$46/12*(1+Inputs!$C$47)^(CC$5-1),0)</f>
        <v>0</v>
      </c>
      <c r="CD34" s="153">
        <f>IF(AND(CD$3&gt;=Inputs!$C$48,CD$3&lt;=Inputs!$C$15*12),-Inputs!$E$46/12*(1+Inputs!$C$47)^(CD$5-1),0)</f>
        <v>0</v>
      </c>
      <c r="CE34" s="153">
        <f>IF(AND(CE$3&gt;=Inputs!$C$48,CE$3&lt;=Inputs!$C$15*12),-Inputs!$E$46/12*(1+Inputs!$C$47)^(CE$5-1),0)</f>
        <v>0</v>
      </c>
      <c r="CF34" s="153">
        <f>IF(AND(CF$3&gt;=Inputs!$C$48,CF$3&lt;=Inputs!$C$15*12),-Inputs!$E$46/12*(1+Inputs!$C$47)^(CF$5-1),0)</f>
        <v>0</v>
      </c>
      <c r="CG34" s="153">
        <f>IF(AND(CG$3&gt;=Inputs!$C$48,CG$3&lt;=Inputs!$C$15*12),-Inputs!$E$46/12*(1+Inputs!$C$47)^(CG$5-1),0)</f>
        <v>0</v>
      </c>
      <c r="CH34" s="153">
        <f>IF(AND(CH$3&gt;=Inputs!$C$48,CH$3&lt;=Inputs!$C$15*12),-Inputs!$E$46/12*(1+Inputs!$C$47)^(CH$5-1),0)</f>
        <v>0</v>
      </c>
      <c r="CI34" s="153">
        <f>IF(AND(CI$3&gt;=Inputs!$C$48,CI$3&lt;=Inputs!$C$15*12),-Inputs!$E$46/12*(1+Inputs!$C$47)^(CI$5-1),0)</f>
        <v>0</v>
      </c>
      <c r="CJ34" s="153">
        <f>IF(AND(CJ$3&gt;=Inputs!$C$48,CJ$3&lt;=Inputs!$C$15*12),-Inputs!$E$46/12*(1+Inputs!$C$47)^(CJ$5-1),0)</f>
        <v>0</v>
      </c>
      <c r="CK34" s="153">
        <f>IF(AND(CK$3&gt;=Inputs!$C$48,CK$3&lt;=Inputs!$C$15*12),-Inputs!$E$46/12*(1+Inputs!$C$47)^(CK$5-1),0)</f>
        <v>0</v>
      </c>
      <c r="CL34" s="153">
        <f>IF(AND(CL$3&gt;=Inputs!$C$48,CL$3&lt;=Inputs!$C$15*12),-Inputs!$E$46/12*(1+Inputs!$C$47)^(CL$5-1),0)</f>
        <v>0</v>
      </c>
      <c r="CM34" s="153">
        <f>IF(AND(CM$3&gt;=Inputs!$C$48,CM$3&lt;=Inputs!$C$15*12),-Inputs!$E$46/12*(1+Inputs!$C$47)^(CM$5-1),0)</f>
        <v>0</v>
      </c>
      <c r="CN34" s="153">
        <f>IF(AND(CN$3&gt;=Inputs!$C$48,CN$3&lt;=Inputs!$C$15*12),-Inputs!$E$46/12*(1+Inputs!$C$47)^(CN$5-1),0)</f>
        <v>0</v>
      </c>
      <c r="CO34" s="153">
        <f>IF(AND(CO$3&gt;=Inputs!$C$48,CO$3&lt;=Inputs!$C$15*12),-Inputs!$E$46/12*(1+Inputs!$C$47)^(CO$5-1),0)</f>
        <v>0</v>
      </c>
      <c r="CP34" s="153">
        <f>IF(AND(CP$3&gt;=Inputs!$C$48,CP$3&lt;=Inputs!$C$15*12),-Inputs!$E$46/12*(1+Inputs!$C$47)^(CP$5-1),0)</f>
        <v>0</v>
      </c>
      <c r="CQ34" s="153">
        <f>IF(AND(CQ$3&gt;=Inputs!$C$48,CQ$3&lt;=Inputs!$C$15*12),-Inputs!$E$46/12*(1+Inputs!$C$47)^(CQ$5-1),0)</f>
        <v>0</v>
      </c>
      <c r="CR34" s="153">
        <f>IF(AND(CR$3&gt;=Inputs!$C$48,CR$3&lt;=Inputs!$C$15*12),-Inputs!$E$46/12*(1+Inputs!$C$47)^(CR$5-1),0)</f>
        <v>0</v>
      </c>
      <c r="CS34" s="153">
        <f>IF(AND(CS$3&gt;=Inputs!$C$48,CS$3&lt;=Inputs!$C$15*12),-Inputs!$E$46/12*(1+Inputs!$C$47)^(CS$5-1),0)</f>
        <v>0</v>
      </c>
      <c r="CT34" s="153">
        <f>IF(AND(CT$3&gt;=Inputs!$C$48,CT$3&lt;=Inputs!$C$15*12),-Inputs!$E$46/12*(1+Inputs!$C$47)^(CT$5-1),0)</f>
        <v>0</v>
      </c>
      <c r="CU34" s="153">
        <f>IF(AND(CU$3&gt;=Inputs!$C$48,CU$3&lt;=Inputs!$C$15*12),-Inputs!$E$46/12*(1+Inputs!$C$47)^(CU$5-1),0)</f>
        <v>0</v>
      </c>
      <c r="CV34" s="153">
        <f>IF(AND(CV$3&gt;=Inputs!$C$48,CV$3&lt;=Inputs!$C$15*12),-Inputs!$E$46/12*(1+Inputs!$C$47)^(CV$5-1),0)</f>
        <v>0</v>
      </c>
      <c r="CW34" s="153">
        <f>IF(AND(CW$3&gt;=Inputs!$C$48,CW$3&lt;=Inputs!$C$15*12),-Inputs!$E$46/12*(1+Inputs!$C$47)^(CW$5-1),0)</f>
        <v>0</v>
      </c>
      <c r="CX34" s="153">
        <f>IF(AND(CX$3&gt;=Inputs!$C$48,CX$3&lt;=Inputs!$C$15*12),-Inputs!$E$46/12*(1+Inputs!$C$47)^(CX$5-1),0)</f>
        <v>0</v>
      </c>
      <c r="CY34" s="153">
        <f>IF(AND(CY$3&gt;=Inputs!$C$48,CY$3&lt;=Inputs!$C$15*12),-Inputs!$E$46/12*(1+Inputs!$C$47)^(CY$5-1),0)</f>
        <v>0</v>
      </c>
      <c r="CZ34" s="153">
        <f>IF(AND(CZ$3&gt;=Inputs!$C$48,CZ$3&lt;=Inputs!$C$15*12),-Inputs!$E$46/12*(1+Inputs!$C$47)^(CZ$5-1),0)</f>
        <v>0</v>
      </c>
      <c r="DA34" s="153">
        <f>IF(AND(DA$3&gt;=Inputs!$C$48,DA$3&lt;=Inputs!$C$15*12),-Inputs!$E$46/12*(1+Inputs!$C$47)^(DA$5-1),0)</f>
        <v>0</v>
      </c>
      <c r="DB34" s="153">
        <f>IF(AND(DB$3&gt;=Inputs!$C$48,DB$3&lt;=Inputs!$C$15*12),-Inputs!$E$46/12*(1+Inputs!$C$47)^(DB$5-1),0)</f>
        <v>0</v>
      </c>
      <c r="DC34" s="153">
        <f>IF(AND(DC$3&gt;=Inputs!$C$48,DC$3&lt;=Inputs!$C$15*12),-Inputs!$E$46/12*(1+Inputs!$C$47)^(DC$5-1),0)</f>
        <v>0</v>
      </c>
      <c r="DD34" s="153">
        <f>IF(AND(DD$3&gt;=Inputs!$C$48,DD$3&lt;=Inputs!$C$15*12),-Inputs!$E$46/12*(1+Inputs!$C$47)^(DD$5-1),0)</f>
        <v>0</v>
      </c>
      <c r="DE34" s="153">
        <f>IF(AND(DE$3&gt;=Inputs!$C$48,DE$3&lt;=Inputs!$C$15*12),-Inputs!$E$46/12*(1+Inputs!$C$47)^(DE$5-1),0)</f>
        <v>0</v>
      </c>
      <c r="DF34" s="153">
        <f>IF(AND(DF$3&gt;=Inputs!$C$48,DF$3&lt;=Inputs!$C$15*12),-Inputs!$E$46/12*(1+Inputs!$C$47)^(DF$5-1),0)</f>
        <v>0</v>
      </c>
      <c r="DG34" s="153">
        <f>IF(AND(DG$3&gt;=Inputs!$C$48,DG$3&lt;=Inputs!$C$15*12),-Inputs!$E$46/12*(1+Inputs!$C$47)^(DG$5-1),0)</f>
        <v>0</v>
      </c>
      <c r="DH34" s="153">
        <f>IF(AND(DH$3&gt;=Inputs!$C$48,DH$3&lt;=Inputs!$C$15*12),-Inputs!$E$46/12*(1+Inputs!$C$47)^(DH$5-1),0)</f>
        <v>0</v>
      </c>
      <c r="DI34" s="153">
        <f>IF(AND(DI$3&gt;=Inputs!$C$48,DI$3&lt;=Inputs!$C$15*12),-Inputs!$E$46/12*(1+Inputs!$C$47)^(DI$5-1),0)</f>
        <v>0</v>
      </c>
      <c r="DJ34" s="153">
        <f>IF(AND(DJ$3&gt;=Inputs!$C$48,DJ$3&lt;=Inputs!$C$15*12),-Inputs!$E$46/12*(1+Inputs!$C$47)^(DJ$5-1),0)</f>
        <v>0</v>
      </c>
      <c r="DK34" s="153">
        <f>IF(AND(DK$3&gt;=Inputs!$C$48,DK$3&lt;=Inputs!$C$15*12),-Inputs!$E$46/12*(1+Inputs!$C$47)^(DK$5-1),0)</f>
        <v>0</v>
      </c>
      <c r="DL34" s="153">
        <f>IF(AND(DL$3&gt;=Inputs!$C$48,DL$3&lt;=Inputs!$C$15*12),-Inputs!$E$46/12*(1+Inputs!$C$47)^(DL$5-1),0)</f>
        <v>0</v>
      </c>
      <c r="DM34" s="153">
        <f>IF(AND(DM$3&gt;=Inputs!$C$48,DM$3&lt;=Inputs!$C$15*12),-Inputs!$E$46/12*(1+Inputs!$C$47)^(DM$5-1),0)</f>
        <v>0</v>
      </c>
      <c r="DN34" s="153">
        <f>IF(AND(DN$3&gt;=Inputs!$C$48,DN$3&lt;=Inputs!$C$15*12),-Inputs!$E$46/12*(1+Inputs!$C$47)^(DN$5-1),0)</f>
        <v>0</v>
      </c>
      <c r="DO34" s="153">
        <f>IF(AND(DO$3&gt;=Inputs!$C$48,DO$3&lt;=Inputs!$C$15*12),-Inputs!$E$46/12*(1+Inputs!$C$47)^(DO$5-1),0)</f>
        <v>0</v>
      </c>
      <c r="DP34" s="153">
        <f>IF(AND(DP$3&gt;=Inputs!$C$48,DP$3&lt;=Inputs!$C$15*12),-Inputs!$E$46/12*(1+Inputs!$C$47)^(DP$5-1),0)</f>
        <v>0</v>
      </c>
      <c r="DQ34" s="153">
        <f>IF(AND(DQ$3&gt;=Inputs!$C$48,DQ$3&lt;=Inputs!$C$15*12),-Inputs!$E$46/12*(1+Inputs!$C$47)^(DQ$5-1),0)</f>
        <v>0</v>
      </c>
      <c r="DR34" s="153">
        <f>IF(AND(DR$3&gt;=Inputs!$C$48,DR$3&lt;=Inputs!$C$15*12),-Inputs!$E$46/12*(1+Inputs!$C$47)^(DR$5-1),0)</f>
        <v>0</v>
      </c>
      <c r="DS34" s="54"/>
    </row>
    <row r="35" ht="16.5" customHeight="1">
      <c r="A35" s="54"/>
      <c r="B35" s="161" t="s">
        <v>311</v>
      </c>
      <c r="C35" s="163">
        <f t="shared" ref="C35:DR35" si="6">SUM(C20:C34)</f>
        <v>0</v>
      </c>
      <c r="D35" s="163">
        <f t="shared" si="6"/>
        <v>0</v>
      </c>
      <c r="E35" s="163">
        <f t="shared" si="6"/>
        <v>0</v>
      </c>
      <c r="F35" s="163">
        <f t="shared" si="6"/>
        <v>0</v>
      </c>
      <c r="G35" s="163">
        <f t="shared" si="6"/>
        <v>0</v>
      </c>
      <c r="H35" s="163">
        <f t="shared" si="6"/>
        <v>0</v>
      </c>
      <c r="I35" s="163">
        <f t="shared" si="6"/>
        <v>0</v>
      </c>
      <c r="J35" s="163">
        <f t="shared" si="6"/>
        <v>0</v>
      </c>
      <c r="K35" s="163">
        <f t="shared" si="6"/>
        <v>0</v>
      </c>
      <c r="L35" s="163">
        <f t="shared" si="6"/>
        <v>0</v>
      </c>
      <c r="M35" s="163">
        <f t="shared" si="6"/>
        <v>0</v>
      </c>
      <c r="N35" s="163">
        <f t="shared" si="6"/>
        <v>0</v>
      </c>
      <c r="O35" s="163">
        <f t="shared" si="6"/>
        <v>0</v>
      </c>
      <c r="P35" s="163">
        <f t="shared" si="6"/>
        <v>0</v>
      </c>
      <c r="Q35" s="163">
        <f t="shared" si="6"/>
        <v>0</v>
      </c>
      <c r="R35" s="163">
        <f t="shared" si="6"/>
        <v>0</v>
      </c>
      <c r="S35" s="163">
        <f t="shared" si="6"/>
        <v>0</v>
      </c>
      <c r="T35" s="163">
        <f t="shared" si="6"/>
        <v>0</v>
      </c>
      <c r="U35" s="163">
        <f t="shared" si="6"/>
        <v>0</v>
      </c>
      <c r="V35" s="163">
        <f t="shared" si="6"/>
        <v>0</v>
      </c>
      <c r="W35" s="163">
        <f t="shared" si="6"/>
        <v>0</v>
      </c>
      <c r="X35" s="163">
        <f t="shared" si="6"/>
        <v>0</v>
      </c>
      <c r="Y35" s="163">
        <f t="shared" si="6"/>
        <v>0</v>
      </c>
      <c r="Z35" s="163">
        <f t="shared" si="6"/>
        <v>0</v>
      </c>
      <c r="AA35" s="163">
        <f t="shared" si="6"/>
        <v>0</v>
      </c>
      <c r="AB35" s="163">
        <f t="shared" si="6"/>
        <v>0</v>
      </c>
      <c r="AC35" s="163">
        <f t="shared" si="6"/>
        <v>0</v>
      </c>
      <c r="AD35" s="163">
        <f t="shared" si="6"/>
        <v>0</v>
      </c>
      <c r="AE35" s="163">
        <f t="shared" si="6"/>
        <v>0</v>
      </c>
      <c r="AF35" s="163">
        <f t="shared" si="6"/>
        <v>0</v>
      </c>
      <c r="AG35" s="163">
        <f t="shared" si="6"/>
        <v>0</v>
      </c>
      <c r="AH35" s="163">
        <f t="shared" si="6"/>
        <v>0</v>
      </c>
      <c r="AI35" s="163">
        <f t="shared" si="6"/>
        <v>0</v>
      </c>
      <c r="AJ35" s="163">
        <f t="shared" si="6"/>
        <v>0</v>
      </c>
      <c r="AK35" s="163">
        <f t="shared" si="6"/>
        <v>0</v>
      </c>
      <c r="AL35" s="163">
        <f t="shared" si="6"/>
        <v>0</v>
      </c>
      <c r="AM35" s="163">
        <f t="shared" si="6"/>
        <v>0</v>
      </c>
      <c r="AN35" s="163">
        <f t="shared" si="6"/>
        <v>0</v>
      </c>
      <c r="AO35" s="163">
        <f t="shared" si="6"/>
        <v>0</v>
      </c>
      <c r="AP35" s="163">
        <f t="shared" si="6"/>
        <v>0</v>
      </c>
      <c r="AQ35" s="163">
        <f t="shared" si="6"/>
        <v>0</v>
      </c>
      <c r="AR35" s="163">
        <f t="shared" si="6"/>
        <v>0</v>
      </c>
      <c r="AS35" s="163">
        <f t="shared" si="6"/>
        <v>0</v>
      </c>
      <c r="AT35" s="163">
        <f t="shared" si="6"/>
        <v>0</v>
      </c>
      <c r="AU35" s="163">
        <f t="shared" si="6"/>
        <v>0</v>
      </c>
      <c r="AV35" s="163">
        <f t="shared" si="6"/>
        <v>0</v>
      </c>
      <c r="AW35" s="163">
        <f t="shared" si="6"/>
        <v>0</v>
      </c>
      <c r="AX35" s="163">
        <f t="shared" si="6"/>
        <v>0</v>
      </c>
      <c r="AY35" s="163">
        <f t="shared" si="6"/>
        <v>0</v>
      </c>
      <c r="AZ35" s="163">
        <f t="shared" si="6"/>
        <v>0</v>
      </c>
      <c r="BA35" s="163">
        <f t="shared" si="6"/>
        <v>0</v>
      </c>
      <c r="BB35" s="163">
        <f t="shared" si="6"/>
        <v>0</v>
      </c>
      <c r="BC35" s="163">
        <f t="shared" si="6"/>
        <v>0</v>
      </c>
      <c r="BD35" s="163">
        <f t="shared" si="6"/>
        <v>0</v>
      </c>
      <c r="BE35" s="163">
        <f t="shared" si="6"/>
        <v>0</v>
      </c>
      <c r="BF35" s="163">
        <f t="shared" si="6"/>
        <v>0</v>
      </c>
      <c r="BG35" s="163">
        <f t="shared" si="6"/>
        <v>0</v>
      </c>
      <c r="BH35" s="163">
        <f t="shared" si="6"/>
        <v>0</v>
      </c>
      <c r="BI35" s="163">
        <f t="shared" si="6"/>
        <v>0</v>
      </c>
      <c r="BJ35" s="163">
        <f t="shared" si="6"/>
        <v>0</v>
      </c>
      <c r="BK35" s="163">
        <f t="shared" si="6"/>
        <v>0</v>
      </c>
      <c r="BL35" s="163">
        <f t="shared" si="6"/>
        <v>0</v>
      </c>
      <c r="BM35" s="163">
        <f t="shared" si="6"/>
        <v>0</v>
      </c>
      <c r="BN35" s="163">
        <f t="shared" si="6"/>
        <v>0</v>
      </c>
      <c r="BO35" s="163">
        <f t="shared" si="6"/>
        <v>0</v>
      </c>
      <c r="BP35" s="163">
        <f t="shared" si="6"/>
        <v>0</v>
      </c>
      <c r="BQ35" s="163">
        <f t="shared" si="6"/>
        <v>0</v>
      </c>
      <c r="BR35" s="163">
        <f t="shared" si="6"/>
        <v>0</v>
      </c>
      <c r="BS35" s="163">
        <f t="shared" si="6"/>
        <v>0</v>
      </c>
      <c r="BT35" s="163">
        <f t="shared" si="6"/>
        <v>0</v>
      </c>
      <c r="BU35" s="163">
        <f t="shared" si="6"/>
        <v>0</v>
      </c>
      <c r="BV35" s="163">
        <f t="shared" si="6"/>
        <v>0</v>
      </c>
      <c r="BW35" s="163">
        <f t="shared" si="6"/>
        <v>0</v>
      </c>
      <c r="BX35" s="163">
        <f t="shared" si="6"/>
        <v>0</v>
      </c>
      <c r="BY35" s="163">
        <f t="shared" si="6"/>
        <v>0</v>
      </c>
      <c r="BZ35" s="163">
        <f t="shared" si="6"/>
        <v>0</v>
      </c>
      <c r="CA35" s="163">
        <f t="shared" si="6"/>
        <v>0</v>
      </c>
      <c r="CB35" s="163">
        <f t="shared" si="6"/>
        <v>0</v>
      </c>
      <c r="CC35" s="163">
        <f t="shared" si="6"/>
        <v>0</v>
      </c>
      <c r="CD35" s="163">
        <f t="shared" si="6"/>
        <v>0</v>
      </c>
      <c r="CE35" s="163">
        <f t="shared" si="6"/>
        <v>0</v>
      </c>
      <c r="CF35" s="163">
        <f t="shared" si="6"/>
        <v>0</v>
      </c>
      <c r="CG35" s="163">
        <f t="shared" si="6"/>
        <v>0</v>
      </c>
      <c r="CH35" s="163">
        <f t="shared" si="6"/>
        <v>0</v>
      </c>
      <c r="CI35" s="163">
        <f t="shared" si="6"/>
        <v>0</v>
      </c>
      <c r="CJ35" s="163">
        <f t="shared" si="6"/>
        <v>0</v>
      </c>
      <c r="CK35" s="163">
        <f t="shared" si="6"/>
        <v>0</v>
      </c>
      <c r="CL35" s="163">
        <f t="shared" si="6"/>
        <v>0</v>
      </c>
      <c r="CM35" s="163">
        <f t="shared" si="6"/>
        <v>0</v>
      </c>
      <c r="CN35" s="163">
        <f t="shared" si="6"/>
        <v>0</v>
      </c>
      <c r="CO35" s="163">
        <f t="shared" si="6"/>
        <v>0</v>
      </c>
      <c r="CP35" s="163">
        <f t="shared" si="6"/>
        <v>0</v>
      </c>
      <c r="CQ35" s="163">
        <f t="shared" si="6"/>
        <v>0</v>
      </c>
      <c r="CR35" s="163">
        <f t="shared" si="6"/>
        <v>0</v>
      </c>
      <c r="CS35" s="163">
        <f t="shared" si="6"/>
        <v>0</v>
      </c>
      <c r="CT35" s="163">
        <f t="shared" si="6"/>
        <v>0</v>
      </c>
      <c r="CU35" s="163">
        <f t="shared" si="6"/>
        <v>0</v>
      </c>
      <c r="CV35" s="163">
        <f t="shared" si="6"/>
        <v>0</v>
      </c>
      <c r="CW35" s="163">
        <f t="shared" si="6"/>
        <v>0</v>
      </c>
      <c r="CX35" s="163">
        <f t="shared" si="6"/>
        <v>0</v>
      </c>
      <c r="CY35" s="163">
        <f t="shared" si="6"/>
        <v>0</v>
      </c>
      <c r="CZ35" s="163">
        <f t="shared" si="6"/>
        <v>0</v>
      </c>
      <c r="DA35" s="163">
        <f t="shared" si="6"/>
        <v>0</v>
      </c>
      <c r="DB35" s="163">
        <f t="shared" si="6"/>
        <v>0</v>
      </c>
      <c r="DC35" s="163">
        <f t="shared" si="6"/>
        <v>0</v>
      </c>
      <c r="DD35" s="163">
        <f t="shared" si="6"/>
        <v>0</v>
      </c>
      <c r="DE35" s="163">
        <f t="shared" si="6"/>
        <v>0</v>
      </c>
      <c r="DF35" s="163">
        <f t="shared" si="6"/>
        <v>0</v>
      </c>
      <c r="DG35" s="163">
        <f t="shared" si="6"/>
        <v>0</v>
      </c>
      <c r="DH35" s="163">
        <f t="shared" si="6"/>
        <v>0</v>
      </c>
      <c r="DI35" s="163">
        <f t="shared" si="6"/>
        <v>0</v>
      </c>
      <c r="DJ35" s="163">
        <f t="shared" si="6"/>
        <v>0</v>
      </c>
      <c r="DK35" s="163">
        <f t="shared" si="6"/>
        <v>0</v>
      </c>
      <c r="DL35" s="163">
        <f t="shared" si="6"/>
        <v>0</v>
      </c>
      <c r="DM35" s="163">
        <f t="shared" si="6"/>
        <v>0</v>
      </c>
      <c r="DN35" s="163">
        <f t="shared" si="6"/>
        <v>0</v>
      </c>
      <c r="DO35" s="163">
        <f t="shared" si="6"/>
        <v>0</v>
      </c>
      <c r="DP35" s="163">
        <f t="shared" si="6"/>
        <v>0</v>
      </c>
      <c r="DQ35" s="163">
        <f t="shared" si="6"/>
        <v>0</v>
      </c>
      <c r="DR35" s="163">
        <f t="shared" si="6"/>
        <v>0</v>
      </c>
      <c r="DS35" s="54"/>
    </row>
    <row r="36" ht="15.75" customHeight="1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54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  <c r="CI36" s="54"/>
      <c r="CJ36" s="54"/>
      <c r="CK36" s="54"/>
      <c r="CL36" s="54"/>
      <c r="CM36" s="54"/>
      <c r="CN36" s="54"/>
      <c r="CO36" s="54"/>
      <c r="CP36" s="54"/>
      <c r="CQ36" s="54"/>
      <c r="CR36" s="54"/>
      <c r="CS36" s="54"/>
      <c r="CT36" s="54"/>
      <c r="CU36" s="54"/>
      <c r="CV36" s="54"/>
      <c r="CW36" s="54"/>
      <c r="CX36" s="54"/>
      <c r="CY36" s="54"/>
      <c r="CZ36" s="54"/>
      <c r="DA36" s="54"/>
      <c r="DB36" s="54"/>
      <c r="DC36" s="54"/>
      <c r="DD36" s="54"/>
      <c r="DE36" s="54"/>
      <c r="DF36" s="54"/>
      <c r="DG36" s="54"/>
      <c r="DH36" s="54"/>
      <c r="DI36" s="54"/>
      <c r="DJ36" s="54"/>
      <c r="DK36" s="54"/>
      <c r="DL36" s="54"/>
      <c r="DM36" s="54"/>
      <c r="DN36" s="54"/>
      <c r="DO36" s="54"/>
      <c r="DP36" s="54"/>
      <c r="DQ36" s="54"/>
      <c r="DR36" s="54"/>
      <c r="DS36" s="54"/>
    </row>
    <row r="37" ht="18.75" customHeight="1">
      <c r="A37" s="54"/>
      <c r="B37" s="164" t="s">
        <v>312</v>
      </c>
      <c r="C37" s="165">
        <f t="shared" ref="C37:DR37" si="7">C17+C35</f>
        <v>0</v>
      </c>
      <c r="D37" s="165">
        <f t="shared" si="7"/>
        <v>0</v>
      </c>
      <c r="E37" s="165">
        <f t="shared" si="7"/>
        <v>0</v>
      </c>
      <c r="F37" s="165">
        <f t="shared" si="7"/>
        <v>0</v>
      </c>
      <c r="G37" s="165">
        <f t="shared" si="7"/>
        <v>0</v>
      </c>
      <c r="H37" s="165">
        <f t="shared" si="7"/>
        <v>0</v>
      </c>
      <c r="I37" s="165">
        <f t="shared" si="7"/>
        <v>0</v>
      </c>
      <c r="J37" s="165">
        <f t="shared" si="7"/>
        <v>0</v>
      </c>
      <c r="K37" s="165">
        <f t="shared" si="7"/>
        <v>0</v>
      </c>
      <c r="L37" s="165">
        <f t="shared" si="7"/>
        <v>0</v>
      </c>
      <c r="M37" s="165">
        <f t="shared" si="7"/>
        <v>0</v>
      </c>
      <c r="N37" s="165">
        <f t="shared" si="7"/>
        <v>0</v>
      </c>
      <c r="O37" s="165">
        <f t="shared" si="7"/>
        <v>0</v>
      </c>
      <c r="P37" s="165">
        <f t="shared" si="7"/>
        <v>0</v>
      </c>
      <c r="Q37" s="165">
        <f t="shared" si="7"/>
        <v>0</v>
      </c>
      <c r="R37" s="165">
        <f t="shared" si="7"/>
        <v>0</v>
      </c>
      <c r="S37" s="165">
        <f t="shared" si="7"/>
        <v>0</v>
      </c>
      <c r="T37" s="165">
        <f t="shared" si="7"/>
        <v>0</v>
      </c>
      <c r="U37" s="165">
        <f t="shared" si="7"/>
        <v>0</v>
      </c>
      <c r="V37" s="165">
        <f t="shared" si="7"/>
        <v>0</v>
      </c>
      <c r="W37" s="165">
        <f t="shared" si="7"/>
        <v>0</v>
      </c>
      <c r="X37" s="165">
        <f t="shared" si="7"/>
        <v>0</v>
      </c>
      <c r="Y37" s="165">
        <f t="shared" si="7"/>
        <v>0</v>
      </c>
      <c r="Z37" s="165">
        <f t="shared" si="7"/>
        <v>0</v>
      </c>
      <c r="AA37" s="165">
        <f t="shared" si="7"/>
        <v>0</v>
      </c>
      <c r="AB37" s="165">
        <f t="shared" si="7"/>
        <v>0</v>
      </c>
      <c r="AC37" s="165">
        <f t="shared" si="7"/>
        <v>0</v>
      </c>
      <c r="AD37" s="165">
        <f t="shared" si="7"/>
        <v>0</v>
      </c>
      <c r="AE37" s="165">
        <f t="shared" si="7"/>
        <v>0</v>
      </c>
      <c r="AF37" s="165">
        <f t="shared" si="7"/>
        <v>0</v>
      </c>
      <c r="AG37" s="165">
        <f t="shared" si="7"/>
        <v>0</v>
      </c>
      <c r="AH37" s="165">
        <f t="shared" si="7"/>
        <v>0</v>
      </c>
      <c r="AI37" s="165">
        <f t="shared" si="7"/>
        <v>0</v>
      </c>
      <c r="AJ37" s="165">
        <f t="shared" si="7"/>
        <v>0</v>
      </c>
      <c r="AK37" s="165">
        <f t="shared" si="7"/>
        <v>0</v>
      </c>
      <c r="AL37" s="165">
        <f t="shared" si="7"/>
        <v>0</v>
      </c>
      <c r="AM37" s="165">
        <f t="shared" si="7"/>
        <v>0</v>
      </c>
      <c r="AN37" s="165">
        <f t="shared" si="7"/>
        <v>0</v>
      </c>
      <c r="AO37" s="165">
        <f t="shared" si="7"/>
        <v>0</v>
      </c>
      <c r="AP37" s="165">
        <f t="shared" si="7"/>
        <v>0</v>
      </c>
      <c r="AQ37" s="165">
        <f t="shared" si="7"/>
        <v>0</v>
      </c>
      <c r="AR37" s="165">
        <f t="shared" si="7"/>
        <v>0</v>
      </c>
      <c r="AS37" s="165">
        <f t="shared" si="7"/>
        <v>0</v>
      </c>
      <c r="AT37" s="165">
        <f t="shared" si="7"/>
        <v>0</v>
      </c>
      <c r="AU37" s="165">
        <f t="shared" si="7"/>
        <v>0</v>
      </c>
      <c r="AV37" s="165">
        <f t="shared" si="7"/>
        <v>0</v>
      </c>
      <c r="AW37" s="165">
        <f t="shared" si="7"/>
        <v>0</v>
      </c>
      <c r="AX37" s="165">
        <f t="shared" si="7"/>
        <v>0</v>
      </c>
      <c r="AY37" s="165">
        <f t="shared" si="7"/>
        <v>0</v>
      </c>
      <c r="AZ37" s="165">
        <f t="shared" si="7"/>
        <v>0</v>
      </c>
      <c r="BA37" s="165">
        <f t="shared" si="7"/>
        <v>0</v>
      </c>
      <c r="BB37" s="165">
        <f t="shared" si="7"/>
        <v>0</v>
      </c>
      <c r="BC37" s="165">
        <f t="shared" si="7"/>
        <v>0</v>
      </c>
      <c r="BD37" s="165">
        <f t="shared" si="7"/>
        <v>0</v>
      </c>
      <c r="BE37" s="165">
        <f t="shared" si="7"/>
        <v>0</v>
      </c>
      <c r="BF37" s="165">
        <f t="shared" si="7"/>
        <v>0</v>
      </c>
      <c r="BG37" s="165">
        <f t="shared" si="7"/>
        <v>0</v>
      </c>
      <c r="BH37" s="165">
        <f t="shared" si="7"/>
        <v>0</v>
      </c>
      <c r="BI37" s="165">
        <f t="shared" si="7"/>
        <v>0</v>
      </c>
      <c r="BJ37" s="165">
        <f t="shared" si="7"/>
        <v>0</v>
      </c>
      <c r="BK37" s="165">
        <f t="shared" si="7"/>
        <v>0</v>
      </c>
      <c r="BL37" s="165">
        <f t="shared" si="7"/>
        <v>0</v>
      </c>
      <c r="BM37" s="165">
        <f t="shared" si="7"/>
        <v>0</v>
      </c>
      <c r="BN37" s="165">
        <f t="shared" si="7"/>
        <v>0</v>
      </c>
      <c r="BO37" s="165">
        <f t="shared" si="7"/>
        <v>0</v>
      </c>
      <c r="BP37" s="165">
        <f t="shared" si="7"/>
        <v>0</v>
      </c>
      <c r="BQ37" s="165">
        <f t="shared" si="7"/>
        <v>0</v>
      </c>
      <c r="BR37" s="165">
        <f t="shared" si="7"/>
        <v>0</v>
      </c>
      <c r="BS37" s="165">
        <f t="shared" si="7"/>
        <v>0</v>
      </c>
      <c r="BT37" s="165">
        <f t="shared" si="7"/>
        <v>0</v>
      </c>
      <c r="BU37" s="165">
        <f t="shared" si="7"/>
        <v>0</v>
      </c>
      <c r="BV37" s="165">
        <f t="shared" si="7"/>
        <v>0</v>
      </c>
      <c r="BW37" s="165">
        <f t="shared" si="7"/>
        <v>0</v>
      </c>
      <c r="BX37" s="165">
        <f t="shared" si="7"/>
        <v>0</v>
      </c>
      <c r="BY37" s="165">
        <f t="shared" si="7"/>
        <v>0</v>
      </c>
      <c r="BZ37" s="165">
        <f t="shared" si="7"/>
        <v>0</v>
      </c>
      <c r="CA37" s="165">
        <f t="shared" si="7"/>
        <v>0</v>
      </c>
      <c r="CB37" s="165">
        <f t="shared" si="7"/>
        <v>0</v>
      </c>
      <c r="CC37" s="165">
        <f t="shared" si="7"/>
        <v>0</v>
      </c>
      <c r="CD37" s="165">
        <f t="shared" si="7"/>
        <v>0</v>
      </c>
      <c r="CE37" s="165">
        <f t="shared" si="7"/>
        <v>0</v>
      </c>
      <c r="CF37" s="165">
        <f t="shared" si="7"/>
        <v>0</v>
      </c>
      <c r="CG37" s="165">
        <f t="shared" si="7"/>
        <v>0</v>
      </c>
      <c r="CH37" s="165">
        <f t="shared" si="7"/>
        <v>0</v>
      </c>
      <c r="CI37" s="165">
        <f t="shared" si="7"/>
        <v>0</v>
      </c>
      <c r="CJ37" s="165">
        <f t="shared" si="7"/>
        <v>0</v>
      </c>
      <c r="CK37" s="165">
        <f t="shared" si="7"/>
        <v>0</v>
      </c>
      <c r="CL37" s="165">
        <f t="shared" si="7"/>
        <v>0</v>
      </c>
      <c r="CM37" s="165">
        <f t="shared" si="7"/>
        <v>0</v>
      </c>
      <c r="CN37" s="165">
        <f t="shared" si="7"/>
        <v>0</v>
      </c>
      <c r="CO37" s="165">
        <f t="shared" si="7"/>
        <v>0</v>
      </c>
      <c r="CP37" s="165">
        <f t="shared" si="7"/>
        <v>0</v>
      </c>
      <c r="CQ37" s="165">
        <f t="shared" si="7"/>
        <v>0</v>
      </c>
      <c r="CR37" s="165">
        <f t="shared" si="7"/>
        <v>0</v>
      </c>
      <c r="CS37" s="165">
        <f t="shared" si="7"/>
        <v>0</v>
      </c>
      <c r="CT37" s="165">
        <f t="shared" si="7"/>
        <v>0</v>
      </c>
      <c r="CU37" s="165">
        <f t="shared" si="7"/>
        <v>0</v>
      </c>
      <c r="CV37" s="165">
        <f t="shared" si="7"/>
        <v>0</v>
      </c>
      <c r="CW37" s="165">
        <f t="shared" si="7"/>
        <v>0</v>
      </c>
      <c r="CX37" s="165">
        <f t="shared" si="7"/>
        <v>0</v>
      </c>
      <c r="CY37" s="165">
        <f t="shared" si="7"/>
        <v>0</v>
      </c>
      <c r="CZ37" s="165">
        <f t="shared" si="7"/>
        <v>0</v>
      </c>
      <c r="DA37" s="165">
        <f t="shared" si="7"/>
        <v>0</v>
      </c>
      <c r="DB37" s="165">
        <f t="shared" si="7"/>
        <v>0</v>
      </c>
      <c r="DC37" s="165">
        <f t="shared" si="7"/>
        <v>0</v>
      </c>
      <c r="DD37" s="165">
        <f t="shared" si="7"/>
        <v>0</v>
      </c>
      <c r="DE37" s="165">
        <f t="shared" si="7"/>
        <v>0</v>
      </c>
      <c r="DF37" s="165">
        <f t="shared" si="7"/>
        <v>0</v>
      </c>
      <c r="DG37" s="165">
        <f t="shared" si="7"/>
        <v>0</v>
      </c>
      <c r="DH37" s="165">
        <f t="shared" si="7"/>
        <v>0</v>
      </c>
      <c r="DI37" s="165">
        <f t="shared" si="7"/>
        <v>0</v>
      </c>
      <c r="DJ37" s="165">
        <f t="shared" si="7"/>
        <v>0</v>
      </c>
      <c r="DK37" s="165">
        <f t="shared" si="7"/>
        <v>0</v>
      </c>
      <c r="DL37" s="165">
        <f t="shared" si="7"/>
        <v>0</v>
      </c>
      <c r="DM37" s="165">
        <f t="shared" si="7"/>
        <v>0</v>
      </c>
      <c r="DN37" s="165">
        <f t="shared" si="7"/>
        <v>0</v>
      </c>
      <c r="DO37" s="165">
        <f t="shared" si="7"/>
        <v>0</v>
      </c>
      <c r="DP37" s="165">
        <f t="shared" si="7"/>
        <v>0</v>
      </c>
      <c r="DQ37" s="165">
        <f t="shared" si="7"/>
        <v>0</v>
      </c>
      <c r="DR37" s="165">
        <f t="shared" si="7"/>
        <v>0</v>
      </c>
      <c r="DS37" s="54"/>
    </row>
    <row r="38" ht="15.75" customHeight="1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  <c r="DO38" s="54"/>
      <c r="DP38" s="54"/>
      <c r="DQ38" s="54"/>
      <c r="DR38" s="54"/>
      <c r="DS38" s="54"/>
    </row>
    <row r="39" ht="16.5" customHeight="1">
      <c r="A39" s="54"/>
      <c r="B39" s="55" t="s">
        <v>313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3"/>
      <c r="DS39" s="54"/>
    </row>
    <row r="40" ht="15.0" customHeight="1">
      <c r="A40" s="54"/>
      <c r="B40" s="56" t="s">
        <v>314</v>
      </c>
      <c r="C40" s="153">
        <f>IF(C$3&lt;=Inputs!$C$15*12,-(IF(C$3=Inputs!$D$51,Inputs!$C$51,0)+IF(C$3=Inputs!$D$52,Inputs!$C$52,0)+IF(C$3=Inputs!$D$53,Inputs!$C$53,0)+IF(C$3=Inputs!$D$54,Inputs!$C$54,0)+IF(C$3=Inputs!$D$55,Inputs!$C$55,0)+IF(C$3=Inputs!$D$56,Inputs!$C$56,0)),0)</f>
        <v>0</v>
      </c>
      <c r="D40" s="153">
        <f>IF(D$3&lt;=Inputs!$C$15*12,-(IF(D$3=Inputs!$D$51,Inputs!$C$51,0)+IF(D$3=Inputs!$D$52,Inputs!$C$52,0)+IF(D$3=Inputs!$D$53,Inputs!$C$53,0)+IF(D$3=Inputs!$D$54,Inputs!$C$54,0)+IF(D$3=Inputs!$D$55,Inputs!$C$55,0)+IF(D$3=Inputs!$D$56,Inputs!$C$56,0)),0)</f>
        <v>0</v>
      </c>
      <c r="E40" s="153">
        <f>IF(E$3&lt;=Inputs!$C$15*12,-(IF(E$3=Inputs!$D$51,Inputs!$C$51,0)+IF(E$3=Inputs!$D$52,Inputs!$C$52,0)+IF(E$3=Inputs!$D$53,Inputs!$C$53,0)+IF(E$3=Inputs!$D$54,Inputs!$C$54,0)+IF(E$3=Inputs!$D$55,Inputs!$C$55,0)+IF(E$3=Inputs!$D$56,Inputs!$C$56,0)),0)</f>
        <v>0</v>
      </c>
      <c r="F40" s="153">
        <f>IF(F$3&lt;=Inputs!$C$15*12,-(IF(F$3=Inputs!$D$51,Inputs!$C$51,0)+IF(F$3=Inputs!$D$52,Inputs!$C$52,0)+IF(F$3=Inputs!$D$53,Inputs!$C$53,0)+IF(F$3=Inputs!$D$54,Inputs!$C$54,0)+IF(F$3=Inputs!$D$55,Inputs!$C$55,0)+IF(F$3=Inputs!$D$56,Inputs!$C$56,0)),0)</f>
        <v>0</v>
      </c>
      <c r="G40" s="153">
        <f>IF(G$3&lt;=Inputs!$C$15*12,-(IF(G$3=Inputs!$D$51,Inputs!$C$51,0)+IF(G$3=Inputs!$D$52,Inputs!$C$52,0)+IF(G$3=Inputs!$D$53,Inputs!$C$53,0)+IF(G$3=Inputs!$D$54,Inputs!$C$54,0)+IF(G$3=Inputs!$D$55,Inputs!$C$55,0)+IF(G$3=Inputs!$D$56,Inputs!$C$56,0)),0)</f>
        <v>0</v>
      </c>
      <c r="H40" s="153">
        <f>IF(H$3&lt;=Inputs!$C$15*12,-(IF(H$3=Inputs!$D$51,Inputs!$C$51,0)+IF(H$3=Inputs!$D$52,Inputs!$C$52,0)+IF(H$3=Inputs!$D$53,Inputs!$C$53,0)+IF(H$3=Inputs!$D$54,Inputs!$C$54,0)+IF(H$3=Inputs!$D$55,Inputs!$C$55,0)+IF(H$3=Inputs!$D$56,Inputs!$C$56,0)),0)</f>
        <v>0</v>
      </c>
      <c r="I40" s="153">
        <f>IF(I$3&lt;=Inputs!$C$15*12,-(IF(I$3=Inputs!$D$51,Inputs!$C$51,0)+IF(I$3=Inputs!$D$52,Inputs!$C$52,0)+IF(I$3=Inputs!$D$53,Inputs!$C$53,0)+IF(I$3=Inputs!$D$54,Inputs!$C$54,0)+IF(I$3=Inputs!$D$55,Inputs!$C$55,0)+IF(I$3=Inputs!$D$56,Inputs!$C$56,0)),0)</f>
        <v>0</v>
      </c>
      <c r="J40" s="153">
        <f>IF(J$3&lt;=Inputs!$C$15*12,-(IF(J$3=Inputs!$D$51,Inputs!$C$51,0)+IF(J$3=Inputs!$D$52,Inputs!$C$52,0)+IF(J$3=Inputs!$D$53,Inputs!$C$53,0)+IF(J$3=Inputs!$D$54,Inputs!$C$54,0)+IF(J$3=Inputs!$D$55,Inputs!$C$55,0)+IF(J$3=Inputs!$D$56,Inputs!$C$56,0)),0)</f>
        <v>0</v>
      </c>
      <c r="K40" s="153">
        <f>IF(K$3&lt;=Inputs!$C$15*12,-(IF(K$3=Inputs!$D$51,Inputs!$C$51,0)+IF(K$3=Inputs!$D$52,Inputs!$C$52,0)+IF(K$3=Inputs!$D$53,Inputs!$C$53,0)+IF(K$3=Inputs!$D$54,Inputs!$C$54,0)+IF(K$3=Inputs!$D$55,Inputs!$C$55,0)+IF(K$3=Inputs!$D$56,Inputs!$C$56,0)),0)</f>
        <v>0</v>
      </c>
      <c r="L40" s="153">
        <f>IF(L$3&lt;=Inputs!$C$15*12,-(IF(L$3=Inputs!$D$51,Inputs!$C$51,0)+IF(L$3=Inputs!$D$52,Inputs!$C$52,0)+IF(L$3=Inputs!$D$53,Inputs!$C$53,0)+IF(L$3=Inputs!$D$54,Inputs!$C$54,0)+IF(L$3=Inputs!$D$55,Inputs!$C$55,0)+IF(L$3=Inputs!$D$56,Inputs!$C$56,0)),0)</f>
        <v>0</v>
      </c>
      <c r="M40" s="153">
        <f>IF(M$3&lt;=Inputs!$C$15*12,-(IF(M$3=Inputs!$D$51,Inputs!$C$51,0)+IF(M$3=Inputs!$D$52,Inputs!$C$52,0)+IF(M$3=Inputs!$D$53,Inputs!$C$53,0)+IF(M$3=Inputs!$D$54,Inputs!$C$54,0)+IF(M$3=Inputs!$D$55,Inputs!$C$55,0)+IF(M$3=Inputs!$D$56,Inputs!$C$56,0)),0)</f>
        <v>0</v>
      </c>
      <c r="N40" s="153">
        <f>IF(N$3&lt;=Inputs!$C$15*12,-(IF(N$3=Inputs!$D$51,Inputs!$C$51,0)+IF(N$3=Inputs!$D$52,Inputs!$C$52,0)+IF(N$3=Inputs!$D$53,Inputs!$C$53,0)+IF(N$3=Inputs!$D$54,Inputs!$C$54,0)+IF(N$3=Inputs!$D$55,Inputs!$C$55,0)+IF(N$3=Inputs!$D$56,Inputs!$C$56,0)),0)</f>
        <v>0</v>
      </c>
      <c r="O40" s="153">
        <f>IF(O$3&lt;=Inputs!$C$15*12,-(IF(O$3=Inputs!$D$51,Inputs!$C$51,0)+IF(O$3=Inputs!$D$52,Inputs!$C$52,0)+IF(O$3=Inputs!$D$53,Inputs!$C$53,0)+IF(O$3=Inputs!$D$54,Inputs!$C$54,0)+IF(O$3=Inputs!$D$55,Inputs!$C$55,0)+IF(O$3=Inputs!$D$56,Inputs!$C$56,0)),0)</f>
        <v>0</v>
      </c>
      <c r="P40" s="153">
        <f>IF(P$3&lt;=Inputs!$C$15*12,-(IF(P$3=Inputs!$D$51,Inputs!$C$51,0)+IF(P$3=Inputs!$D$52,Inputs!$C$52,0)+IF(P$3=Inputs!$D$53,Inputs!$C$53,0)+IF(P$3=Inputs!$D$54,Inputs!$C$54,0)+IF(P$3=Inputs!$D$55,Inputs!$C$55,0)+IF(P$3=Inputs!$D$56,Inputs!$C$56,0)),0)</f>
        <v>0</v>
      </c>
      <c r="Q40" s="153">
        <f>IF(Q$3&lt;=Inputs!$C$15*12,-(IF(Q$3=Inputs!$D$51,Inputs!$C$51,0)+IF(Q$3=Inputs!$D$52,Inputs!$C$52,0)+IF(Q$3=Inputs!$D$53,Inputs!$C$53,0)+IF(Q$3=Inputs!$D$54,Inputs!$C$54,0)+IF(Q$3=Inputs!$D$55,Inputs!$C$55,0)+IF(Q$3=Inputs!$D$56,Inputs!$C$56,0)),0)</f>
        <v>0</v>
      </c>
      <c r="R40" s="153">
        <f>IF(R$3&lt;=Inputs!$C$15*12,-(IF(R$3=Inputs!$D$51,Inputs!$C$51,0)+IF(R$3=Inputs!$D$52,Inputs!$C$52,0)+IF(R$3=Inputs!$D$53,Inputs!$C$53,0)+IF(R$3=Inputs!$D$54,Inputs!$C$54,0)+IF(R$3=Inputs!$D$55,Inputs!$C$55,0)+IF(R$3=Inputs!$D$56,Inputs!$C$56,0)),0)</f>
        <v>0</v>
      </c>
      <c r="S40" s="153">
        <f>IF(S$3&lt;=Inputs!$C$15*12,-(IF(S$3=Inputs!$D$51,Inputs!$C$51,0)+IF(S$3=Inputs!$D$52,Inputs!$C$52,0)+IF(S$3=Inputs!$D$53,Inputs!$C$53,0)+IF(S$3=Inputs!$D$54,Inputs!$C$54,0)+IF(S$3=Inputs!$D$55,Inputs!$C$55,0)+IF(S$3=Inputs!$D$56,Inputs!$C$56,0)),0)</f>
        <v>0</v>
      </c>
      <c r="T40" s="153">
        <f>IF(T$3&lt;=Inputs!$C$15*12,-(IF(T$3=Inputs!$D$51,Inputs!$C$51,0)+IF(T$3=Inputs!$D$52,Inputs!$C$52,0)+IF(T$3=Inputs!$D$53,Inputs!$C$53,0)+IF(T$3=Inputs!$D$54,Inputs!$C$54,0)+IF(T$3=Inputs!$D$55,Inputs!$C$55,0)+IF(T$3=Inputs!$D$56,Inputs!$C$56,0)),0)</f>
        <v>0</v>
      </c>
      <c r="U40" s="153">
        <f>IF(U$3&lt;=Inputs!$C$15*12,-(IF(U$3=Inputs!$D$51,Inputs!$C$51,0)+IF(U$3=Inputs!$D$52,Inputs!$C$52,0)+IF(U$3=Inputs!$D$53,Inputs!$C$53,0)+IF(U$3=Inputs!$D$54,Inputs!$C$54,0)+IF(U$3=Inputs!$D$55,Inputs!$C$55,0)+IF(U$3=Inputs!$D$56,Inputs!$C$56,0)),0)</f>
        <v>0</v>
      </c>
      <c r="V40" s="153">
        <f>IF(V$3&lt;=Inputs!$C$15*12,-(IF(V$3=Inputs!$D$51,Inputs!$C$51,0)+IF(V$3=Inputs!$D$52,Inputs!$C$52,0)+IF(V$3=Inputs!$D$53,Inputs!$C$53,0)+IF(V$3=Inputs!$D$54,Inputs!$C$54,0)+IF(V$3=Inputs!$D$55,Inputs!$C$55,0)+IF(V$3=Inputs!$D$56,Inputs!$C$56,0)),0)</f>
        <v>0</v>
      </c>
      <c r="W40" s="153">
        <f>IF(W$3&lt;=Inputs!$C$15*12,-(IF(W$3=Inputs!$D$51,Inputs!$C$51,0)+IF(W$3=Inputs!$D$52,Inputs!$C$52,0)+IF(W$3=Inputs!$D$53,Inputs!$C$53,0)+IF(W$3=Inputs!$D$54,Inputs!$C$54,0)+IF(W$3=Inputs!$D$55,Inputs!$C$55,0)+IF(W$3=Inputs!$D$56,Inputs!$C$56,0)),0)</f>
        <v>0</v>
      </c>
      <c r="X40" s="153">
        <f>IF(X$3&lt;=Inputs!$C$15*12,-(IF(X$3=Inputs!$D$51,Inputs!$C$51,0)+IF(X$3=Inputs!$D$52,Inputs!$C$52,0)+IF(X$3=Inputs!$D$53,Inputs!$C$53,0)+IF(X$3=Inputs!$D$54,Inputs!$C$54,0)+IF(X$3=Inputs!$D$55,Inputs!$C$55,0)+IF(X$3=Inputs!$D$56,Inputs!$C$56,0)),0)</f>
        <v>0</v>
      </c>
      <c r="Y40" s="153">
        <f>IF(Y$3&lt;=Inputs!$C$15*12,-(IF(Y$3=Inputs!$D$51,Inputs!$C$51,0)+IF(Y$3=Inputs!$D$52,Inputs!$C$52,0)+IF(Y$3=Inputs!$D$53,Inputs!$C$53,0)+IF(Y$3=Inputs!$D$54,Inputs!$C$54,0)+IF(Y$3=Inputs!$D$55,Inputs!$C$55,0)+IF(Y$3=Inputs!$D$56,Inputs!$C$56,0)),0)</f>
        <v>0</v>
      </c>
      <c r="Z40" s="153">
        <f>IF(Z$3&lt;=Inputs!$C$15*12,-(IF(Z$3=Inputs!$D$51,Inputs!$C$51,0)+IF(Z$3=Inputs!$D$52,Inputs!$C$52,0)+IF(Z$3=Inputs!$D$53,Inputs!$C$53,0)+IF(Z$3=Inputs!$D$54,Inputs!$C$54,0)+IF(Z$3=Inputs!$D$55,Inputs!$C$55,0)+IF(Z$3=Inputs!$D$56,Inputs!$C$56,0)),0)</f>
        <v>0</v>
      </c>
      <c r="AA40" s="153">
        <f>IF(AA$3&lt;=Inputs!$C$15*12,-(IF(AA$3=Inputs!$D$51,Inputs!$C$51,0)+IF(AA$3=Inputs!$D$52,Inputs!$C$52,0)+IF(AA$3=Inputs!$D$53,Inputs!$C$53,0)+IF(AA$3=Inputs!$D$54,Inputs!$C$54,0)+IF(AA$3=Inputs!$D$55,Inputs!$C$55,0)+IF(AA$3=Inputs!$D$56,Inputs!$C$56,0)),0)</f>
        <v>0</v>
      </c>
      <c r="AB40" s="153">
        <f>IF(AB$3&lt;=Inputs!$C$15*12,-(IF(AB$3=Inputs!$D$51,Inputs!$C$51,0)+IF(AB$3=Inputs!$D$52,Inputs!$C$52,0)+IF(AB$3=Inputs!$D$53,Inputs!$C$53,0)+IF(AB$3=Inputs!$D$54,Inputs!$C$54,0)+IF(AB$3=Inputs!$D$55,Inputs!$C$55,0)+IF(AB$3=Inputs!$D$56,Inputs!$C$56,0)),0)</f>
        <v>0</v>
      </c>
      <c r="AC40" s="153">
        <f>IF(AC$3&lt;=Inputs!$C$15*12,-(IF(AC$3=Inputs!$D$51,Inputs!$C$51,0)+IF(AC$3=Inputs!$D$52,Inputs!$C$52,0)+IF(AC$3=Inputs!$D$53,Inputs!$C$53,0)+IF(AC$3=Inputs!$D$54,Inputs!$C$54,0)+IF(AC$3=Inputs!$D$55,Inputs!$C$55,0)+IF(AC$3=Inputs!$D$56,Inputs!$C$56,0)),0)</f>
        <v>0</v>
      </c>
      <c r="AD40" s="153">
        <f>IF(AD$3&lt;=Inputs!$C$15*12,-(IF(AD$3=Inputs!$D$51,Inputs!$C$51,0)+IF(AD$3=Inputs!$D$52,Inputs!$C$52,0)+IF(AD$3=Inputs!$D$53,Inputs!$C$53,0)+IF(AD$3=Inputs!$D$54,Inputs!$C$54,0)+IF(AD$3=Inputs!$D$55,Inputs!$C$55,0)+IF(AD$3=Inputs!$D$56,Inputs!$C$56,0)),0)</f>
        <v>0</v>
      </c>
      <c r="AE40" s="153">
        <f>IF(AE$3&lt;=Inputs!$C$15*12,-(IF(AE$3=Inputs!$D$51,Inputs!$C$51,0)+IF(AE$3=Inputs!$D$52,Inputs!$C$52,0)+IF(AE$3=Inputs!$D$53,Inputs!$C$53,0)+IF(AE$3=Inputs!$D$54,Inputs!$C$54,0)+IF(AE$3=Inputs!$D$55,Inputs!$C$55,0)+IF(AE$3=Inputs!$D$56,Inputs!$C$56,0)),0)</f>
        <v>0</v>
      </c>
      <c r="AF40" s="153">
        <f>IF(AF$3&lt;=Inputs!$C$15*12,-(IF(AF$3=Inputs!$D$51,Inputs!$C$51,0)+IF(AF$3=Inputs!$D$52,Inputs!$C$52,0)+IF(AF$3=Inputs!$D$53,Inputs!$C$53,0)+IF(AF$3=Inputs!$D$54,Inputs!$C$54,0)+IF(AF$3=Inputs!$D$55,Inputs!$C$55,0)+IF(AF$3=Inputs!$D$56,Inputs!$C$56,0)),0)</f>
        <v>0</v>
      </c>
      <c r="AG40" s="153">
        <f>IF(AG$3&lt;=Inputs!$C$15*12,-(IF(AG$3=Inputs!$D$51,Inputs!$C$51,0)+IF(AG$3=Inputs!$D$52,Inputs!$C$52,0)+IF(AG$3=Inputs!$D$53,Inputs!$C$53,0)+IF(AG$3=Inputs!$D$54,Inputs!$C$54,0)+IF(AG$3=Inputs!$D$55,Inputs!$C$55,0)+IF(AG$3=Inputs!$D$56,Inputs!$C$56,0)),0)</f>
        <v>0</v>
      </c>
      <c r="AH40" s="153">
        <f>IF(AH$3&lt;=Inputs!$C$15*12,-(IF(AH$3=Inputs!$D$51,Inputs!$C$51,0)+IF(AH$3=Inputs!$D$52,Inputs!$C$52,0)+IF(AH$3=Inputs!$D$53,Inputs!$C$53,0)+IF(AH$3=Inputs!$D$54,Inputs!$C$54,0)+IF(AH$3=Inputs!$D$55,Inputs!$C$55,0)+IF(AH$3=Inputs!$D$56,Inputs!$C$56,0)),0)</f>
        <v>0</v>
      </c>
      <c r="AI40" s="153">
        <f>IF(AI$3&lt;=Inputs!$C$15*12,-(IF(AI$3=Inputs!$D$51,Inputs!$C$51,0)+IF(AI$3=Inputs!$D$52,Inputs!$C$52,0)+IF(AI$3=Inputs!$D$53,Inputs!$C$53,0)+IF(AI$3=Inputs!$D$54,Inputs!$C$54,0)+IF(AI$3=Inputs!$D$55,Inputs!$C$55,0)+IF(AI$3=Inputs!$D$56,Inputs!$C$56,0)),0)</f>
        <v>0</v>
      </c>
      <c r="AJ40" s="153">
        <f>IF(AJ$3&lt;=Inputs!$C$15*12,-(IF(AJ$3=Inputs!$D$51,Inputs!$C$51,0)+IF(AJ$3=Inputs!$D$52,Inputs!$C$52,0)+IF(AJ$3=Inputs!$D$53,Inputs!$C$53,0)+IF(AJ$3=Inputs!$D$54,Inputs!$C$54,0)+IF(AJ$3=Inputs!$D$55,Inputs!$C$55,0)+IF(AJ$3=Inputs!$D$56,Inputs!$C$56,0)),0)</f>
        <v>0</v>
      </c>
      <c r="AK40" s="153">
        <f>IF(AK$3&lt;=Inputs!$C$15*12,-(IF(AK$3=Inputs!$D$51,Inputs!$C$51,0)+IF(AK$3=Inputs!$D$52,Inputs!$C$52,0)+IF(AK$3=Inputs!$D$53,Inputs!$C$53,0)+IF(AK$3=Inputs!$D$54,Inputs!$C$54,0)+IF(AK$3=Inputs!$D$55,Inputs!$C$55,0)+IF(AK$3=Inputs!$D$56,Inputs!$C$56,0)),0)</f>
        <v>0</v>
      </c>
      <c r="AL40" s="153">
        <f>IF(AL$3&lt;=Inputs!$C$15*12,-(IF(AL$3=Inputs!$D$51,Inputs!$C$51,0)+IF(AL$3=Inputs!$D$52,Inputs!$C$52,0)+IF(AL$3=Inputs!$D$53,Inputs!$C$53,0)+IF(AL$3=Inputs!$D$54,Inputs!$C$54,0)+IF(AL$3=Inputs!$D$55,Inputs!$C$55,0)+IF(AL$3=Inputs!$D$56,Inputs!$C$56,0)),0)</f>
        <v>0</v>
      </c>
      <c r="AM40" s="153">
        <f>IF(AM$3&lt;=Inputs!$C$15*12,-(IF(AM$3=Inputs!$D$51,Inputs!$C$51,0)+IF(AM$3=Inputs!$D$52,Inputs!$C$52,0)+IF(AM$3=Inputs!$D$53,Inputs!$C$53,0)+IF(AM$3=Inputs!$D$54,Inputs!$C$54,0)+IF(AM$3=Inputs!$D$55,Inputs!$C$55,0)+IF(AM$3=Inputs!$D$56,Inputs!$C$56,0)),0)</f>
        <v>0</v>
      </c>
      <c r="AN40" s="153">
        <f>IF(AN$3&lt;=Inputs!$C$15*12,-(IF(AN$3=Inputs!$D$51,Inputs!$C$51,0)+IF(AN$3=Inputs!$D$52,Inputs!$C$52,0)+IF(AN$3=Inputs!$D$53,Inputs!$C$53,0)+IF(AN$3=Inputs!$D$54,Inputs!$C$54,0)+IF(AN$3=Inputs!$D$55,Inputs!$C$55,0)+IF(AN$3=Inputs!$D$56,Inputs!$C$56,0)),0)</f>
        <v>0</v>
      </c>
      <c r="AO40" s="153">
        <f>IF(AO$3&lt;=Inputs!$C$15*12,-(IF(AO$3=Inputs!$D$51,Inputs!$C$51,0)+IF(AO$3=Inputs!$D$52,Inputs!$C$52,0)+IF(AO$3=Inputs!$D$53,Inputs!$C$53,0)+IF(AO$3=Inputs!$D$54,Inputs!$C$54,0)+IF(AO$3=Inputs!$D$55,Inputs!$C$55,0)+IF(AO$3=Inputs!$D$56,Inputs!$C$56,0)),0)</f>
        <v>0</v>
      </c>
      <c r="AP40" s="153">
        <f>IF(AP$3&lt;=Inputs!$C$15*12,-(IF(AP$3=Inputs!$D$51,Inputs!$C$51,0)+IF(AP$3=Inputs!$D$52,Inputs!$C$52,0)+IF(AP$3=Inputs!$D$53,Inputs!$C$53,0)+IF(AP$3=Inputs!$D$54,Inputs!$C$54,0)+IF(AP$3=Inputs!$D$55,Inputs!$C$55,0)+IF(AP$3=Inputs!$D$56,Inputs!$C$56,0)),0)</f>
        <v>0</v>
      </c>
      <c r="AQ40" s="153">
        <f>IF(AQ$3&lt;=Inputs!$C$15*12,-(IF(AQ$3=Inputs!$D$51,Inputs!$C$51,0)+IF(AQ$3=Inputs!$D$52,Inputs!$C$52,0)+IF(AQ$3=Inputs!$D$53,Inputs!$C$53,0)+IF(AQ$3=Inputs!$D$54,Inputs!$C$54,0)+IF(AQ$3=Inputs!$D$55,Inputs!$C$55,0)+IF(AQ$3=Inputs!$D$56,Inputs!$C$56,0)),0)</f>
        <v>0</v>
      </c>
      <c r="AR40" s="153">
        <f>IF(AR$3&lt;=Inputs!$C$15*12,-(IF(AR$3=Inputs!$D$51,Inputs!$C$51,0)+IF(AR$3=Inputs!$D$52,Inputs!$C$52,0)+IF(AR$3=Inputs!$D$53,Inputs!$C$53,0)+IF(AR$3=Inputs!$D$54,Inputs!$C$54,0)+IF(AR$3=Inputs!$D$55,Inputs!$C$55,0)+IF(AR$3=Inputs!$D$56,Inputs!$C$56,0)),0)</f>
        <v>0</v>
      </c>
      <c r="AS40" s="153">
        <f>IF(AS$3&lt;=Inputs!$C$15*12,-(IF(AS$3=Inputs!$D$51,Inputs!$C$51,0)+IF(AS$3=Inputs!$D$52,Inputs!$C$52,0)+IF(AS$3=Inputs!$D$53,Inputs!$C$53,0)+IF(AS$3=Inputs!$D$54,Inputs!$C$54,0)+IF(AS$3=Inputs!$D$55,Inputs!$C$55,0)+IF(AS$3=Inputs!$D$56,Inputs!$C$56,0)),0)</f>
        <v>0</v>
      </c>
      <c r="AT40" s="153">
        <f>IF(AT$3&lt;=Inputs!$C$15*12,-(IF(AT$3=Inputs!$D$51,Inputs!$C$51,0)+IF(AT$3=Inputs!$D$52,Inputs!$C$52,0)+IF(AT$3=Inputs!$D$53,Inputs!$C$53,0)+IF(AT$3=Inputs!$D$54,Inputs!$C$54,0)+IF(AT$3=Inputs!$D$55,Inputs!$C$55,0)+IF(AT$3=Inputs!$D$56,Inputs!$C$56,0)),0)</f>
        <v>0</v>
      </c>
      <c r="AU40" s="153">
        <f>IF(AU$3&lt;=Inputs!$C$15*12,-(IF(AU$3=Inputs!$D$51,Inputs!$C$51,0)+IF(AU$3=Inputs!$D$52,Inputs!$C$52,0)+IF(AU$3=Inputs!$D$53,Inputs!$C$53,0)+IF(AU$3=Inputs!$D$54,Inputs!$C$54,0)+IF(AU$3=Inputs!$D$55,Inputs!$C$55,0)+IF(AU$3=Inputs!$D$56,Inputs!$C$56,0)),0)</f>
        <v>0</v>
      </c>
      <c r="AV40" s="153">
        <f>IF(AV$3&lt;=Inputs!$C$15*12,-(IF(AV$3=Inputs!$D$51,Inputs!$C$51,0)+IF(AV$3=Inputs!$D$52,Inputs!$C$52,0)+IF(AV$3=Inputs!$D$53,Inputs!$C$53,0)+IF(AV$3=Inputs!$D$54,Inputs!$C$54,0)+IF(AV$3=Inputs!$D$55,Inputs!$C$55,0)+IF(AV$3=Inputs!$D$56,Inputs!$C$56,0)),0)</f>
        <v>0</v>
      </c>
      <c r="AW40" s="153">
        <f>IF(AW$3&lt;=Inputs!$C$15*12,-(IF(AW$3=Inputs!$D$51,Inputs!$C$51,0)+IF(AW$3=Inputs!$D$52,Inputs!$C$52,0)+IF(AW$3=Inputs!$D$53,Inputs!$C$53,0)+IF(AW$3=Inputs!$D$54,Inputs!$C$54,0)+IF(AW$3=Inputs!$D$55,Inputs!$C$55,0)+IF(AW$3=Inputs!$D$56,Inputs!$C$56,0)),0)</f>
        <v>0</v>
      </c>
      <c r="AX40" s="153">
        <f>IF(AX$3&lt;=Inputs!$C$15*12,-(IF(AX$3=Inputs!$D$51,Inputs!$C$51,0)+IF(AX$3=Inputs!$D$52,Inputs!$C$52,0)+IF(AX$3=Inputs!$D$53,Inputs!$C$53,0)+IF(AX$3=Inputs!$D$54,Inputs!$C$54,0)+IF(AX$3=Inputs!$D$55,Inputs!$C$55,0)+IF(AX$3=Inputs!$D$56,Inputs!$C$56,0)),0)</f>
        <v>0</v>
      </c>
      <c r="AY40" s="153">
        <f>IF(AY$3&lt;=Inputs!$C$15*12,-(IF(AY$3=Inputs!$D$51,Inputs!$C$51,0)+IF(AY$3=Inputs!$D$52,Inputs!$C$52,0)+IF(AY$3=Inputs!$D$53,Inputs!$C$53,0)+IF(AY$3=Inputs!$D$54,Inputs!$C$54,0)+IF(AY$3=Inputs!$D$55,Inputs!$C$55,0)+IF(AY$3=Inputs!$D$56,Inputs!$C$56,0)),0)</f>
        <v>0</v>
      </c>
      <c r="AZ40" s="153">
        <f>IF(AZ$3&lt;=Inputs!$C$15*12,-(IF(AZ$3=Inputs!$D$51,Inputs!$C$51,0)+IF(AZ$3=Inputs!$D$52,Inputs!$C$52,0)+IF(AZ$3=Inputs!$D$53,Inputs!$C$53,0)+IF(AZ$3=Inputs!$D$54,Inputs!$C$54,0)+IF(AZ$3=Inputs!$D$55,Inputs!$C$55,0)+IF(AZ$3=Inputs!$D$56,Inputs!$C$56,0)),0)</f>
        <v>0</v>
      </c>
      <c r="BA40" s="153">
        <f>IF(BA$3&lt;=Inputs!$C$15*12,-(IF(BA$3=Inputs!$D$51,Inputs!$C$51,0)+IF(BA$3=Inputs!$D$52,Inputs!$C$52,0)+IF(BA$3=Inputs!$D$53,Inputs!$C$53,0)+IF(BA$3=Inputs!$D$54,Inputs!$C$54,0)+IF(BA$3=Inputs!$D$55,Inputs!$C$55,0)+IF(BA$3=Inputs!$D$56,Inputs!$C$56,0)),0)</f>
        <v>0</v>
      </c>
      <c r="BB40" s="153">
        <f>IF(BB$3&lt;=Inputs!$C$15*12,-(IF(BB$3=Inputs!$D$51,Inputs!$C$51,0)+IF(BB$3=Inputs!$D$52,Inputs!$C$52,0)+IF(BB$3=Inputs!$D$53,Inputs!$C$53,0)+IF(BB$3=Inputs!$D$54,Inputs!$C$54,0)+IF(BB$3=Inputs!$D$55,Inputs!$C$55,0)+IF(BB$3=Inputs!$D$56,Inputs!$C$56,0)),0)</f>
        <v>0</v>
      </c>
      <c r="BC40" s="153">
        <f>IF(BC$3&lt;=Inputs!$C$15*12,-(IF(BC$3=Inputs!$D$51,Inputs!$C$51,0)+IF(BC$3=Inputs!$D$52,Inputs!$C$52,0)+IF(BC$3=Inputs!$D$53,Inputs!$C$53,0)+IF(BC$3=Inputs!$D$54,Inputs!$C$54,0)+IF(BC$3=Inputs!$D$55,Inputs!$C$55,0)+IF(BC$3=Inputs!$D$56,Inputs!$C$56,0)),0)</f>
        <v>0</v>
      </c>
      <c r="BD40" s="153">
        <f>IF(BD$3&lt;=Inputs!$C$15*12,-(IF(BD$3=Inputs!$D$51,Inputs!$C$51,0)+IF(BD$3=Inputs!$D$52,Inputs!$C$52,0)+IF(BD$3=Inputs!$D$53,Inputs!$C$53,0)+IF(BD$3=Inputs!$D$54,Inputs!$C$54,0)+IF(BD$3=Inputs!$D$55,Inputs!$C$55,0)+IF(BD$3=Inputs!$D$56,Inputs!$C$56,0)),0)</f>
        <v>0</v>
      </c>
      <c r="BE40" s="153">
        <f>IF(BE$3&lt;=Inputs!$C$15*12,-(IF(BE$3=Inputs!$D$51,Inputs!$C$51,0)+IF(BE$3=Inputs!$D$52,Inputs!$C$52,0)+IF(BE$3=Inputs!$D$53,Inputs!$C$53,0)+IF(BE$3=Inputs!$D$54,Inputs!$C$54,0)+IF(BE$3=Inputs!$D$55,Inputs!$C$55,0)+IF(BE$3=Inputs!$D$56,Inputs!$C$56,0)),0)</f>
        <v>0</v>
      </c>
      <c r="BF40" s="153">
        <f>IF(BF$3&lt;=Inputs!$C$15*12,-(IF(BF$3=Inputs!$D$51,Inputs!$C$51,0)+IF(BF$3=Inputs!$D$52,Inputs!$C$52,0)+IF(BF$3=Inputs!$D$53,Inputs!$C$53,0)+IF(BF$3=Inputs!$D$54,Inputs!$C$54,0)+IF(BF$3=Inputs!$D$55,Inputs!$C$55,0)+IF(BF$3=Inputs!$D$56,Inputs!$C$56,0)),0)</f>
        <v>0</v>
      </c>
      <c r="BG40" s="153">
        <f>IF(BG$3&lt;=Inputs!$C$15*12,-(IF(BG$3=Inputs!$D$51,Inputs!$C$51,0)+IF(BG$3=Inputs!$D$52,Inputs!$C$52,0)+IF(BG$3=Inputs!$D$53,Inputs!$C$53,0)+IF(BG$3=Inputs!$D$54,Inputs!$C$54,0)+IF(BG$3=Inputs!$D$55,Inputs!$C$55,0)+IF(BG$3=Inputs!$D$56,Inputs!$C$56,0)),0)</f>
        <v>0</v>
      </c>
      <c r="BH40" s="153">
        <f>IF(BH$3&lt;=Inputs!$C$15*12,-(IF(BH$3=Inputs!$D$51,Inputs!$C$51,0)+IF(BH$3=Inputs!$D$52,Inputs!$C$52,0)+IF(BH$3=Inputs!$D$53,Inputs!$C$53,0)+IF(BH$3=Inputs!$D$54,Inputs!$C$54,0)+IF(BH$3=Inputs!$D$55,Inputs!$C$55,0)+IF(BH$3=Inputs!$D$56,Inputs!$C$56,0)),0)</f>
        <v>0</v>
      </c>
      <c r="BI40" s="153">
        <f>IF(BI$3&lt;=Inputs!$C$15*12,-(IF(BI$3=Inputs!$D$51,Inputs!$C$51,0)+IF(BI$3=Inputs!$D$52,Inputs!$C$52,0)+IF(BI$3=Inputs!$D$53,Inputs!$C$53,0)+IF(BI$3=Inputs!$D$54,Inputs!$C$54,0)+IF(BI$3=Inputs!$D$55,Inputs!$C$55,0)+IF(BI$3=Inputs!$D$56,Inputs!$C$56,0)),0)</f>
        <v>0</v>
      </c>
      <c r="BJ40" s="153">
        <f>IF(BJ$3&lt;=Inputs!$C$15*12,-(IF(BJ$3=Inputs!$D$51,Inputs!$C$51,0)+IF(BJ$3=Inputs!$D$52,Inputs!$C$52,0)+IF(BJ$3=Inputs!$D$53,Inputs!$C$53,0)+IF(BJ$3=Inputs!$D$54,Inputs!$C$54,0)+IF(BJ$3=Inputs!$D$55,Inputs!$C$55,0)+IF(BJ$3=Inputs!$D$56,Inputs!$C$56,0)),0)</f>
        <v>0</v>
      </c>
      <c r="BK40" s="153">
        <f>IF(BK$3&lt;=Inputs!$C$15*12,-(IF(BK$3=Inputs!$D$51,Inputs!$C$51,0)+IF(BK$3=Inputs!$D$52,Inputs!$C$52,0)+IF(BK$3=Inputs!$D$53,Inputs!$C$53,0)+IF(BK$3=Inputs!$D$54,Inputs!$C$54,0)+IF(BK$3=Inputs!$D$55,Inputs!$C$55,0)+IF(BK$3=Inputs!$D$56,Inputs!$C$56,0)),0)</f>
        <v>0</v>
      </c>
      <c r="BL40" s="153">
        <f>IF(BL$3&lt;=Inputs!$C$15*12,-(IF(BL$3=Inputs!$D$51,Inputs!$C$51,0)+IF(BL$3=Inputs!$D$52,Inputs!$C$52,0)+IF(BL$3=Inputs!$D$53,Inputs!$C$53,0)+IF(BL$3=Inputs!$D$54,Inputs!$C$54,0)+IF(BL$3=Inputs!$D$55,Inputs!$C$55,0)+IF(BL$3=Inputs!$D$56,Inputs!$C$56,0)),0)</f>
        <v>0</v>
      </c>
      <c r="BM40" s="153">
        <f>IF(BM$3&lt;=Inputs!$C$15*12,-(IF(BM$3=Inputs!$D$51,Inputs!$C$51,0)+IF(BM$3=Inputs!$D$52,Inputs!$C$52,0)+IF(BM$3=Inputs!$D$53,Inputs!$C$53,0)+IF(BM$3=Inputs!$D$54,Inputs!$C$54,0)+IF(BM$3=Inputs!$D$55,Inputs!$C$55,0)+IF(BM$3=Inputs!$D$56,Inputs!$C$56,0)),0)</f>
        <v>0</v>
      </c>
      <c r="BN40" s="153">
        <f>IF(BN$3&lt;=Inputs!$C$15*12,-(IF(BN$3=Inputs!$D$51,Inputs!$C$51,0)+IF(BN$3=Inputs!$D$52,Inputs!$C$52,0)+IF(BN$3=Inputs!$D$53,Inputs!$C$53,0)+IF(BN$3=Inputs!$D$54,Inputs!$C$54,0)+IF(BN$3=Inputs!$D$55,Inputs!$C$55,0)+IF(BN$3=Inputs!$D$56,Inputs!$C$56,0)),0)</f>
        <v>0</v>
      </c>
      <c r="BO40" s="153">
        <f>IF(BO$3&lt;=Inputs!$C$15*12,-(IF(BO$3=Inputs!$D$51,Inputs!$C$51,0)+IF(BO$3=Inputs!$D$52,Inputs!$C$52,0)+IF(BO$3=Inputs!$D$53,Inputs!$C$53,0)+IF(BO$3=Inputs!$D$54,Inputs!$C$54,0)+IF(BO$3=Inputs!$D$55,Inputs!$C$55,0)+IF(BO$3=Inputs!$D$56,Inputs!$C$56,0)),0)</f>
        <v>0</v>
      </c>
      <c r="BP40" s="153">
        <f>IF(BP$3&lt;=Inputs!$C$15*12,-(IF(BP$3=Inputs!$D$51,Inputs!$C$51,0)+IF(BP$3=Inputs!$D$52,Inputs!$C$52,0)+IF(BP$3=Inputs!$D$53,Inputs!$C$53,0)+IF(BP$3=Inputs!$D$54,Inputs!$C$54,0)+IF(BP$3=Inputs!$D$55,Inputs!$C$55,0)+IF(BP$3=Inputs!$D$56,Inputs!$C$56,0)),0)</f>
        <v>0</v>
      </c>
      <c r="BQ40" s="153">
        <f>IF(BQ$3&lt;=Inputs!$C$15*12,-(IF(BQ$3=Inputs!$D$51,Inputs!$C$51,0)+IF(BQ$3=Inputs!$D$52,Inputs!$C$52,0)+IF(BQ$3=Inputs!$D$53,Inputs!$C$53,0)+IF(BQ$3=Inputs!$D$54,Inputs!$C$54,0)+IF(BQ$3=Inputs!$D$55,Inputs!$C$55,0)+IF(BQ$3=Inputs!$D$56,Inputs!$C$56,0)),0)</f>
        <v>0</v>
      </c>
      <c r="BR40" s="153">
        <f>IF(BR$3&lt;=Inputs!$C$15*12,-(IF(BR$3=Inputs!$D$51,Inputs!$C$51,0)+IF(BR$3=Inputs!$D$52,Inputs!$C$52,0)+IF(BR$3=Inputs!$D$53,Inputs!$C$53,0)+IF(BR$3=Inputs!$D$54,Inputs!$C$54,0)+IF(BR$3=Inputs!$D$55,Inputs!$C$55,0)+IF(BR$3=Inputs!$D$56,Inputs!$C$56,0)),0)</f>
        <v>0</v>
      </c>
      <c r="BS40" s="153">
        <f>IF(BS$3&lt;=Inputs!$C$15*12,-(IF(BS$3=Inputs!$D$51,Inputs!$C$51,0)+IF(BS$3=Inputs!$D$52,Inputs!$C$52,0)+IF(BS$3=Inputs!$D$53,Inputs!$C$53,0)+IF(BS$3=Inputs!$D$54,Inputs!$C$54,0)+IF(BS$3=Inputs!$D$55,Inputs!$C$55,0)+IF(BS$3=Inputs!$D$56,Inputs!$C$56,0)),0)</f>
        <v>0</v>
      </c>
      <c r="BT40" s="153">
        <f>IF(BT$3&lt;=Inputs!$C$15*12,-(IF(BT$3=Inputs!$D$51,Inputs!$C$51,0)+IF(BT$3=Inputs!$D$52,Inputs!$C$52,0)+IF(BT$3=Inputs!$D$53,Inputs!$C$53,0)+IF(BT$3=Inputs!$D$54,Inputs!$C$54,0)+IF(BT$3=Inputs!$D$55,Inputs!$C$55,0)+IF(BT$3=Inputs!$D$56,Inputs!$C$56,0)),0)</f>
        <v>0</v>
      </c>
      <c r="BU40" s="153">
        <f>IF(BU$3&lt;=Inputs!$C$15*12,-(IF(BU$3=Inputs!$D$51,Inputs!$C$51,0)+IF(BU$3=Inputs!$D$52,Inputs!$C$52,0)+IF(BU$3=Inputs!$D$53,Inputs!$C$53,0)+IF(BU$3=Inputs!$D$54,Inputs!$C$54,0)+IF(BU$3=Inputs!$D$55,Inputs!$C$55,0)+IF(BU$3=Inputs!$D$56,Inputs!$C$56,0)),0)</f>
        <v>0</v>
      </c>
      <c r="BV40" s="153">
        <f>IF(BV$3&lt;=Inputs!$C$15*12,-(IF(BV$3=Inputs!$D$51,Inputs!$C$51,0)+IF(BV$3=Inputs!$D$52,Inputs!$C$52,0)+IF(BV$3=Inputs!$D$53,Inputs!$C$53,0)+IF(BV$3=Inputs!$D$54,Inputs!$C$54,0)+IF(BV$3=Inputs!$D$55,Inputs!$C$55,0)+IF(BV$3=Inputs!$D$56,Inputs!$C$56,0)),0)</f>
        <v>0</v>
      </c>
      <c r="BW40" s="153">
        <f>IF(BW$3&lt;=Inputs!$C$15*12,-(IF(BW$3=Inputs!$D$51,Inputs!$C$51,0)+IF(BW$3=Inputs!$D$52,Inputs!$C$52,0)+IF(BW$3=Inputs!$D$53,Inputs!$C$53,0)+IF(BW$3=Inputs!$D$54,Inputs!$C$54,0)+IF(BW$3=Inputs!$D$55,Inputs!$C$55,0)+IF(BW$3=Inputs!$D$56,Inputs!$C$56,0)),0)</f>
        <v>0</v>
      </c>
      <c r="BX40" s="153">
        <f>IF(BX$3&lt;=Inputs!$C$15*12,-(IF(BX$3=Inputs!$D$51,Inputs!$C$51,0)+IF(BX$3=Inputs!$D$52,Inputs!$C$52,0)+IF(BX$3=Inputs!$D$53,Inputs!$C$53,0)+IF(BX$3=Inputs!$D$54,Inputs!$C$54,0)+IF(BX$3=Inputs!$D$55,Inputs!$C$55,0)+IF(BX$3=Inputs!$D$56,Inputs!$C$56,0)),0)</f>
        <v>0</v>
      </c>
      <c r="BY40" s="153">
        <f>IF(BY$3&lt;=Inputs!$C$15*12,-(IF(BY$3=Inputs!$D$51,Inputs!$C$51,0)+IF(BY$3=Inputs!$D$52,Inputs!$C$52,0)+IF(BY$3=Inputs!$D$53,Inputs!$C$53,0)+IF(BY$3=Inputs!$D$54,Inputs!$C$54,0)+IF(BY$3=Inputs!$D$55,Inputs!$C$55,0)+IF(BY$3=Inputs!$D$56,Inputs!$C$56,0)),0)</f>
        <v>0</v>
      </c>
      <c r="BZ40" s="153">
        <f>IF(BZ$3&lt;=Inputs!$C$15*12,-(IF(BZ$3=Inputs!$D$51,Inputs!$C$51,0)+IF(BZ$3=Inputs!$D$52,Inputs!$C$52,0)+IF(BZ$3=Inputs!$D$53,Inputs!$C$53,0)+IF(BZ$3=Inputs!$D$54,Inputs!$C$54,0)+IF(BZ$3=Inputs!$D$55,Inputs!$C$55,0)+IF(BZ$3=Inputs!$D$56,Inputs!$C$56,0)),0)</f>
        <v>0</v>
      </c>
      <c r="CA40" s="153">
        <f>IF(CA$3&lt;=Inputs!$C$15*12,-(IF(CA$3=Inputs!$D$51,Inputs!$C$51,0)+IF(CA$3=Inputs!$D$52,Inputs!$C$52,0)+IF(CA$3=Inputs!$D$53,Inputs!$C$53,0)+IF(CA$3=Inputs!$D$54,Inputs!$C$54,0)+IF(CA$3=Inputs!$D$55,Inputs!$C$55,0)+IF(CA$3=Inputs!$D$56,Inputs!$C$56,0)),0)</f>
        <v>0</v>
      </c>
      <c r="CB40" s="153">
        <f>IF(CB$3&lt;=Inputs!$C$15*12,-(IF(CB$3=Inputs!$D$51,Inputs!$C$51,0)+IF(CB$3=Inputs!$D$52,Inputs!$C$52,0)+IF(CB$3=Inputs!$D$53,Inputs!$C$53,0)+IF(CB$3=Inputs!$D$54,Inputs!$C$54,0)+IF(CB$3=Inputs!$D$55,Inputs!$C$55,0)+IF(CB$3=Inputs!$D$56,Inputs!$C$56,0)),0)</f>
        <v>0</v>
      </c>
      <c r="CC40" s="153">
        <f>IF(CC$3&lt;=Inputs!$C$15*12,-(IF(CC$3=Inputs!$D$51,Inputs!$C$51,0)+IF(CC$3=Inputs!$D$52,Inputs!$C$52,0)+IF(CC$3=Inputs!$D$53,Inputs!$C$53,0)+IF(CC$3=Inputs!$D$54,Inputs!$C$54,0)+IF(CC$3=Inputs!$D$55,Inputs!$C$55,0)+IF(CC$3=Inputs!$D$56,Inputs!$C$56,0)),0)</f>
        <v>0</v>
      </c>
      <c r="CD40" s="153">
        <f>IF(CD$3&lt;=Inputs!$C$15*12,-(IF(CD$3=Inputs!$D$51,Inputs!$C$51,0)+IF(CD$3=Inputs!$D$52,Inputs!$C$52,0)+IF(CD$3=Inputs!$D$53,Inputs!$C$53,0)+IF(CD$3=Inputs!$D$54,Inputs!$C$54,0)+IF(CD$3=Inputs!$D$55,Inputs!$C$55,0)+IF(CD$3=Inputs!$D$56,Inputs!$C$56,0)),0)</f>
        <v>0</v>
      </c>
      <c r="CE40" s="153">
        <f>IF(CE$3&lt;=Inputs!$C$15*12,-(IF(CE$3=Inputs!$D$51,Inputs!$C$51,0)+IF(CE$3=Inputs!$D$52,Inputs!$C$52,0)+IF(CE$3=Inputs!$D$53,Inputs!$C$53,0)+IF(CE$3=Inputs!$D$54,Inputs!$C$54,0)+IF(CE$3=Inputs!$D$55,Inputs!$C$55,0)+IF(CE$3=Inputs!$D$56,Inputs!$C$56,0)),0)</f>
        <v>0</v>
      </c>
      <c r="CF40" s="153">
        <f>IF(CF$3&lt;=Inputs!$C$15*12,-(IF(CF$3=Inputs!$D$51,Inputs!$C$51,0)+IF(CF$3=Inputs!$D$52,Inputs!$C$52,0)+IF(CF$3=Inputs!$D$53,Inputs!$C$53,0)+IF(CF$3=Inputs!$D$54,Inputs!$C$54,0)+IF(CF$3=Inputs!$D$55,Inputs!$C$55,0)+IF(CF$3=Inputs!$D$56,Inputs!$C$56,0)),0)</f>
        <v>0</v>
      </c>
      <c r="CG40" s="153">
        <f>IF(CG$3&lt;=Inputs!$C$15*12,-(IF(CG$3=Inputs!$D$51,Inputs!$C$51,0)+IF(CG$3=Inputs!$D$52,Inputs!$C$52,0)+IF(CG$3=Inputs!$D$53,Inputs!$C$53,0)+IF(CG$3=Inputs!$D$54,Inputs!$C$54,0)+IF(CG$3=Inputs!$D$55,Inputs!$C$55,0)+IF(CG$3=Inputs!$D$56,Inputs!$C$56,0)),0)</f>
        <v>0</v>
      </c>
      <c r="CH40" s="153">
        <f>IF(CH$3&lt;=Inputs!$C$15*12,-(IF(CH$3=Inputs!$D$51,Inputs!$C$51,0)+IF(CH$3=Inputs!$D$52,Inputs!$C$52,0)+IF(CH$3=Inputs!$D$53,Inputs!$C$53,0)+IF(CH$3=Inputs!$D$54,Inputs!$C$54,0)+IF(CH$3=Inputs!$D$55,Inputs!$C$55,0)+IF(CH$3=Inputs!$D$56,Inputs!$C$56,0)),0)</f>
        <v>0</v>
      </c>
      <c r="CI40" s="153">
        <f>IF(CI$3&lt;=Inputs!$C$15*12,-(IF(CI$3=Inputs!$D$51,Inputs!$C$51,0)+IF(CI$3=Inputs!$D$52,Inputs!$C$52,0)+IF(CI$3=Inputs!$D$53,Inputs!$C$53,0)+IF(CI$3=Inputs!$D$54,Inputs!$C$54,0)+IF(CI$3=Inputs!$D$55,Inputs!$C$55,0)+IF(CI$3=Inputs!$D$56,Inputs!$C$56,0)),0)</f>
        <v>0</v>
      </c>
      <c r="CJ40" s="153">
        <f>IF(CJ$3&lt;=Inputs!$C$15*12,-(IF(CJ$3=Inputs!$D$51,Inputs!$C$51,0)+IF(CJ$3=Inputs!$D$52,Inputs!$C$52,0)+IF(CJ$3=Inputs!$D$53,Inputs!$C$53,0)+IF(CJ$3=Inputs!$D$54,Inputs!$C$54,0)+IF(CJ$3=Inputs!$D$55,Inputs!$C$55,0)+IF(CJ$3=Inputs!$D$56,Inputs!$C$56,0)),0)</f>
        <v>0</v>
      </c>
      <c r="CK40" s="153">
        <f>IF(CK$3&lt;=Inputs!$C$15*12,-(IF(CK$3=Inputs!$D$51,Inputs!$C$51,0)+IF(CK$3=Inputs!$D$52,Inputs!$C$52,0)+IF(CK$3=Inputs!$D$53,Inputs!$C$53,0)+IF(CK$3=Inputs!$D$54,Inputs!$C$54,0)+IF(CK$3=Inputs!$D$55,Inputs!$C$55,0)+IF(CK$3=Inputs!$D$56,Inputs!$C$56,0)),0)</f>
        <v>0</v>
      </c>
      <c r="CL40" s="153">
        <f>IF(CL$3&lt;=Inputs!$C$15*12,-(IF(CL$3=Inputs!$D$51,Inputs!$C$51,0)+IF(CL$3=Inputs!$D$52,Inputs!$C$52,0)+IF(CL$3=Inputs!$D$53,Inputs!$C$53,0)+IF(CL$3=Inputs!$D$54,Inputs!$C$54,0)+IF(CL$3=Inputs!$D$55,Inputs!$C$55,0)+IF(CL$3=Inputs!$D$56,Inputs!$C$56,0)),0)</f>
        <v>0</v>
      </c>
      <c r="CM40" s="153">
        <f>IF(CM$3&lt;=Inputs!$C$15*12,-(IF(CM$3=Inputs!$D$51,Inputs!$C$51,0)+IF(CM$3=Inputs!$D$52,Inputs!$C$52,0)+IF(CM$3=Inputs!$D$53,Inputs!$C$53,0)+IF(CM$3=Inputs!$D$54,Inputs!$C$54,0)+IF(CM$3=Inputs!$D$55,Inputs!$C$55,0)+IF(CM$3=Inputs!$D$56,Inputs!$C$56,0)),0)</f>
        <v>0</v>
      </c>
      <c r="CN40" s="153">
        <f>IF(CN$3&lt;=Inputs!$C$15*12,-(IF(CN$3=Inputs!$D$51,Inputs!$C$51,0)+IF(CN$3=Inputs!$D$52,Inputs!$C$52,0)+IF(CN$3=Inputs!$D$53,Inputs!$C$53,0)+IF(CN$3=Inputs!$D$54,Inputs!$C$54,0)+IF(CN$3=Inputs!$D$55,Inputs!$C$55,0)+IF(CN$3=Inputs!$D$56,Inputs!$C$56,0)),0)</f>
        <v>0</v>
      </c>
      <c r="CO40" s="153">
        <f>IF(CO$3&lt;=Inputs!$C$15*12,-(IF(CO$3=Inputs!$D$51,Inputs!$C$51,0)+IF(CO$3=Inputs!$D$52,Inputs!$C$52,0)+IF(CO$3=Inputs!$D$53,Inputs!$C$53,0)+IF(CO$3=Inputs!$D$54,Inputs!$C$54,0)+IF(CO$3=Inputs!$D$55,Inputs!$C$55,0)+IF(CO$3=Inputs!$D$56,Inputs!$C$56,0)),0)</f>
        <v>0</v>
      </c>
      <c r="CP40" s="153">
        <f>IF(CP$3&lt;=Inputs!$C$15*12,-(IF(CP$3=Inputs!$D$51,Inputs!$C$51,0)+IF(CP$3=Inputs!$D$52,Inputs!$C$52,0)+IF(CP$3=Inputs!$D$53,Inputs!$C$53,0)+IF(CP$3=Inputs!$D$54,Inputs!$C$54,0)+IF(CP$3=Inputs!$D$55,Inputs!$C$55,0)+IF(CP$3=Inputs!$D$56,Inputs!$C$56,0)),0)</f>
        <v>0</v>
      </c>
      <c r="CQ40" s="153">
        <f>IF(CQ$3&lt;=Inputs!$C$15*12,-(IF(CQ$3=Inputs!$D$51,Inputs!$C$51,0)+IF(CQ$3=Inputs!$D$52,Inputs!$C$52,0)+IF(CQ$3=Inputs!$D$53,Inputs!$C$53,0)+IF(CQ$3=Inputs!$D$54,Inputs!$C$54,0)+IF(CQ$3=Inputs!$D$55,Inputs!$C$55,0)+IF(CQ$3=Inputs!$D$56,Inputs!$C$56,0)),0)</f>
        <v>0</v>
      </c>
      <c r="CR40" s="153">
        <f>IF(CR$3&lt;=Inputs!$C$15*12,-(IF(CR$3=Inputs!$D$51,Inputs!$C$51,0)+IF(CR$3=Inputs!$D$52,Inputs!$C$52,0)+IF(CR$3=Inputs!$D$53,Inputs!$C$53,0)+IF(CR$3=Inputs!$D$54,Inputs!$C$54,0)+IF(CR$3=Inputs!$D$55,Inputs!$C$55,0)+IF(CR$3=Inputs!$D$56,Inputs!$C$56,0)),0)</f>
        <v>0</v>
      </c>
      <c r="CS40" s="153">
        <f>IF(CS$3&lt;=Inputs!$C$15*12,-(IF(CS$3=Inputs!$D$51,Inputs!$C$51,0)+IF(CS$3=Inputs!$D$52,Inputs!$C$52,0)+IF(CS$3=Inputs!$D$53,Inputs!$C$53,0)+IF(CS$3=Inputs!$D$54,Inputs!$C$54,0)+IF(CS$3=Inputs!$D$55,Inputs!$C$55,0)+IF(CS$3=Inputs!$D$56,Inputs!$C$56,0)),0)</f>
        <v>0</v>
      </c>
      <c r="CT40" s="153">
        <f>IF(CT$3&lt;=Inputs!$C$15*12,-(IF(CT$3=Inputs!$D$51,Inputs!$C$51,0)+IF(CT$3=Inputs!$D$52,Inputs!$C$52,0)+IF(CT$3=Inputs!$D$53,Inputs!$C$53,0)+IF(CT$3=Inputs!$D$54,Inputs!$C$54,0)+IF(CT$3=Inputs!$D$55,Inputs!$C$55,0)+IF(CT$3=Inputs!$D$56,Inputs!$C$56,0)),0)</f>
        <v>0</v>
      </c>
      <c r="CU40" s="153">
        <f>IF(CU$3&lt;=Inputs!$C$15*12,-(IF(CU$3=Inputs!$D$51,Inputs!$C$51,0)+IF(CU$3=Inputs!$D$52,Inputs!$C$52,0)+IF(CU$3=Inputs!$D$53,Inputs!$C$53,0)+IF(CU$3=Inputs!$D$54,Inputs!$C$54,0)+IF(CU$3=Inputs!$D$55,Inputs!$C$55,0)+IF(CU$3=Inputs!$D$56,Inputs!$C$56,0)),0)</f>
        <v>0</v>
      </c>
      <c r="CV40" s="153">
        <f>IF(CV$3&lt;=Inputs!$C$15*12,-(IF(CV$3=Inputs!$D$51,Inputs!$C$51,0)+IF(CV$3=Inputs!$D$52,Inputs!$C$52,0)+IF(CV$3=Inputs!$D$53,Inputs!$C$53,0)+IF(CV$3=Inputs!$D$54,Inputs!$C$54,0)+IF(CV$3=Inputs!$D$55,Inputs!$C$55,0)+IF(CV$3=Inputs!$D$56,Inputs!$C$56,0)),0)</f>
        <v>0</v>
      </c>
      <c r="CW40" s="153">
        <f>IF(CW$3&lt;=Inputs!$C$15*12,-(IF(CW$3=Inputs!$D$51,Inputs!$C$51,0)+IF(CW$3=Inputs!$D$52,Inputs!$C$52,0)+IF(CW$3=Inputs!$D$53,Inputs!$C$53,0)+IF(CW$3=Inputs!$D$54,Inputs!$C$54,0)+IF(CW$3=Inputs!$D$55,Inputs!$C$55,0)+IF(CW$3=Inputs!$D$56,Inputs!$C$56,0)),0)</f>
        <v>0</v>
      </c>
      <c r="CX40" s="153">
        <f>IF(CX$3&lt;=Inputs!$C$15*12,-(IF(CX$3=Inputs!$D$51,Inputs!$C$51,0)+IF(CX$3=Inputs!$D$52,Inputs!$C$52,0)+IF(CX$3=Inputs!$D$53,Inputs!$C$53,0)+IF(CX$3=Inputs!$D$54,Inputs!$C$54,0)+IF(CX$3=Inputs!$D$55,Inputs!$C$55,0)+IF(CX$3=Inputs!$D$56,Inputs!$C$56,0)),0)</f>
        <v>0</v>
      </c>
      <c r="CY40" s="153">
        <f>IF(CY$3&lt;=Inputs!$C$15*12,-(IF(CY$3=Inputs!$D$51,Inputs!$C$51,0)+IF(CY$3=Inputs!$D$52,Inputs!$C$52,0)+IF(CY$3=Inputs!$D$53,Inputs!$C$53,0)+IF(CY$3=Inputs!$D$54,Inputs!$C$54,0)+IF(CY$3=Inputs!$D$55,Inputs!$C$55,0)+IF(CY$3=Inputs!$D$56,Inputs!$C$56,0)),0)</f>
        <v>0</v>
      </c>
      <c r="CZ40" s="153">
        <f>IF(CZ$3&lt;=Inputs!$C$15*12,-(IF(CZ$3=Inputs!$D$51,Inputs!$C$51,0)+IF(CZ$3=Inputs!$D$52,Inputs!$C$52,0)+IF(CZ$3=Inputs!$D$53,Inputs!$C$53,0)+IF(CZ$3=Inputs!$D$54,Inputs!$C$54,0)+IF(CZ$3=Inputs!$D$55,Inputs!$C$55,0)+IF(CZ$3=Inputs!$D$56,Inputs!$C$56,0)),0)</f>
        <v>0</v>
      </c>
      <c r="DA40" s="153">
        <f>IF(DA$3&lt;=Inputs!$C$15*12,-(IF(DA$3=Inputs!$D$51,Inputs!$C$51,0)+IF(DA$3=Inputs!$D$52,Inputs!$C$52,0)+IF(DA$3=Inputs!$D$53,Inputs!$C$53,0)+IF(DA$3=Inputs!$D$54,Inputs!$C$54,0)+IF(DA$3=Inputs!$D$55,Inputs!$C$55,0)+IF(DA$3=Inputs!$D$56,Inputs!$C$56,0)),0)</f>
        <v>0</v>
      </c>
      <c r="DB40" s="153">
        <f>IF(DB$3&lt;=Inputs!$C$15*12,-(IF(DB$3=Inputs!$D$51,Inputs!$C$51,0)+IF(DB$3=Inputs!$D$52,Inputs!$C$52,0)+IF(DB$3=Inputs!$D$53,Inputs!$C$53,0)+IF(DB$3=Inputs!$D$54,Inputs!$C$54,0)+IF(DB$3=Inputs!$D$55,Inputs!$C$55,0)+IF(DB$3=Inputs!$D$56,Inputs!$C$56,0)),0)</f>
        <v>0</v>
      </c>
      <c r="DC40" s="153">
        <f>IF(DC$3&lt;=Inputs!$C$15*12,-(IF(DC$3=Inputs!$D$51,Inputs!$C$51,0)+IF(DC$3=Inputs!$D$52,Inputs!$C$52,0)+IF(DC$3=Inputs!$D$53,Inputs!$C$53,0)+IF(DC$3=Inputs!$D$54,Inputs!$C$54,0)+IF(DC$3=Inputs!$D$55,Inputs!$C$55,0)+IF(DC$3=Inputs!$D$56,Inputs!$C$56,0)),0)</f>
        <v>0</v>
      </c>
      <c r="DD40" s="153">
        <f>IF(DD$3&lt;=Inputs!$C$15*12,-(IF(DD$3=Inputs!$D$51,Inputs!$C$51,0)+IF(DD$3=Inputs!$D$52,Inputs!$C$52,0)+IF(DD$3=Inputs!$D$53,Inputs!$C$53,0)+IF(DD$3=Inputs!$D$54,Inputs!$C$54,0)+IF(DD$3=Inputs!$D$55,Inputs!$C$55,0)+IF(DD$3=Inputs!$D$56,Inputs!$C$56,0)),0)</f>
        <v>0</v>
      </c>
      <c r="DE40" s="153">
        <f>IF(DE$3&lt;=Inputs!$C$15*12,-(IF(DE$3=Inputs!$D$51,Inputs!$C$51,0)+IF(DE$3=Inputs!$D$52,Inputs!$C$52,0)+IF(DE$3=Inputs!$D$53,Inputs!$C$53,0)+IF(DE$3=Inputs!$D$54,Inputs!$C$54,0)+IF(DE$3=Inputs!$D$55,Inputs!$C$55,0)+IF(DE$3=Inputs!$D$56,Inputs!$C$56,0)),0)</f>
        <v>0</v>
      </c>
      <c r="DF40" s="153">
        <f>IF(DF$3&lt;=Inputs!$C$15*12,-(IF(DF$3=Inputs!$D$51,Inputs!$C$51,0)+IF(DF$3=Inputs!$D$52,Inputs!$C$52,0)+IF(DF$3=Inputs!$D$53,Inputs!$C$53,0)+IF(DF$3=Inputs!$D$54,Inputs!$C$54,0)+IF(DF$3=Inputs!$D$55,Inputs!$C$55,0)+IF(DF$3=Inputs!$D$56,Inputs!$C$56,0)),0)</f>
        <v>0</v>
      </c>
      <c r="DG40" s="153">
        <f>IF(DG$3&lt;=Inputs!$C$15*12,-(IF(DG$3=Inputs!$D$51,Inputs!$C$51,0)+IF(DG$3=Inputs!$D$52,Inputs!$C$52,0)+IF(DG$3=Inputs!$D$53,Inputs!$C$53,0)+IF(DG$3=Inputs!$D$54,Inputs!$C$54,0)+IF(DG$3=Inputs!$D$55,Inputs!$C$55,0)+IF(DG$3=Inputs!$D$56,Inputs!$C$56,0)),0)</f>
        <v>0</v>
      </c>
      <c r="DH40" s="153">
        <f>IF(DH$3&lt;=Inputs!$C$15*12,-(IF(DH$3=Inputs!$D$51,Inputs!$C$51,0)+IF(DH$3=Inputs!$D$52,Inputs!$C$52,0)+IF(DH$3=Inputs!$D$53,Inputs!$C$53,0)+IF(DH$3=Inputs!$D$54,Inputs!$C$54,0)+IF(DH$3=Inputs!$D$55,Inputs!$C$55,0)+IF(DH$3=Inputs!$D$56,Inputs!$C$56,0)),0)</f>
        <v>0</v>
      </c>
      <c r="DI40" s="153">
        <f>IF(DI$3&lt;=Inputs!$C$15*12,-(IF(DI$3=Inputs!$D$51,Inputs!$C$51,0)+IF(DI$3=Inputs!$D$52,Inputs!$C$52,0)+IF(DI$3=Inputs!$D$53,Inputs!$C$53,0)+IF(DI$3=Inputs!$D$54,Inputs!$C$54,0)+IF(DI$3=Inputs!$D$55,Inputs!$C$55,0)+IF(DI$3=Inputs!$D$56,Inputs!$C$56,0)),0)</f>
        <v>0</v>
      </c>
      <c r="DJ40" s="153">
        <f>IF(DJ$3&lt;=Inputs!$C$15*12,-(IF(DJ$3=Inputs!$D$51,Inputs!$C$51,0)+IF(DJ$3=Inputs!$D$52,Inputs!$C$52,0)+IF(DJ$3=Inputs!$D$53,Inputs!$C$53,0)+IF(DJ$3=Inputs!$D$54,Inputs!$C$54,0)+IF(DJ$3=Inputs!$D$55,Inputs!$C$55,0)+IF(DJ$3=Inputs!$D$56,Inputs!$C$56,0)),0)</f>
        <v>0</v>
      </c>
      <c r="DK40" s="153">
        <f>IF(DK$3&lt;=Inputs!$C$15*12,-(IF(DK$3=Inputs!$D$51,Inputs!$C$51,0)+IF(DK$3=Inputs!$D$52,Inputs!$C$52,0)+IF(DK$3=Inputs!$D$53,Inputs!$C$53,0)+IF(DK$3=Inputs!$D$54,Inputs!$C$54,0)+IF(DK$3=Inputs!$D$55,Inputs!$C$55,0)+IF(DK$3=Inputs!$D$56,Inputs!$C$56,0)),0)</f>
        <v>0</v>
      </c>
      <c r="DL40" s="153">
        <f>IF(DL$3&lt;=Inputs!$C$15*12,-(IF(DL$3=Inputs!$D$51,Inputs!$C$51,0)+IF(DL$3=Inputs!$D$52,Inputs!$C$52,0)+IF(DL$3=Inputs!$D$53,Inputs!$C$53,0)+IF(DL$3=Inputs!$D$54,Inputs!$C$54,0)+IF(DL$3=Inputs!$D$55,Inputs!$C$55,0)+IF(DL$3=Inputs!$D$56,Inputs!$C$56,0)),0)</f>
        <v>0</v>
      </c>
      <c r="DM40" s="153">
        <f>IF(DM$3&lt;=Inputs!$C$15*12,-(IF(DM$3=Inputs!$D$51,Inputs!$C$51,0)+IF(DM$3=Inputs!$D$52,Inputs!$C$52,0)+IF(DM$3=Inputs!$D$53,Inputs!$C$53,0)+IF(DM$3=Inputs!$D$54,Inputs!$C$54,0)+IF(DM$3=Inputs!$D$55,Inputs!$C$55,0)+IF(DM$3=Inputs!$D$56,Inputs!$C$56,0)),0)</f>
        <v>0</v>
      </c>
      <c r="DN40" s="153">
        <f>IF(DN$3&lt;=Inputs!$C$15*12,-(IF(DN$3=Inputs!$D$51,Inputs!$C$51,0)+IF(DN$3=Inputs!$D$52,Inputs!$C$52,0)+IF(DN$3=Inputs!$D$53,Inputs!$C$53,0)+IF(DN$3=Inputs!$D$54,Inputs!$C$54,0)+IF(DN$3=Inputs!$D$55,Inputs!$C$55,0)+IF(DN$3=Inputs!$D$56,Inputs!$C$56,0)),0)</f>
        <v>0</v>
      </c>
      <c r="DO40" s="153">
        <f>IF(DO$3&lt;=Inputs!$C$15*12,-(IF(DO$3=Inputs!$D$51,Inputs!$C$51,0)+IF(DO$3=Inputs!$D$52,Inputs!$C$52,0)+IF(DO$3=Inputs!$D$53,Inputs!$C$53,0)+IF(DO$3=Inputs!$D$54,Inputs!$C$54,0)+IF(DO$3=Inputs!$D$55,Inputs!$C$55,0)+IF(DO$3=Inputs!$D$56,Inputs!$C$56,0)),0)</f>
        <v>0</v>
      </c>
      <c r="DP40" s="153">
        <f>IF(DP$3&lt;=Inputs!$C$15*12,-(IF(DP$3=Inputs!$D$51,Inputs!$C$51,0)+IF(DP$3=Inputs!$D$52,Inputs!$C$52,0)+IF(DP$3=Inputs!$D$53,Inputs!$C$53,0)+IF(DP$3=Inputs!$D$54,Inputs!$C$54,0)+IF(DP$3=Inputs!$D$55,Inputs!$C$55,0)+IF(DP$3=Inputs!$D$56,Inputs!$C$56,0)),0)</f>
        <v>0</v>
      </c>
      <c r="DQ40" s="153">
        <f>IF(DQ$3&lt;=Inputs!$C$15*12,-(IF(DQ$3=Inputs!$D$51,Inputs!$C$51,0)+IF(DQ$3=Inputs!$D$52,Inputs!$C$52,0)+IF(DQ$3=Inputs!$D$53,Inputs!$C$53,0)+IF(DQ$3=Inputs!$D$54,Inputs!$C$54,0)+IF(DQ$3=Inputs!$D$55,Inputs!$C$55,0)+IF(DQ$3=Inputs!$D$56,Inputs!$C$56,0)),0)</f>
        <v>0</v>
      </c>
      <c r="DR40" s="153">
        <f>IF(DR$3&lt;=Inputs!$C$15*12,-(IF(DR$3=Inputs!$D$51,Inputs!$C$51,0)+IF(DR$3=Inputs!$D$52,Inputs!$C$52,0)+IF(DR$3=Inputs!$D$53,Inputs!$C$53,0)+IF(DR$3=Inputs!$D$54,Inputs!$C$54,0)+IF(DR$3=Inputs!$D$55,Inputs!$C$55,0)+IF(DR$3=Inputs!$D$56,Inputs!$C$56,0)),0)</f>
        <v>0</v>
      </c>
      <c r="DS40" s="54"/>
    </row>
    <row r="41" ht="15.75" customHeight="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/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  <c r="DO41" s="54"/>
      <c r="DP41" s="54"/>
      <c r="DQ41" s="54"/>
      <c r="DR41" s="54"/>
      <c r="DS41" s="54"/>
    </row>
    <row r="42" ht="16.5" customHeight="1">
      <c r="A42" s="54"/>
      <c r="B42" s="55" t="s">
        <v>315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3"/>
      <c r="DS42" s="54"/>
    </row>
    <row r="43" ht="15.0" customHeight="1">
      <c r="A43" s="54"/>
      <c r="B43" s="56" t="s">
        <v>3</v>
      </c>
      <c r="C43" s="153">
        <f>IF(C$3&lt;=Inputs!$C$15*12,-Inputs!C10,0)</f>
        <v>0</v>
      </c>
      <c r="D43" s="153">
        <v>0.0</v>
      </c>
      <c r="E43" s="153">
        <v>0.0</v>
      </c>
      <c r="F43" s="153">
        <v>0.0</v>
      </c>
      <c r="G43" s="153">
        <v>0.0</v>
      </c>
      <c r="H43" s="153">
        <v>0.0</v>
      </c>
      <c r="I43" s="153">
        <v>0.0</v>
      </c>
      <c r="J43" s="153">
        <v>0.0</v>
      </c>
      <c r="K43" s="153">
        <v>0.0</v>
      </c>
      <c r="L43" s="153">
        <v>0.0</v>
      </c>
      <c r="M43" s="153">
        <v>0.0</v>
      </c>
      <c r="N43" s="153">
        <v>0.0</v>
      </c>
      <c r="O43" s="153">
        <v>0.0</v>
      </c>
      <c r="P43" s="153">
        <v>0.0</v>
      </c>
      <c r="Q43" s="153">
        <v>0.0</v>
      </c>
      <c r="R43" s="153">
        <v>0.0</v>
      </c>
      <c r="S43" s="153">
        <v>0.0</v>
      </c>
      <c r="T43" s="153">
        <v>0.0</v>
      </c>
      <c r="U43" s="153">
        <v>0.0</v>
      </c>
      <c r="V43" s="153">
        <v>0.0</v>
      </c>
      <c r="W43" s="153">
        <v>0.0</v>
      </c>
      <c r="X43" s="153">
        <v>0.0</v>
      </c>
      <c r="Y43" s="153">
        <v>0.0</v>
      </c>
      <c r="Z43" s="153">
        <v>0.0</v>
      </c>
      <c r="AA43" s="153">
        <v>0.0</v>
      </c>
      <c r="AB43" s="153">
        <v>0.0</v>
      </c>
      <c r="AC43" s="153">
        <v>0.0</v>
      </c>
      <c r="AD43" s="153">
        <v>0.0</v>
      </c>
      <c r="AE43" s="153">
        <v>0.0</v>
      </c>
      <c r="AF43" s="153">
        <v>0.0</v>
      </c>
      <c r="AG43" s="153">
        <v>0.0</v>
      </c>
      <c r="AH43" s="153">
        <v>0.0</v>
      </c>
      <c r="AI43" s="153">
        <v>0.0</v>
      </c>
      <c r="AJ43" s="153">
        <v>0.0</v>
      </c>
      <c r="AK43" s="153">
        <v>0.0</v>
      </c>
      <c r="AL43" s="153">
        <v>0.0</v>
      </c>
      <c r="AM43" s="153">
        <v>0.0</v>
      </c>
      <c r="AN43" s="153">
        <v>0.0</v>
      </c>
      <c r="AO43" s="153">
        <v>0.0</v>
      </c>
      <c r="AP43" s="153">
        <v>0.0</v>
      </c>
      <c r="AQ43" s="153">
        <v>0.0</v>
      </c>
      <c r="AR43" s="153">
        <v>0.0</v>
      </c>
      <c r="AS43" s="153">
        <v>0.0</v>
      </c>
      <c r="AT43" s="153">
        <v>0.0</v>
      </c>
      <c r="AU43" s="153">
        <v>0.0</v>
      </c>
      <c r="AV43" s="153">
        <v>0.0</v>
      </c>
      <c r="AW43" s="153">
        <v>0.0</v>
      </c>
      <c r="AX43" s="153">
        <v>0.0</v>
      </c>
      <c r="AY43" s="153">
        <v>0.0</v>
      </c>
      <c r="AZ43" s="153">
        <v>0.0</v>
      </c>
      <c r="BA43" s="153">
        <v>0.0</v>
      </c>
      <c r="BB43" s="153">
        <v>0.0</v>
      </c>
      <c r="BC43" s="153">
        <v>0.0</v>
      </c>
      <c r="BD43" s="153">
        <v>0.0</v>
      </c>
      <c r="BE43" s="153">
        <v>0.0</v>
      </c>
      <c r="BF43" s="153">
        <v>0.0</v>
      </c>
      <c r="BG43" s="153">
        <v>0.0</v>
      </c>
      <c r="BH43" s="153">
        <v>0.0</v>
      </c>
      <c r="BI43" s="153">
        <v>0.0</v>
      </c>
      <c r="BJ43" s="153">
        <v>0.0</v>
      </c>
      <c r="BK43" s="153">
        <v>0.0</v>
      </c>
      <c r="BL43" s="153">
        <v>0.0</v>
      </c>
      <c r="BM43" s="153">
        <v>0.0</v>
      </c>
      <c r="BN43" s="153">
        <v>0.0</v>
      </c>
      <c r="BO43" s="153">
        <v>0.0</v>
      </c>
      <c r="BP43" s="153">
        <v>0.0</v>
      </c>
      <c r="BQ43" s="153">
        <v>0.0</v>
      </c>
      <c r="BR43" s="153">
        <v>0.0</v>
      </c>
      <c r="BS43" s="153">
        <v>0.0</v>
      </c>
      <c r="BT43" s="153">
        <v>0.0</v>
      </c>
      <c r="BU43" s="153">
        <v>0.0</v>
      </c>
      <c r="BV43" s="153">
        <v>0.0</v>
      </c>
      <c r="BW43" s="153">
        <v>0.0</v>
      </c>
      <c r="BX43" s="153">
        <v>0.0</v>
      </c>
      <c r="BY43" s="153">
        <v>0.0</v>
      </c>
      <c r="BZ43" s="153">
        <v>0.0</v>
      </c>
      <c r="CA43" s="153">
        <v>0.0</v>
      </c>
      <c r="CB43" s="153">
        <v>0.0</v>
      </c>
      <c r="CC43" s="153">
        <v>0.0</v>
      </c>
      <c r="CD43" s="153">
        <v>0.0</v>
      </c>
      <c r="CE43" s="153">
        <v>0.0</v>
      </c>
      <c r="CF43" s="153">
        <v>0.0</v>
      </c>
      <c r="CG43" s="153">
        <v>0.0</v>
      </c>
      <c r="CH43" s="153">
        <v>0.0</v>
      </c>
      <c r="CI43" s="153">
        <v>0.0</v>
      </c>
      <c r="CJ43" s="153">
        <v>0.0</v>
      </c>
      <c r="CK43" s="153">
        <v>0.0</v>
      </c>
      <c r="CL43" s="153">
        <v>0.0</v>
      </c>
      <c r="CM43" s="153">
        <v>0.0</v>
      </c>
      <c r="CN43" s="153">
        <v>0.0</v>
      </c>
      <c r="CO43" s="153">
        <v>0.0</v>
      </c>
      <c r="CP43" s="153">
        <v>0.0</v>
      </c>
      <c r="CQ43" s="153">
        <v>0.0</v>
      </c>
      <c r="CR43" s="153">
        <v>0.0</v>
      </c>
      <c r="CS43" s="153">
        <v>0.0</v>
      </c>
      <c r="CT43" s="153">
        <v>0.0</v>
      </c>
      <c r="CU43" s="153">
        <v>0.0</v>
      </c>
      <c r="CV43" s="153">
        <v>0.0</v>
      </c>
      <c r="CW43" s="153">
        <v>0.0</v>
      </c>
      <c r="CX43" s="153">
        <v>0.0</v>
      </c>
      <c r="CY43" s="153">
        <v>0.0</v>
      </c>
      <c r="CZ43" s="153">
        <v>0.0</v>
      </c>
      <c r="DA43" s="153">
        <v>0.0</v>
      </c>
      <c r="DB43" s="153">
        <v>0.0</v>
      </c>
      <c r="DC43" s="153">
        <v>0.0</v>
      </c>
      <c r="DD43" s="153">
        <v>0.0</v>
      </c>
      <c r="DE43" s="153">
        <v>0.0</v>
      </c>
      <c r="DF43" s="153">
        <v>0.0</v>
      </c>
      <c r="DG43" s="153">
        <v>0.0</v>
      </c>
      <c r="DH43" s="153">
        <v>0.0</v>
      </c>
      <c r="DI43" s="153">
        <v>0.0</v>
      </c>
      <c r="DJ43" s="153">
        <v>0.0</v>
      </c>
      <c r="DK43" s="153">
        <v>0.0</v>
      </c>
      <c r="DL43" s="153">
        <v>0.0</v>
      </c>
      <c r="DM43" s="153">
        <v>0.0</v>
      </c>
      <c r="DN43" s="153">
        <v>0.0</v>
      </c>
      <c r="DO43" s="153">
        <v>0.0</v>
      </c>
      <c r="DP43" s="153">
        <v>0.0</v>
      </c>
      <c r="DQ43" s="153">
        <v>0.0</v>
      </c>
      <c r="DR43" s="153">
        <v>0.0</v>
      </c>
      <c r="DS43" s="54"/>
    </row>
    <row r="44" ht="15.0" customHeight="1">
      <c r="A44" s="54"/>
      <c r="B44" s="56" t="s">
        <v>22</v>
      </c>
      <c r="C44" s="153">
        <f>IF(C$3&lt;=Inputs!$C$15*12,-Inputs!C102,0)</f>
        <v>0</v>
      </c>
      <c r="D44" s="153">
        <v>0.0</v>
      </c>
      <c r="E44" s="153">
        <v>0.0</v>
      </c>
      <c r="F44" s="153">
        <v>0.0</v>
      </c>
      <c r="G44" s="153">
        <v>0.0</v>
      </c>
      <c r="H44" s="153">
        <v>0.0</v>
      </c>
      <c r="I44" s="153">
        <v>0.0</v>
      </c>
      <c r="J44" s="153">
        <v>0.0</v>
      </c>
      <c r="K44" s="153">
        <v>0.0</v>
      </c>
      <c r="L44" s="153">
        <v>0.0</v>
      </c>
      <c r="M44" s="153">
        <v>0.0</v>
      </c>
      <c r="N44" s="153">
        <v>0.0</v>
      </c>
      <c r="O44" s="153">
        <v>0.0</v>
      </c>
      <c r="P44" s="153">
        <v>0.0</v>
      </c>
      <c r="Q44" s="153">
        <v>0.0</v>
      </c>
      <c r="R44" s="153">
        <v>0.0</v>
      </c>
      <c r="S44" s="153">
        <v>0.0</v>
      </c>
      <c r="T44" s="153">
        <v>0.0</v>
      </c>
      <c r="U44" s="153">
        <v>0.0</v>
      </c>
      <c r="V44" s="153">
        <v>0.0</v>
      </c>
      <c r="W44" s="153">
        <v>0.0</v>
      </c>
      <c r="X44" s="153">
        <v>0.0</v>
      </c>
      <c r="Y44" s="153">
        <v>0.0</v>
      </c>
      <c r="Z44" s="153">
        <v>0.0</v>
      </c>
      <c r="AA44" s="153">
        <v>0.0</v>
      </c>
      <c r="AB44" s="153">
        <v>0.0</v>
      </c>
      <c r="AC44" s="153">
        <v>0.0</v>
      </c>
      <c r="AD44" s="153">
        <v>0.0</v>
      </c>
      <c r="AE44" s="153">
        <v>0.0</v>
      </c>
      <c r="AF44" s="153">
        <v>0.0</v>
      </c>
      <c r="AG44" s="153">
        <v>0.0</v>
      </c>
      <c r="AH44" s="153">
        <v>0.0</v>
      </c>
      <c r="AI44" s="153">
        <v>0.0</v>
      </c>
      <c r="AJ44" s="153">
        <v>0.0</v>
      </c>
      <c r="AK44" s="153">
        <v>0.0</v>
      </c>
      <c r="AL44" s="153">
        <v>0.0</v>
      </c>
      <c r="AM44" s="153">
        <v>0.0</v>
      </c>
      <c r="AN44" s="153">
        <v>0.0</v>
      </c>
      <c r="AO44" s="153">
        <v>0.0</v>
      </c>
      <c r="AP44" s="153">
        <v>0.0</v>
      </c>
      <c r="AQ44" s="153">
        <v>0.0</v>
      </c>
      <c r="AR44" s="153">
        <v>0.0</v>
      </c>
      <c r="AS44" s="153">
        <v>0.0</v>
      </c>
      <c r="AT44" s="153">
        <v>0.0</v>
      </c>
      <c r="AU44" s="153">
        <v>0.0</v>
      </c>
      <c r="AV44" s="153">
        <v>0.0</v>
      </c>
      <c r="AW44" s="153">
        <v>0.0</v>
      </c>
      <c r="AX44" s="153">
        <v>0.0</v>
      </c>
      <c r="AY44" s="153">
        <v>0.0</v>
      </c>
      <c r="AZ44" s="153">
        <v>0.0</v>
      </c>
      <c r="BA44" s="153">
        <v>0.0</v>
      </c>
      <c r="BB44" s="153">
        <v>0.0</v>
      </c>
      <c r="BC44" s="153">
        <v>0.0</v>
      </c>
      <c r="BD44" s="153">
        <v>0.0</v>
      </c>
      <c r="BE44" s="153">
        <v>0.0</v>
      </c>
      <c r="BF44" s="153">
        <v>0.0</v>
      </c>
      <c r="BG44" s="153">
        <v>0.0</v>
      </c>
      <c r="BH44" s="153">
        <v>0.0</v>
      </c>
      <c r="BI44" s="153">
        <v>0.0</v>
      </c>
      <c r="BJ44" s="153">
        <v>0.0</v>
      </c>
      <c r="BK44" s="153">
        <v>0.0</v>
      </c>
      <c r="BL44" s="153">
        <v>0.0</v>
      </c>
      <c r="BM44" s="153">
        <v>0.0</v>
      </c>
      <c r="BN44" s="153">
        <v>0.0</v>
      </c>
      <c r="BO44" s="153">
        <v>0.0</v>
      </c>
      <c r="BP44" s="153">
        <v>0.0</v>
      </c>
      <c r="BQ44" s="153">
        <v>0.0</v>
      </c>
      <c r="BR44" s="153">
        <v>0.0</v>
      </c>
      <c r="BS44" s="153">
        <v>0.0</v>
      </c>
      <c r="BT44" s="153">
        <v>0.0</v>
      </c>
      <c r="BU44" s="153">
        <v>0.0</v>
      </c>
      <c r="BV44" s="153">
        <v>0.0</v>
      </c>
      <c r="BW44" s="153">
        <v>0.0</v>
      </c>
      <c r="BX44" s="153">
        <v>0.0</v>
      </c>
      <c r="BY44" s="153">
        <v>0.0</v>
      </c>
      <c r="BZ44" s="153">
        <v>0.0</v>
      </c>
      <c r="CA44" s="153">
        <v>0.0</v>
      </c>
      <c r="CB44" s="153">
        <v>0.0</v>
      </c>
      <c r="CC44" s="153">
        <v>0.0</v>
      </c>
      <c r="CD44" s="153">
        <v>0.0</v>
      </c>
      <c r="CE44" s="153">
        <v>0.0</v>
      </c>
      <c r="CF44" s="153">
        <v>0.0</v>
      </c>
      <c r="CG44" s="153">
        <v>0.0</v>
      </c>
      <c r="CH44" s="153">
        <v>0.0</v>
      </c>
      <c r="CI44" s="153">
        <v>0.0</v>
      </c>
      <c r="CJ44" s="153">
        <v>0.0</v>
      </c>
      <c r="CK44" s="153">
        <v>0.0</v>
      </c>
      <c r="CL44" s="153">
        <v>0.0</v>
      </c>
      <c r="CM44" s="153">
        <v>0.0</v>
      </c>
      <c r="CN44" s="153">
        <v>0.0</v>
      </c>
      <c r="CO44" s="153">
        <v>0.0</v>
      </c>
      <c r="CP44" s="153">
        <v>0.0</v>
      </c>
      <c r="CQ44" s="153">
        <v>0.0</v>
      </c>
      <c r="CR44" s="153">
        <v>0.0</v>
      </c>
      <c r="CS44" s="153">
        <v>0.0</v>
      </c>
      <c r="CT44" s="153">
        <v>0.0</v>
      </c>
      <c r="CU44" s="153">
        <v>0.0</v>
      </c>
      <c r="CV44" s="153">
        <v>0.0</v>
      </c>
      <c r="CW44" s="153">
        <v>0.0</v>
      </c>
      <c r="CX44" s="153">
        <v>0.0</v>
      </c>
      <c r="CY44" s="153">
        <v>0.0</v>
      </c>
      <c r="CZ44" s="153">
        <v>0.0</v>
      </c>
      <c r="DA44" s="153">
        <v>0.0</v>
      </c>
      <c r="DB44" s="153">
        <v>0.0</v>
      </c>
      <c r="DC44" s="153">
        <v>0.0</v>
      </c>
      <c r="DD44" s="153">
        <v>0.0</v>
      </c>
      <c r="DE44" s="153">
        <v>0.0</v>
      </c>
      <c r="DF44" s="153">
        <v>0.0</v>
      </c>
      <c r="DG44" s="153">
        <v>0.0</v>
      </c>
      <c r="DH44" s="153">
        <v>0.0</v>
      </c>
      <c r="DI44" s="153">
        <v>0.0</v>
      </c>
      <c r="DJ44" s="153">
        <v>0.0</v>
      </c>
      <c r="DK44" s="153">
        <v>0.0</v>
      </c>
      <c r="DL44" s="153">
        <v>0.0</v>
      </c>
      <c r="DM44" s="153">
        <v>0.0</v>
      </c>
      <c r="DN44" s="153">
        <v>0.0</v>
      </c>
      <c r="DO44" s="153">
        <v>0.0</v>
      </c>
      <c r="DP44" s="153">
        <v>0.0</v>
      </c>
      <c r="DQ44" s="153">
        <v>0.0</v>
      </c>
      <c r="DR44" s="153">
        <v>0.0</v>
      </c>
      <c r="DS44" s="54"/>
    </row>
    <row r="45" ht="15.0" customHeight="1">
      <c r="A45" s="54"/>
      <c r="B45" s="56" t="s">
        <v>171</v>
      </c>
      <c r="C45" s="153">
        <f>IF(C$3&lt;=Inputs!$C$15*12,-Inputs!C103,0)</f>
        <v>-5000</v>
      </c>
      <c r="D45" s="153">
        <v>0.0</v>
      </c>
      <c r="E45" s="153">
        <v>0.0</v>
      </c>
      <c r="F45" s="153">
        <v>0.0</v>
      </c>
      <c r="G45" s="153">
        <v>0.0</v>
      </c>
      <c r="H45" s="153">
        <v>0.0</v>
      </c>
      <c r="I45" s="153">
        <v>0.0</v>
      </c>
      <c r="J45" s="153">
        <v>0.0</v>
      </c>
      <c r="K45" s="153">
        <v>0.0</v>
      </c>
      <c r="L45" s="153">
        <v>0.0</v>
      </c>
      <c r="M45" s="153">
        <v>0.0</v>
      </c>
      <c r="N45" s="153">
        <v>0.0</v>
      </c>
      <c r="O45" s="153">
        <v>0.0</v>
      </c>
      <c r="P45" s="153">
        <v>0.0</v>
      </c>
      <c r="Q45" s="153">
        <v>0.0</v>
      </c>
      <c r="R45" s="153">
        <v>0.0</v>
      </c>
      <c r="S45" s="153">
        <v>0.0</v>
      </c>
      <c r="T45" s="153">
        <v>0.0</v>
      </c>
      <c r="U45" s="153">
        <v>0.0</v>
      </c>
      <c r="V45" s="153">
        <v>0.0</v>
      </c>
      <c r="W45" s="153">
        <v>0.0</v>
      </c>
      <c r="X45" s="153">
        <v>0.0</v>
      </c>
      <c r="Y45" s="153">
        <v>0.0</v>
      </c>
      <c r="Z45" s="153">
        <v>0.0</v>
      </c>
      <c r="AA45" s="153">
        <v>0.0</v>
      </c>
      <c r="AB45" s="153">
        <v>0.0</v>
      </c>
      <c r="AC45" s="153">
        <v>0.0</v>
      </c>
      <c r="AD45" s="153">
        <v>0.0</v>
      </c>
      <c r="AE45" s="153">
        <v>0.0</v>
      </c>
      <c r="AF45" s="153">
        <v>0.0</v>
      </c>
      <c r="AG45" s="153">
        <v>0.0</v>
      </c>
      <c r="AH45" s="153">
        <v>0.0</v>
      </c>
      <c r="AI45" s="153">
        <v>0.0</v>
      </c>
      <c r="AJ45" s="153">
        <v>0.0</v>
      </c>
      <c r="AK45" s="153">
        <v>0.0</v>
      </c>
      <c r="AL45" s="153">
        <v>0.0</v>
      </c>
      <c r="AM45" s="153">
        <v>0.0</v>
      </c>
      <c r="AN45" s="153">
        <v>0.0</v>
      </c>
      <c r="AO45" s="153">
        <v>0.0</v>
      </c>
      <c r="AP45" s="153">
        <v>0.0</v>
      </c>
      <c r="AQ45" s="153">
        <v>0.0</v>
      </c>
      <c r="AR45" s="153">
        <v>0.0</v>
      </c>
      <c r="AS45" s="153">
        <v>0.0</v>
      </c>
      <c r="AT45" s="153">
        <v>0.0</v>
      </c>
      <c r="AU45" s="153">
        <v>0.0</v>
      </c>
      <c r="AV45" s="153">
        <v>0.0</v>
      </c>
      <c r="AW45" s="153">
        <v>0.0</v>
      </c>
      <c r="AX45" s="153">
        <v>0.0</v>
      </c>
      <c r="AY45" s="153">
        <v>0.0</v>
      </c>
      <c r="AZ45" s="153">
        <v>0.0</v>
      </c>
      <c r="BA45" s="153">
        <v>0.0</v>
      </c>
      <c r="BB45" s="153">
        <v>0.0</v>
      </c>
      <c r="BC45" s="153">
        <v>0.0</v>
      </c>
      <c r="BD45" s="153">
        <v>0.0</v>
      </c>
      <c r="BE45" s="153">
        <v>0.0</v>
      </c>
      <c r="BF45" s="153">
        <v>0.0</v>
      </c>
      <c r="BG45" s="153">
        <v>0.0</v>
      </c>
      <c r="BH45" s="153">
        <v>0.0</v>
      </c>
      <c r="BI45" s="153">
        <v>0.0</v>
      </c>
      <c r="BJ45" s="153">
        <v>0.0</v>
      </c>
      <c r="BK45" s="153">
        <v>0.0</v>
      </c>
      <c r="BL45" s="153">
        <v>0.0</v>
      </c>
      <c r="BM45" s="153">
        <v>0.0</v>
      </c>
      <c r="BN45" s="153">
        <v>0.0</v>
      </c>
      <c r="BO45" s="153">
        <v>0.0</v>
      </c>
      <c r="BP45" s="153">
        <v>0.0</v>
      </c>
      <c r="BQ45" s="153">
        <v>0.0</v>
      </c>
      <c r="BR45" s="153">
        <v>0.0</v>
      </c>
      <c r="BS45" s="153">
        <v>0.0</v>
      </c>
      <c r="BT45" s="153">
        <v>0.0</v>
      </c>
      <c r="BU45" s="153">
        <v>0.0</v>
      </c>
      <c r="BV45" s="153">
        <v>0.0</v>
      </c>
      <c r="BW45" s="153">
        <v>0.0</v>
      </c>
      <c r="BX45" s="153">
        <v>0.0</v>
      </c>
      <c r="BY45" s="153">
        <v>0.0</v>
      </c>
      <c r="BZ45" s="153">
        <v>0.0</v>
      </c>
      <c r="CA45" s="153">
        <v>0.0</v>
      </c>
      <c r="CB45" s="153">
        <v>0.0</v>
      </c>
      <c r="CC45" s="153">
        <v>0.0</v>
      </c>
      <c r="CD45" s="153">
        <v>0.0</v>
      </c>
      <c r="CE45" s="153">
        <v>0.0</v>
      </c>
      <c r="CF45" s="153">
        <v>0.0</v>
      </c>
      <c r="CG45" s="153">
        <v>0.0</v>
      </c>
      <c r="CH45" s="153">
        <v>0.0</v>
      </c>
      <c r="CI45" s="153">
        <v>0.0</v>
      </c>
      <c r="CJ45" s="153">
        <v>0.0</v>
      </c>
      <c r="CK45" s="153">
        <v>0.0</v>
      </c>
      <c r="CL45" s="153">
        <v>0.0</v>
      </c>
      <c r="CM45" s="153">
        <v>0.0</v>
      </c>
      <c r="CN45" s="153">
        <v>0.0</v>
      </c>
      <c r="CO45" s="153">
        <v>0.0</v>
      </c>
      <c r="CP45" s="153">
        <v>0.0</v>
      </c>
      <c r="CQ45" s="153">
        <v>0.0</v>
      </c>
      <c r="CR45" s="153">
        <v>0.0</v>
      </c>
      <c r="CS45" s="153">
        <v>0.0</v>
      </c>
      <c r="CT45" s="153">
        <v>0.0</v>
      </c>
      <c r="CU45" s="153">
        <v>0.0</v>
      </c>
      <c r="CV45" s="153">
        <v>0.0</v>
      </c>
      <c r="CW45" s="153">
        <v>0.0</v>
      </c>
      <c r="CX45" s="153">
        <v>0.0</v>
      </c>
      <c r="CY45" s="153">
        <v>0.0</v>
      </c>
      <c r="CZ45" s="153">
        <v>0.0</v>
      </c>
      <c r="DA45" s="153">
        <v>0.0</v>
      </c>
      <c r="DB45" s="153">
        <v>0.0</v>
      </c>
      <c r="DC45" s="153">
        <v>0.0</v>
      </c>
      <c r="DD45" s="153">
        <v>0.0</v>
      </c>
      <c r="DE45" s="153">
        <v>0.0</v>
      </c>
      <c r="DF45" s="153">
        <v>0.0</v>
      </c>
      <c r="DG45" s="153">
        <v>0.0</v>
      </c>
      <c r="DH45" s="153">
        <v>0.0</v>
      </c>
      <c r="DI45" s="153">
        <v>0.0</v>
      </c>
      <c r="DJ45" s="153">
        <v>0.0</v>
      </c>
      <c r="DK45" s="153">
        <v>0.0</v>
      </c>
      <c r="DL45" s="153">
        <v>0.0</v>
      </c>
      <c r="DM45" s="153">
        <v>0.0</v>
      </c>
      <c r="DN45" s="153">
        <v>0.0</v>
      </c>
      <c r="DO45" s="153">
        <v>0.0</v>
      </c>
      <c r="DP45" s="153">
        <v>0.0</v>
      </c>
      <c r="DQ45" s="153">
        <v>0.0</v>
      </c>
      <c r="DR45" s="153">
        <v>0.0</v>
      </c>
      <c r="DS45" s="54"/>
    </row>
    <row r="46" ht="15.0" customHeight="1">
      <c r="A46" s="54"/>
      <c r="B46" s="56" t="s">
        <v>168</v>
      </c>
      <c r="C46" s="152">
        <f>IF(C$3&lt;=Inputs!$C$15*12,-Inputs!C10*Inputs!C110,0)</f>
        <v>0</v>
      </c>
      <c r="D46" s="153">
        <v>0.0</v>
      </c>
      <c r="E46" s="153">
        <v>0.0</v>
      </c>
      <c r="F46" s="153">
        <v>0.0</v>
      </c>
      <c r="G46" s="153">
        <v>0.0</v>
      </c>
      <c r="H46" s="153">
        <v>0.0</v>
      </c>
      <c r="I46" s="153">
        <v>0.0</v>
      </c>
      <c r="J46" s="153">
        <v>0.0</v>
      </c>
      <c r="K46" s="153">
        <v>0.0</v>
      </c>
      <c r="L46" s="153">
        <v>0.0</v>
      </c>
      <c r="M46" s="153">
        <v>0.0</v>
      </c>
      <c r="N46" s="153">
        <v>0.0</v>
      </c>
      <c r="O46" s="153">
        <v>0.0</v>
      </c>
      <c r="P46" s="153">
        <v>0.0</v>
      </c>
      <c r="Q46" s="153">
        <v>0.0</v>
      </c>
      <c r="R46" s="153">
        <v>0.0</v>
      </c>
      <c r="S46" s="153">
        <v>0.0</v>
      </c>
      <c r="T46" s="153">
        <v>0.0</v>
      </c>
      <c r="U46" s="153">
        <v>0.0</v>
      </c>
      <c r="V46" s="153">
        <v>0.0</v>
      </c>
      <c r="W46" s="153">
        <v>0.0</v>
      </c>
      <c r="X46" s="153">
        <v>0.0</v>
      </c>
      <c r="Y46" s="153">
        <v>0.0</v>
      </c>
      <c r="Z46" s="153">
        <v>0.0</v>
      </c>
      <c r="AA46" s="153">
        <v>0.0</v>
      </c>
      <c r="AB46" s="153">
        <v>0.0</v>
      </c>
      <c r="AC46" s="153">
        <v>0.0</v>
      </c>
      <c r="AD46" s="153">
        <v>0.0</v>
      </c>
      <c r="AE46" s="153">
        <v>0.0</v>
      </c>
      <c r="AF46" s="153">
        <v>0.0</v>
      </c>
      <c r="AG46" s="153">
        <v>0.0</v>
      </c>
      <c r="AH46" s="153">
        <v>0.0</v>
      </c>
      <c r="AI46" s="153">
        <v>0.0</v>
      </c>
      <c r="AJ46" s="153">
        <v>0.0</v>
      </c>
      <c r="AK46" s="153">
        <v>0.0</v>
      </c>
      <c r="AL46" s="153">
        <v>0.0</v>
      </c>
      <c r="AM46" s="153">
        <v>0.0</v>
      </c>
      <c r="AN46" s="153">
        <v>0.0</v>
      </c>
      <c r="AO46" s="153">
        <v>0.0</v>
      </c>
      <c r="AP46" s="153">
        <v>0.0</v>
      </c>
      <c r="AQ46" s="153">
        <v>0.0</v>
      </c>
      <c r="AR46" s="153">
        <v>0.0</v>
      </c>
      <c r="AS46" s="153">
        <v>0.0</v>
      </c>
      <c r="AT46" s="153">
        <v>0.0</v>
      </c>
      <c r="AU46" s="153">
        <v>0.0</v>
      </c>
      <c r="AV46" s="153">
        <v>0.0</v>
      </c>
      <c r="AW46" s="153">
        <v>0.0</v>
      </c>
      <c r="AX46" s="153">
        <v>0.0</v>
      </c>
      <c r="AY46" s="153">
        <v>0.0</v>
      </c>
      <c r="AZ46" s="153">
        <v>0.0</v>
      </c>
      <c r="BA46" s="153">
        <v>0.0</v>
      </c>
      <c r="BB46" s="153">
        <v>0.0</v>
      </c>
      <c r="BC46" s="153">
        <v>0.0</v>
      </c>
      <c r="BD46" s="153">
        <v>0.0</v>
      </c>
      <c r="BE46" s="153">
        <v>0.0</v>
      </c>
      <c r="BF46" s="153">
        <v>0.0</v>
      </c>
      <c r="BG46" s="153">
        <v>0.0</v>
      </c>
      <c r="BH46" s="153">
        <v>0.0</v>
      </c>
      <c r="BI46" s="153">
        <v>0.0</v>
      </c>
      <c r="BJ46" s="153">
        <v>0.0</v>
      </c>
      <c r="BK46" s="153">
        <v>0.0</v>
      </c>
      <c r="BL46" s="153">
        <v>0.0</v>
      </c>
      <c r="BM46" s="153">
        <v>0.0</v>
      </c>
      <c r="BN46" s="153">
        <v>0.0</v>
      </c>
      <c r="BO46" s="153">
        <v>0.0</v>
      </c>
      <c r="BP46" s="153">
        <v>0.0</v>
      </c>
      <c r="BQ46" s="153">
        <v>0.0</v>
      </c>
      <c r="BR46" s="153">
        <v>0.0</v>
      </c>
      <c r="BS46" s="153">
        <v>0.0</v>
      </c>
      <c r="BT46" s="153">
        <v>0.0</v>
      </c>
      <c r="BU46" s="153">
        <v>0.0</v>
      </c>
      <c r="BV46" s="153">
        <v>0.0</v>
      </c>
      <c r="BW46" s="153">
        <v>0.0</v>
      </c>
      <c r="BX46" s="153">
        <v>0.0</v>
      </c>
      <c r="BY46" s="153">
        <v>0.0</v>
      </c>
      <c r="BZ46" s="153">
        <v>0.0</v>
      </c>
      <c r="CA46" s="153">
        <v>0.0</v>
      </c>
      <c r="CB46" s="153">
        <v>0.0</v>
      </c>
      <c r="CC46" s="153">
        <v>0.0</v>
      </c>
      <c r="CD46" s="153">
        <v>0.0</v>
      </c>
      <c r="CE46" s="153">
        <v>0.0</v>
      </c>
      <c r="CF46" s="153">
        <v>0.0</v>
      </c>
      <c r="CG46" s="153">
        <v>0.0</v>
      </c>
      <c r="CH46" s="153">
        <v>0.0</v>
      </c>
      <c r="CI46" s="153">
        <v>0.0</v>
      </c>
      <c r="CJ46" s="153">
        <v>0.0</v>
      </c>
      <c r="CK46" s="153">
        <v>0.0</v>
      </c>
      <c r="CL46" s="153">
        <v>0.0</v>
      </c>
      <c r="CM46" s="153">
        <v>0.0</v>
      </c>
      <c r="CN46" s="153">
        <v>0.0</v>
      </c>
      <c r="CO46" s="153">
        <v>0.0</v>
      </c>
      <c r="CP46" s="153">
        <v>0.0</v>
      </c>
      <c r="CQ46" s="153">
        <v>0.0</v>
      </c>
      <c r="CR46" s="153">
        <v>0.0</v>
      </c>
      <c r="CS46" s="153">
        <v>0.0</v>
      </c>
      <c r="CT46" s="153">
        <v>0.0</v>
      </c>
      <c r="CU46" s="153">
        <v>0.0</v>
      </c>
      <c r="CV46" s="153">
        <v>0.0</v>
      </c>
      <c r="CW46" s="153">
        <v>0.0</v>
      </c>
      <c r="CX46" s="153">
        <v>0.0</v>
      </c>
      <c r="CY46" s="153">
        <v>0.0</v>
      </c>
      <c r="CZ46" s="153">
        <v>0.0</v>
      </c>
      <c r="DA46" s="153">
        <v>0.0</v>
      </c>
      <c r="DB46" s="153">
        <v>0.0</v>
      </c>
      <c r="DC46" s="153">
        <v>0.0</v>
      </c>
      <c r="DD46" s="153">
        <v>0.0</v>
      </c>
      <c r="DE46" s="153">
        <v>0.0</v>
      </c>
      <c r="DF46" s="153">
        <v>0.0</v>
      </c>
      <c r="DG46" s="153">
        <v>0.0</v>
      </c>
      <c r="DH46" s="153">
        <v>0.0</v>
      </c>
      <c r="DI46" s="153">
        <v>0.0</v>
      </c>
      <c r="DJ46" s="153">
        <v>0.0</v>
      </c>
      <c r="DK46" s="153">
        <v>0.0</v>
      </c>
      <c r="DL46" s="153">
        <v>0.0</v>
      </c>
      <c r="DM46" s="153">
        <v>0.0</v>
      </c>
      <c r="DN46" s="153">
        <v>0.0</v>
      </c>
      <c r="DO46" s="153">
        <v>0.0</v>
      </c>
      <c r="DP46" s="153">
        <v>0.0</v>
      </c>
      <c r="DQ46" s="153">
        <v>0.0</v>
      </c>
      <c r="DR46" s="153">
        <v>0.0</v>
      </c>
      <c r="DS46" s="54"/>
    </row>
    <row r="47" ht="15.0" customHeight="1">
      <c r="A47" s="54"/>
      <c r="B47" s="61" t="s">
        <v>169</v>
      </c>
      <c r="C47" s="166">
        <f>IF(C$3&lt;=Inputs!$C$15*12,-Inputs!$D$12,0)</f>
        <v>0</v>
      </c>
      <c r="D47" s="153">
        <v>0.0</v>
      </c>
      <c r="E47" s="153">
        <v>0.0</v>
      </c>
      <c r="F47" s="153">
        <v>0.0</v>
      </c>
      <c r="G47" s="153">
        <v>0.0</v>
      </c>
      <c r="H47" s="153">
        <v>0.0</v>
      </c>
      <c r="I47" s="153">
        <v>0.0</v>
      </c>
      <c r="J47" s="153">
        <v>0.0</v>
      </c>
      <c r="K47" s="153">
        <v>0.0</v>
      </c>
      <c r="L47" s="153">
        <v>0.0</v>
      </c>
      <c r="M47" s="153">
        <v>0.0</v>
      </c>
      <c r="N47" s="153">
        <v>0.0</v>
      </c>
      <c r="O47" s="153">
        <v>0.0</v>
      </c>
      <c r="P47" s="153">
        <v>0.0</v>
      </c>
      <c r="Q47" s="153">
        <v>0.0</v>
      </c>
      <c r="R47" s="153">
        <v>0.0</v>
      </c>
      <c r="S47" s="153">
        <v>0.0</v>
      </c>
      <c r="T47" s="153">
        <v>0.0</v>
      </c>
      <c r="U47" s="153">
        <v>0.0</v>
      </c>
      <c r="V47" s="153">
        <v>0.0</v>
      </c>
      <c r="W47" s="153">
        <v>0.0</v>
      </c>
      <c r="X47" s="153">
        <v>0.0</v>
      </c>
      <c r="Y47" s="153">
        <v>0.0</v>
      </c>
      <c r="Z47" s="153">
        <v>0.0</v>
      </c>
      <c r="AA47" s="153">
        <v>0.0</v>
      </c>
      <c r="AB47" s="153">
        <v>0.0</v>
      </c>
      <c r="AC47" s="153">
        <v>0.0</v>
      </c>
      <c r="AD47" s="153">
        <v>0.0</v>
      </c>
      <c r="AE47" s="153">
        <v>0.0</v>
      </c>
      <c r="AF47" s="153">
        <v>0.0</v>
      </c>
      <c r="AG47" s="153">
        <v>0.0</v>
      </c>
      <c r="AH47" s="153">
        <v>0.0</v>
      </c>
      <c r="AI47" s="153">
        <v>0.0</v>
      </c>
      <c r="AJ47" s="153">
        <v>0.0</v>
      </c>
      <c r="AK47" s="153">
        <v>0.0</v>
      </c>
      <c r="AL47" s="153">
        <v>0.0</v>
      </c>
      <c r="AM47" s="153">
        <v>0.0</v>
      </c>
      <c r="AN47" s="153">
        <v>0.0</v>
      </c>
      <c r="AO47" s="153">
        <v>0.0</v>
      </c>
      <c r="AP47" s="153">
        <v>0.0</v>
      </c>
      <c r="AQ47" s="153">
        <v>0.0</v>
      </c>
      <c r="AR47" s="153">
        <v>0.0</v>
      </c>
      <c r="AS47" s="153">
        <v>0.0</v>
      </c>
      <c r="AT47" s="153">
        <v>0.0</v>
      </c>
      <c r="AU47" s="153">
        <v>0.0</v>
      </c>
      <c r="AV47" s="153">
        <v>0.0</v>
      </c>
      <c r="AW47" s="153">
        <v>0.0</v>
      </c>
      <c r="AX47" s="153">
        <v>0.0</v>
      </c>
      <c r="AY47" s="153">
        <v>0.0</v>
      </c>
      <c r="AZ47" s="153">
        <v>0.0</v>
      </c>
      <c r="BA47" s="153">
        <v>0.0</v>
      </c>
      <c r="BB47" s="153">
        <v>0.0</v>
      </c>
      <c r="BC47" s="153">
        <v>0.0</v>
      </c>
      <c r="BD47" s="153">
        <v>0.0</v>
      </c>
      <c r="BE47" s="153">
        <v>0.0</v>
      </c>
      <c r="BF47" s="153">
        <v>0.0</v>
      </c>
      <c r="BG47" s="153">
        <v>0.0</v>
      </c>
      <c r="BH47" s="153">
        <v>0.0</v>
      </c>
      <c r="BI47" s="153">
        <v>0.0</v>
      </c>
      <c r="BJ47" s="153">
        <v>0.0</v>
      </c>
      <c r="BK47" s="153">
        <v>0.0</v>
      </c>
      <c r="BL47" s="153">
        <v>0.0</v>
      </c>
      <c r="BM47" s="153">
        <v>0.0</v>
      </c>
      <c r="BN47" s="153">
        <v>0.0</v>
      </c>
      <c r="BO47" s="153">
        <v>0.0</v>
      </c>
      <c r="BP47" s="153">
        <v>0.0</v>
      </c>
      <c r="BQ47" s="153">
        <v>0.0</v>
      </c>
      <c r="BR47" s="153">
        <v>0.0</v>
      </c>
      <c r="BS47" s="153">
        <v>0.0</v>
      </c>
      <c r="BT47" s="153">
        <v>0.0</v>
      </c>
      <c r="BU47" s="153">
        <v>0.0</v>
      </c>
      <c r="BV47" s="153">
        <v>0.0</v>
      </c>
      <c r="BW47" s="153">
        <v>0.0</v>
      </c>
      <c r="BX47" s="153">
        <v>0.0</v>
      </c>
      <c r="BY47" s="153">
        <v>0.0</v>
      </c>
      <c r="BZ47" s="153">
        <v>0.0</v>
      </c>
      <c r="CA47" s="153">
        <v>0.0</v>
      </c>
      <c r="CB47" s="153">
        <v>0.0</v>
      </c>
      <c r="CC47" s="153">
        <v>0.0</v>
      </c>
      <c r="CD47" s="153">
        <v>0.0</v>
      </c>
      <c r="CE47" s="153">
        <v>0.0</v>
      </c>
      <c r="CF47" s="153">
        <v>0.0</v>
      </c>
      <c r="CG47" s="153">
        <v>0.0</v>
      </c>
      <c r="CH47" s="153">
        <v>0.0</v>
      </c>
      <c r="CI47" s="153">
        <v>0.0</v>
      </c>
      <c r="CJ47" s="153">
        <v>0.0</v>
      </c>
      <c r="CK47" s="153">
        <v>0.0</v>
      </c>
      <c r="CL47" s="153">
        <v>0.0</v>
      </c>
      <c r="CM47" s="153">
        <v>0.0</v>
      </c>
      <c r="CN47" s="153">
        <v>0.0</v>
      </c>
      <c r="CO47" s="153">
        <v>0.0</v>
      </c>
      <c r="CP47" s="153">
        <v>0.0</v>
      </c>
      <c r="CQ47" s="153">
        <v>0.0</v>
      </c>
      <c r="CR47" s="153">
        <v>0.0</v>
      </c>
      <c r="CS47" s="153">
        <v>0.0</v>
      </c>
      <c r="CT47" s="153">
        <v>0.0</v>
      </c>
      <c r="CU47" s="153">
        <v>0.0</v>
      </c>
      <c r="CV47" s="153">
        <v>0.0</v>
      </c>
      <c r="CW47" s="153">
        <v>0.0</v>
      </c>
      <c r="CX47" s="153">
        <v>0.0</v>
      </c>
      <c r="CY47" s="153">
        <v>0.0</v>
      </c>
      <c r="CZ47" s="153">
        <v>0.0</v>
      </c>
      <c r="DA47" s="153">
        <v>0.0</v>
      </c>
      <c r="DB47" s="153">
        <v>0.0</v>
      </c>
      <c r="DC47" s="153">
        <v>0.0</v>
      </c>
      <c r="DD47" s="153">
        <v>0.0</v>
      </c>
      <c r="DE47" s="153">
        <v>0.0</v>
      </c>
      <c r="DF47" s="153">
        <v>0.0</v>
      </c>
      <c r="DG47" s="153">
        <v>0.0</v>
      </c>
      <c r="DH47" s="153">
        <v>0.0</v>
      </c>
      <c r="DI47" s="153">
        <v>0.0</v>
      </c>
      <c r="DJ47" s="153">
        <v>0.0</v>
      </c>
      <c r="DK47" s="153">
        <v>0.0</v>
      </c>
      <c r="DL47" s="153">
        <v>0.0</v>
      </c>
      <c r="DM47" s="153">
        <v>0.0</v>
      </c>
      <c r="DN47" s="153">
        <v>0.0</v>
      </c>
      <c r="DO47" s="153">
        <v>0.0</v>
      </c>
      <c r="DP47" s="153">
        <v>0.0</v>
      </c>
      <c r="DQ47" s="153">
        <v>0.0</v>
      </c>
      <c r="DR47" s="153">
        <v>0.0</v>
      </c>
      <c r="DS47" s="54"/>
    </row>
    <row r="48" ht="15.0" customHeight="1">
      <c r="A48" s="54"/>
      <c r="B48" s="61" t="s">
        <v>170</v>
      </c>
      <c r="C48" s="167">
        <f>IF(C$3&lt;=Inputs!$C$15*12,-Inputs!$D$13,0)</f>
        <v>0</v>
      </c>
      <c r="D48" s="153">
        <v>0.0</v>
      </c>
      <c r="E48" s="153">
        <v>0.0</v>
      </c>
      <c r="F48" s="153">
        <v>0.0</v>
      </c>
      <c r="G48" s="153">
        <v>0.0</v>
      </c>
      <c r="H48" s="153">
        <v>0.0</v>
      </c>
      <c r="I48" s="153">
        <v>0.0</v>
      </c>
      <c r="J48" s="153">
        <v>0.0</v>
      </c>
      <c r="K48" s="153">
        <v>0.0</v>
      </c>
      <c r="L48" s="153">
        <v>0.0</v>
      </c>
      <c r="M48" s="153">
        <v>0.0</v>
      </c>
      <c r="N48" s="153">
        <v>0.0</v>
      </c>
      <c r="O48" s="153">
        <v>0.0</v>
      </c>
      <c r="P48" s="153">
        <v>0.0</v>
      </c>
      <c r="Q48" s="153">
        <v>0.0</v>
      </c>
      <c r="R48" s="153">
        <v>0.0</v>
      </c>
      <c r="S48" s="153">
        <v>0.0</v>
      </c>
      <c r="T48" s="153">
        <v>0.0</v>
      </c>
      <c r="U48" s="153">
        <v>0.0</v>
      </c>
      <c r="V48" s="153">
        <v>0.0</v>
      </c>
      <c r="W48" s="153">
        <v>0.0</v>
      </c>
      <c r="X48" s="153">
        <v>0.0</v>
      </c>
      <c r="Y48" s="153">
        <v>0.0</v>
      </c>
      <c r="Z48" s="153">
        <v>0.0</v>
      </c>
      <c r="AA48" s="153">
        <v>0.0</v>
      </c>
      <c r="AB48" s="153">
        <v>0.0</v>
      </c>
      <c r="AC48" s="153">
        <v>0.0</v>
      </c>
      <c r="AD48" s="153">
        <v>0.0</v>
      </c>
      <c r="AE48" s="153">
        <v>0.0</v>
      </c>
      <c r="AF48" s="153">
        <v>0.0</v>
      </c>
      <c r="AG48" s="153">
        <v>0.0</v>
      </c>
      <c r="AH48" s="153">
        <v>0.0</v>
      </c>
      <c r="AI48" s="153">
        <v>0.0</v>
      </c>
      <c r="AJ48" s="153">
        <v>0.0</v>
      </c>
      <c r="AK48" s="153">
        <v>0.0</v>
      </c>
      <c r="AL48" s="153">
        <v>0.0</v>
      </c>
      <c r="AM48" s="153">
        <v>0.0</v>
      </c>
      <c r="AN48" s="153">
        <v>0.0</v>
      </c>
      <c r="AO48" s="153">
        <v>0.0</v>
      </c>
      <c r="AP48" s="153">
        <v>0.0</v>
      </c>
      <c r="AQ48" s="153">
        <v>0.0</v>
      </c>
      <c r="AR48" s="153">
        <v>0.0</v>
      </c>
      <c r="AS48" s="153">
        <v>0.0</v>
      </c>
      <c r="AT48" s="153">
        <v>0.0</v>
      </c>
      <c r="AU48" s="153">
        <v>0.0</v>
      </c>
      <c r="AV48" s="153">
        <v>0.0</v>
      </c>
      <c r="AW48" s="153">
        <v>0.0</v>
      </c>
      <c r="AX48" s="153">
        <v>0.0</v>
      </c>
      <c r="AY48" s="153">
        <v>0.0</v>
      </c>
      <c r="AZ48" s="153">
        <v>0.0</v>
      </c>
      <c r="BA48" s="153">
        <v>0.0</v>
      </c>
      <c r="BB48" s="153">
        <v>0.0</v>
      </c>
      <c r="BC48" s="153">
        <v>0.0</v>
      </c>
      <c r="BD48" s="153">
        <v>0.0</v>
      </c>
      <c r="BE48" s="153">
        <v>0.0</v>
      </c>
      <c r="BF48" s="153">
        <v>0.0</v>
      </c>
      <c r="BG48" s="153">
        <v>0.0</v>
      </c>
      <c r="BH48" s="153">
        <v>0.0</v>
      </c>
      <c r="BI48" s="153">
        <v>0.0</v>
      </c>
      <c r="BJ48" s="153">
        <v>0.0</v>
      </c>
      <c r="BK48" s="153">
        <v>0.0</v>
      </c>
      <c r="BL48" s="153">
        <v>0.0</v>
      </c>
      <c r="BM48" s="153">
        <v>0.0</v>
      </c>
      <c r="BN48" s="153">
        <v>0.0</v>
      </c>
      <c r="BO48" s="153">
        <v>0.0</v>
      </c>
      <c r="BP48" s="153">
        <v>0.0</v>
      </c>
      <c r="BQ48" s="153">
        <v>0.0</v>
      </c>
      <c r="BR48" s="153">
        <v>0.0</v>
      </c>
      <c r="BS48" s="153">
        <v>0.0</v>
      </c>
      <c r="BT48" s="153">
        <v>0.0</v>
      </c>
      <c r="BU48" s="153">
        <v>0.0</v>
      </c>
      <c r="BV48" s="153">
        <v>0.0</v>
      </c>
      <c r="BW48" s="153">
        <v>0.0</v>
      </c>
      <c r="BX48" s="153">
        <v>0.0</v>
      </c>
      <c r="BY48" s="153">
        <v>0.0</v>
      </c>
      <c r="BZ48" s="153">
        <v>0.0</v>
      </c>
      <c r="CA48" s="153">
        <v>0.0</v>
      </c>
      <c r="CB48" s="153">
        <v>0.0</v>
      </c>
      <c r="CC48" s="153">
        <v>0.0</v>
      </c>
      <c r="CD48" s="153">
        <v>0.0</v>
      </c>
      <c r="CE48" s="153">
        <v>0.0</v>
      </c>
      <c r="CF48" s="153">
        <v>0.0</v>
      </c>
      <c r="CG48" s="153">
        <v>0.0</v>
      </c>
      <c r="CH48" s="153">
        <v>0.0</v>
      </c>
      <c r="CI48" s="153">
        <v>0.0</v>
      </c>
      <c r="CJ48" s="153">
        <v>0.0</v>
      </c>
      <c r="CK48" s="153">
        <v>0.0</v>
      </c>
      <c r="CL48" s="153">
        <v>0.0</v>
      </c>
      <c r="CM48" s="153">
        <v>0.0</v>
      </c>
      <c r="CN48" s="153">
        <v>0.0</v>
      </c>
      <c r="CO48" s="153">
        <v>0.0</v>
      </c>
      <c r="CP48" s="153">
        <v>0.0</v>
      </c>
      <c r="CQ48" s="153">
        <v>0.0</v>
      </c>
      <c r="CR48" s="153">
        <v>0.0</v>
      </c>
      <c r="CS48" s="153">
        <v>0.0</v>
      </c>
      <c r="CT48" s="153">
        <v>0.0</v>
      </c>
      <c r="CU48" s="153">
        <v>0.0</v>
      </c>
      <c r="CV48" s="153">
        <v>0.0</v>
      </c>
      <c r="CW48" s="153">
        <v>0.0</v>
      </c>
      <c r="CX48" s="153">
        <v>0.0</v>
      </c>
      <c r="CY48" s="153">
        <v>0.0</v>
      </c>
      <c r="CZ48" s="153">
        <v>0.0</v>
      </c>
      <c r="DA48" s="153">
        <v>0.0</v>
      </c>
      <c r="DB48" s="153">
        <v>0.0</v>
      </c>
      <c r="DC48" s="153">
        <v>0.0</v>
      </c>
      <c r="DD48" s="153">
        <v>0.0</v>
      </c>
      <c r="DE48" s="153">
        <v>0.0</v>
      </c>
      <c r="DF48" s="153">
        <v>0.0</v>
      </c>
      <c r="DG48" s="153">
        <v>0.0</v>
      </c>
      <c r="DH48" s="153">
        <v>0.0</v>
      </c>
      <c r="DI48" s="153">
        <v>0.0</v>
      </c>
      <c r="DJ48" s="153">
        <v>0.0</v>
      </c>
      <c r="DK48" s="153">
        <v>0.0</v>
      </c>
      <c r="DL48" s="153">
        <v>0.0</v>
      </c>
      <c r="DM48" s="153">
        <v>0.0</v>
      </c>
      <c r="DN48" s="153">
        <v>0.0</v>
      </c>
      <c r="DO48" s="153">
        <v>0.0</v>
      </c>
      <c r="DP48" s="153">
        <v>0.0</v>
      </c>
      <c r="DQ48" s="153">
        <v>0.0</v>
      </c>
      <c r="DR48" s="153">
        <v>0.0</v>
      </c>
      <c r="DS48" s="54"/>
    </row>
    <row r="49" ht="16.5" customHeight="1">
      <c r="A49" s="54"/>
      <c r="B49" s="161" t="s">
        <v>316</v>
      </c>
      <c r="C49" s="168">
        <f t="shared" ref="C49:DR49" si="8">C43+C44+C45+C46+C47+C48</f>
        <v>-5000</v>
      </c>
      <c r="D49" s="168">
        <f t="shared" si="8"/>
        <v>0</v>
      </c>
      <c r="E49" s="168">
        <f t="shared" si="8"/>
        <v>0</v>
      </c>
      <c r="F49" s="168">
        <f t="shared" si="8"/>
        <v>0</v>
      </c>
      <c r="G49" s="168">
        <f t="shared" si="8"/>
        <v>0</v>
      </c>
      <c r="H49" s="168">
        <f t="shared" si="8"/>
        <v>0</v>
      </c>
      <c r="I49" s="168">
        <f t="shared" si="8"/>
        <v>0</v>
      </c>
      <c r="J49" s="168">
        <f t="shared" si="8"/>
        <v>0</v>
      </c>
      <c r="K49" s="168">
        <f t="shared" si="8"/>
        <v>0</v>
      </c>
      <c r="L49" s="168">
        <f t="shared" si="8"/>
        <v>0</v>
      </c>
      <c r="M49" s="168">
        <f t="shared" si="8"/>
        <v>0</v>
      </c>
      <c r="N49" s="168">
        <f t="shared" si="8"/>
        <v>0</v>
      </c>
      <c r="O49" s="168">
        <f t="shared" si="8"/>
        <v>0</v>
      </c>
      <c r="P49" s="168">
        <f t="shared" si="8"/>
        <v>0</v>
      </c>
      <c r="Q49" s="168">
        <f t="shared" si="8"/>
        <v>0</v>
      </c>
      <c r="R49" s="168">
        <f t="shared" si="8"/>
        <v>0</v>
      </c>
      <c r="S49" s="168">
        <f t="shared" si="8"/>
        <v>0</v>
      </c>
      <c r="T49" s="168">
        <f t="shared" si="8"/>
        <v>0</v>
      </c>
      <c r="U49" s="168">
        <f t="shared" si="8"/>
        <v>0</v>
      </c>
      <c r="V49" s="168">
        <f t="shared" si="8"/>
        <v>0</v>
      </c>
      <c r="W49" s="168">
        <f t="shared" si="8"/>
        <v>0</v>
      </c>
      <c r="X49" s="168">
        <f t="shared" si="8"/>
        <v>0</v>
      </c>
      <c r="Y49" s="168">
        <f t="shared" si="8"/>
        <v>0</v>
      </c>
      <c r="Z49" s="168">
        <f t="shared" si="8"/>
        <v>0</v>
      </c>
      <c r="AA49" s="168">
        <f t="shared" si="8"/>
        <v>0</v>
      </c>
      <c r="AB49" s="168">
        <f t="shared" si="8"/>
        <v>0</v>
      </c>
      <c r="AC49" s="168">
        <f t="shared" si="8"/>
        <v>0</v>
      </c>
      <c r="AD49" s="168">
        <f t="shared" si="8"/>
        <v>0</v>
      </c>
      <c r="AE49" s="168">
        <f t="shared" si="8"/>
        <v>0</v>
      </c>
      <c r="AF49" s="168">
        <f t="shared" si="8"/>
        <v>0</v>
      </c>
      <c r="AG49" s="168">
        <f t="shared" si="8"/>
        <v>0</v>
      </c>
      <c r="AH49" s="168">
        <f t="shared" si="8"/>
        <v>0</v>
      </c>
      <c r="AI49" s="168">
        <f t="shared" si="8"/>
        <v>0</v>
      </c>
      <c r="AJ49" s="168">
        <f t="shared" si="8"/>
        <v>0</v>
      </c>
      <c r="AK49" s="168">
        <f t="shared" si="8"/>
        <v>0</v>
      </c>
      <c r="AL49" s="168">
        <f t="shared" si="8"/>
        <v>0</v>
      </c>
      <c r="AM49" s="168">
        <f t="shared" si="8"/>
        <v>0</v>
      </c>
      <c r="AN49" s="168">
        <f t="shared" si="8"/>
        <v>0</v>
      </c>
      <c r="AO49" s="168">
        <f t="shared" si="8"/>
        <v>0</v>
      </c>
      <c r="AP49" s="168">
        <f t="shared" si="8"/>
        <v>0</v>
      </c>
      <c r="AQ49" s="168">
        <f t="shared" si="8"/>
        <v>0</v>
      </c>
      <c r="AR49" s="168">
        <f t="shared" si="8"/>
        <v>0</v>
      </c>
      <c r="AS49" s="168">
        <f t="shared" si="8"/>
        <v>0</v>
      </c>
      <c r="AT49" s="168">
        <f t="shared" si="8"/>
        <v>0</v>
      </c>
      <c r="AU49" s="168">
        <f t="shared" si="8"/>
        <v>0</v>
      </c>
      <c r="AV49" s="168">
        <f t="shared" si="8"/>
        <v>0</v>
      </c>
      <c r="AW49" s="168">
        <f t="shared" si="8"/>
        <v>0</v>
      </c>
      <c r="AX49" s="168">
        <f t="shared" si="8"/>
        <v>0</v>
      </c>
      <c r="AY49" s="168">
        <f t="shared" si="8"/>
        <v>0</v>
      </c>
      <c r="AZ49" s="168">
        <f t="shared" si="8"/>
        <v>0</v>
      </c>
      <c r="BA49" s="168">
        <f t="shared" si="8"/>
        <v>0</v>
      </c>
      <c r="BB49" s="168">
        <f t="shared" si="8"/>
        <v>0</v>
      </c>
      <c r="BC49" s="168">
        <f t="shared" si="8"/>
        <v>0</v>
      </c>
      <c r="BD49" s="168">
        <f t="shared" si="8"/>
        <v>0</v>
      </c>
      <c r="BE49" s="168">
        <f t="shared" si="8"/>
        <v>0</v>
      </c>
      <c r="BF49" s="168">
        <f t="shared" si="8"/>
        <v>0</v>
      </c>
      <c r="BG49" s="168">
        <f t="shared" si="8"/>
        <v>0</v>
      </c>
      <c r="BH49" s="168">
        <f t="shared" si="8"/>
        <v>0</v>
      </c>
      <c r="BI49" s="168">
        <f t="shared" si="8"/>
        <v>0</v>
      </c>
      <c r="BJ49" s="168">
        <f t="shared" si="8"/>
        <v>0</v>
      </c>
      <c r="BK49" s="168">
        <f t="shared" si="8"/>
        <v>0</v>
      </c>
      <c r="BL49" s="168">
        <f t="shared" si="8"/>
        <v>0</v>
      </c>
      <c r="BM49" s="168">
        <f t="shared" si="8"/>
        <v>0</v>
      </c>
      <c r="BN49" s="168">
        <f t="shared" si="8"/>
        <v>0</v>
      </c>
      <c r="BO49" s="168">
        <f t="shared" si="8"/>
        <v>0</v>
      </c>
      <c r="BP49" s="168">
        <f t="shared" si="8"/>
        <v>0</v>
      </c>
      <c r="BQ49" s="168">
        <f t="shared" si="8"/>
        <v>0</v>
      </c>
      <c r="BR49" s="168">
        <f t="shared" si="8"/>
        <v>0</v>
      </c>
      <c r="BS49" s="168">
        <f t="shared" si="8"/>
        <v>0</v>
      </c>
      <c r="BT49" s="168">
        <f t="shared" si="8"/>
        <v>0</v>
      </c>
      <c r="BU49" s="168">
        <f t="shared" si="8"/>
        <v>0</v>
      </c>
      <c r="BV49" s="168">
        <f t="shared" si="8"/>
        <v>0</v>
      </c>
      <c r="BW49" s="168">
        <f t="shared" si="8"/>
        <v>0</v>
      </c>
      <c r="BX49" s="168">
        <f t="shared" si="8"/>
        <v>0</v>
      </c>
      <c r="BY49" s="168">
        <f t="shared" si="8"/>
        <v>0</v>
      </c>
      <c r="BZ49" s="168">
        <f t="shared" si="8"/>
        <v>0</v>
      </c>
      <c r="CA49" s="168">
        <f t="shared" si="8"/>
        <v>0</v>
      </c>
      <c r="CB49" s="168">
        <f t="shared" si="8"/>
        <v>0</v>
      </c>
      <c r="CC49" s="168">
        <f t="shared" si="8"/>
        <v>0</v>
      </c>
      <c r="CD49" s="168">
        <f t="shared" si="8"/>
        <v>0</v>
      </c>
      <c r="CE49" s="168">
        <f t="shared" si="8"/>
        <v>0</v>
      </c>
      <c r="CF49" s="168">
        <f t="shared" si="8"/>
        <v>0</v>
      </c>
      <c r="CG49" s="168">
        <f t="shared" si="8"/>
        <v>0</v>
      </c>
      <c r="CH49" s="168">
        <f t="shared" si="8"/>
        <v>0</v>
      </c>
      <c r="CI49" s="168">
        <f t="shared" si="8"/>
        <v>0</v>
      </c>
      <c r="CJ49" s="168">
        <f t="shared" si="8"/>
        <v>0</v>
      </c>
      <c r="CK49" s="168">
        <f t="shared" si="8"/>
        <v>0</v>
      </c>
      <c r="CL49" s="168">
        <f t="shared" si="8"/>
        <v>0</v>
      </c>
      <c r="CM49" s="168">
        <f t="shared" si="8"/>
        <v>0</v>
      </c>
      <c r="CN49" s="168">
        <f t="shared" si="8"/>
        <v>0</v>
      </c>
      <c r="CO49" s="168">
        <f t="shared" si="8"/>
        <v>0</v>
      </c>
      <c r="CP49" s="168">
        <f t="shared" si="8"/>
        <v>0</v>
      </c>
      <c r="CQ49" s="168">
        <f t="shared" si="8"/>
        <v>0</v>
      </c>
      <c r="CR49" s="168">
        <f t="shared" si="8"/>
        <v>0</v>
      </c>
      <c r="CS49" s="168">
        <f t="shared" si="8"/>
        <v>0</v>
      </c>
      <c r="CT49" s="168">
        <f t="shared" si="8"/>
        <v>0</v>
      </c>
      <c r="CU49" s="168">
        <f t="shared" si="8"/>
        <v>0</v>
      </c>
      <c r="CV49" s="168">
        <f t="shared" si="8"/>
        <v>0</v>
      </c>
      <c r="CW49" s="168">
        <f t="shared" si="8"/>
        <v>0</v>
      </c>
      <c r="CX49" s="168">
        <f t="shared" si="8"/>
        <v>0</v>
      </c>
      <c r="CY49" s="168">
        <f t="shared" si="8"/>
        <v>0</v>
      </c>
      <c r="CZ49" s="168">
        <f t="shared" si="8"/>
        <v>0</v>
      </c>
      <c r="DA49" s="168">
        <f t="shared" si="8"/>
        <v>0</v>
      </c>
      <c r="DB49" s="168">
        <f t="shared" si="8"/>
        <v>0</v>
      </c>
      <c r="DC49" s="168">
        <f t="shared" si="8"/>
        <v>0</v>
      </c>
      <c r="DD49" s="168">
        <f t="shared" si="8"/>
        <v>0</v>
      </c>
      <c r="DE49" s="168">
        <f t="shared" si="8"/>
        <v>0</v>
      </c>
      <c r="DF49" s="168">
        <f t="shared" si="8"/>
        <v>0</v>
      </c>
      <c r="DG49" s="168">
        <f t="shared" si="8"/>
        <v>0</v>
      </c>
      <c r="DH49" s="168">
        <f t="shared" si="8"/>
        <v>0</v>
      </c>
      <c r="DI49" s="168">
        <f t="shared" si="8"/>
        <v>0</v>
      </c>
      <c r="DJ49" s="168">
        <f t="shared" si="8"/>
        <v>0</v>
      </c>
      <c r="DK49" s="168">
        <f t="shared" si="8"/>
        <v>0</v>
      </c>
      <c r="DL49" s="168">
        <f t="shared" si="8"/>
        <v>0</v>
      </c>
      <c r="DM49" s="168">
        <f t="shared" si="8"/>
        <v>0</v>
      </c>
      <c r="DN49" s="168">
        <f t="shared" si="8"/>
        <v>0</v>
      </c>
      <c r="DO49" s="168">
        <f t="shared" si="8"/>
        <v>0</v>
      </c>
      <c r="DP49" s="168">
        <f t="shared" si="8"/>
        <v>0</v>
      </c>
      <c r="DQ49" s="168">
        <f t="shared" si="8"/>
        <v>0</v>
      </c>
      <c r="DR49" s="168">
        <f t="shared" si="8"/>
        <v>0</v>
      </c>
      <c r="DS49" s="54"/>
    </row>
    <row r="50" ht="16.5" customHeight="1">
      <c r="A50" s="54"/>
      <c r="B50" s="54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  <c r="AA50" s="169"/>
      <c r="AB50" s="169"/>
      <c r="AC50" s="169"/>
      <c r="AD50" s="169"/>
      <c r="AE50" s="169"/>
      <c r="AF50" s="169"/>
      <c r="AG50" s="169"/>
      <c r="AH50" s="169"/>
      <c r="AI50" s="169"/>
      <c r="AJ50" s="169"/>
      <c r="AK50" s="169"/>
      <c r="AL50" s="169"/>
      <c r="AM50" s="169"/>
      <c r="AN50" s="169"/>
      <c r="AO50" s="169"/>
      <c r="AP50" s="169"/>
      <c r="AQ50" s="169"/>
      <c r="AR50" s="169"/>
      <c r="AS50" s="169"/>
      <c r="AT50" s="169"/>
      <c r="AU50" s="169"/>
      <c r="AV50" s="169"/>
      <c r="AW50" s="169"/>
      <c r="AX50" s="169"/>
      <c r="AY50" s="169"/>
      <c r="AZ50" s="169"/>
      <c r="BA50" s="169"/>
      <c r="BB50" s="169"/>
      <c r="BC50" s="169"/>
      <c r="BD50" s="169"/>
      <c r="BE50" s="169"/>
      <c r="BF50" s="169"/>
      <c r="BG50" s="169"/>
      <c r="BH50" s="169"/>
      <c r="BI50" s="169"/>
      <c r="BJ50" s="169"/>
      <c r="BK50" s="169"/>
      <c r="BL50" s="169"/>
      <c r="BM50" s="169"/>
      <c r="BN50" s="169"/>
      <c r="BO50" s="169"/>
      <c r="BP50" s="169"/>
      <c r="BQ50" s="169"/>
      <c r="BR50" s="169"/>
      <c r="BS50" s="169"/>
      <c r="BT50" s="169"/>
      <c r="BU50" s="169"/>
      <c r="BV50" s="169"/>
      <c r="BW50" s="169"/>
      <c r="BX50" s="169"/>
      <c r="BY50" s="169"/>
      <c r="BZ50" s="169"/>
      <c r="CA50" s="169"/>
      <c r="CB50" s="169"/>
      <c r="CC50" s="169"/>
      <c r="CD50" s="169"/>
      <c r="CE50" s="169"/>
      <c r="CF50" s="169"/>
      <c r="CG50" s="169"/>
      <c r="CH50" s="169"/>
      <c r="CI50" s="169"/>
      <c r="CJ50" s="169"/>
      <c r="CK50" s="169"/>
      <c r="CL50" s="169"/>
      <c r="CM50" s="169"/>
      <c r="CN50" s="169"/>
      <c r="CO50" s="169"/>
      <c r="CP50" s="169"/>
      <c r="CQ50" s="169"/>
      <c r="CR50" s="169"/>
      <c r="CS50" s="169"/>
      <c r="CT50" s="169"/>
      <c r="CU50" s="169"/>
      <c r="CV50" s="169"/>
      <c r="CW50" s="169"/>
      <c r="CX50" s="169"/>
      <c r="CY50" s="169"/>
      <c r="CZ50" s="169"/>
      <c r="DA50" s="169"/>
      <c r="DB50" s="169"/>
      <c r="DC50" s="169"/>
      <c r="DD50" s="169"/>
      <c r="DE50" s="169"/>
      <c r="DF50" s="169"/>
      <c r="DG50" s="169"/>
      <c r="DH50" s="169"/>
      <c r="DI50" s="169"/>
      <c r="DJ50" s="169"/>
      <c r="DK50" s="169"/>
      <c r="DL50" s="169"/>
      <c r="DM50" s="169"/>
      <c r="DN50" s="169"/>
      <c r="DO50" s="169"/>
      <c r="DP50" s="169"/>
      <c r="DQ50" s="169"/>
      <c r="DR50" s="169"/>
      <c r="DS50" s="54"/>
    </row>
    <row r="51" ht="16.5" customHeight="1">
      <c r="A51" s="54"/>
      <c r="B51" s="161" t="s">
        <v>317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  <c r="Y51" s="170"/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  <c r="BC51" s="170"/>
      <c r="BD51" s="170"/>
      <c r="BE51" s="170"/>
      <c r="BF51" s="170"/>
      <c r="BG51" s="170"/>
      <c r="BH51" s="170"/>
      <c r="BI51" s="170"/>
      <c r="BJ51" s="170"/>
      <c r="BK51" s="170"/>
      <c r="BL51" s="170"/>
      <c r="BM51" s="170"/>
      <c r="BN51" s="170"/>
      <c r="BO51" s="170"/>
      <c r="BP51" s="170"/>
      <c r="BQ51" s="170"/>
      <c r="BR51" s="170"/>
      <c r="BS51" s="170"/>
      <c r="BT51" s="170"/>
      <c r="BU51" s="170"/>
      <c r="BV51" s="170"/>
      <c r="BW51" s="170"/>
      <c r="BX51" s="170"/>
      <c r="BY51" s="170"/>
      <c r="BZ51" s="170"/>
      <c r="CA51" s="170"/>
      <c r="CB51" s="170"/>
      <c r="CC51" s="170"/>
      <c r="CD51" s="170"/>
      <c r="CE51" s="170"/>
      <c r="CF51" s="170"/>
      <c r="CG51" s="170"/>
      <c r="CH51" s="170"/>
      <c r="CI51" s="170"/>
      <c r="CJ51" s="170"/>
      <c r="CK51" s="170"/>
      <c r="CL51" s="170"/>
      <c r="CM51" s="170"/>
      <c r="CN51" s="170"/>
      <c r="CO51" s="170"/>
      <c r="CP51" s="170"/>
      <c r="CQ51" s="170"/>
      <c r="CR51" s="170"/>
      <c r="CS51" s="170"/>
      <c r="CT51" s="170"/>
      <c r="CU51" s="170"/>
      <c r="CV51" s="170"/>
      <c r="CW51" s="170"/>
      <c r="CX51" s="170"/>
      <c r="CY51" s="170"/>
      <c r="CZ51" s="170"/>
      <c r="DA51" s="170"/>
      <c r="DB51" s="170"/>
      <c r="DC51" s="170"/>
      <c r="DD51" s="170"/>
      <c r="DE51" s="170"/>
      <c r="DF51" s="170"/>
      <c r="DG51" s="170"/>
      <c r="DH51" s="170"/>
      <c r="DI51" s="170"/>
      <c r="DJ51" s="170"/>
      <c r="DK51" s="170"/>
      <c r="DL51" s="170"/>
      <c r="DM51" s="170"/>
      <c r="DN51" s="170"/>
      <c r="DO51" s="170"/>
      <c r="DP51" s="170"/>
      <c r="DQ51" s="170"/>
      <c r="DR51" s="170"/>
      <c r="DS51" s="54"/>
    </row>
    <row r="52" ht="16.5" customHeight="1">
      <c r="A52" s="54"/>
      <c r="B52" s="104" t="s">
        <v>318</v>
      </c>
      <c r="C52" s="171">
        <f>IF(C$3=Inputs!$C$15*12,Inputs!$C$118,0)</f>
        <v>0</v>
      </c>
      <c r="D52" s="171">
        <f>IF(D$3=Inputs!$C$15*12,Inputs!$C$118,0)</f>
        <v>0</v>
      </c>
      <c r="E52" s="171">
        <f>IF(E$3=Inputs!$C$15*12,Inputs!$C$118,0)</f>
        <v>0</v>
      </c>
      <c r="F52" s="171">
        <f>IF(F$3=Inputs!$C$15*12,Inputs!$C$118,0)</f>
        <v>0</v>
      </c>
      <c r="G52" s="171">
        <f>IF(G$3=Inputs!$C$15*12,Inputs!$C$118,0)</f>
        <v>0</v>
      </c>
      <c r="H52" s="171">
        <f>IF(H$3=Inputs!$C$15*12,Inputs!$C$118,0)</f>
        <v>0</v>
      </c>
      <c r="I52" s="171">
        <f>IF(I$3=Inputs!$C$15*12,Inputs!$C$118,0)</f>
        <v>0</v>
      </c>
      <c r="J52" s="171">
        <f>IF(J$3=Inputs!$C$15*12,Inputs!$C$118,0)</f>
        <v>0</v>
      </c>
      <c r="K52" s="171">
        <f>IF(K$3=Inputs!$C$15*12,Inputs!$C$118,0)</f>
        <v>0</v>
      </c>
      <c r="L52" s="171">
        <f>IF(L$3=Inputs!$C$15*12,Inputs!$C$118,0)</f>
        <v>0</v>
      </c>
      <c r="M52" s="171">
        <f>IF(M$3=Inputs!$C$15*12,Inputs!$C$118,0)</f>
        <v>0</v>
      </c>
      <c r="N52" s="171">
        <f>IF(N$3=Inputs!$C$15*12,Inputs!$C$118,0)</f>
        <v>0</v>
      </c>
      <c r="O52" s="171">
        <f>IF(O$3=Inputs!$C$15*12,Inputs!$C$118,0)</f>
        <v>0</v>
      </c>
      <c r="P52" s="171">
        <f>IF(P$3=Inputs!$C$15*12,Inputs!$C$118,0)</f>
        <v>0</v>
      </c>
      <c r="Q52" s="171">
        <f>IF(Q$3=Inputs!$C$15*12,Inputs!$C$118,0)</f>
        <v>0</v>
      </c>
      <c r="R52" s="171">
        <f>IF(R$3=Inputs!$C$15*12,Inputs!$C$118,0)</f>
        <v>0</v>
      </c>
      <c r="S52" s="171">
        <f>IF(S$3=Inputs!$C$15*12,Inputs!$C$118,0)</f>
        <v>0</v>
      </c>
      <c r="T52" s="171">
        <f>IF(T$3=Inputs!$C$15*12,Inputs!$C$118,0)</f>
        <v>0</v>
      </c>
      <c r="U52" s="171">
        <f>IF(U$3=Inputs!$C$15*12,Inputs!$C$118,0)</f>
        <v>0</v>
      </c>
      <c r="V52" s="171">
        <f>IF(V$3=Inputs!$C$15*12,Inputs!$C$118,0)</f>
        <v>0</v>
      </c>
      <c r="W52" s="171">
        <f>IF(W$3=Inputs!$C$15*12,Inputs!$C$118,0)</f>
        <v>0</v>
      </c>
      <c r="X52" s="171">
        <f>IF(X$3=Inputs!$C$15*12,Inputs!$C$118,0)</f>
        <v>0</v>
      </c>
      <c r="Y52" s="171">
        <f>IF(Y$3=Inputs!$C$15*12,Inputs!$C$118,0)</f>
        <v>0</v>
      </c>
      <c r="Z52" s="171">
        <f>IF(Z$3=Inputs!$C$15*12,Inputs!$C$118,0)</f>
        <v>0</v>
      </c>
      <c r="AA52" s="171">
        <f>IF(AA$3=Inputs!$C$15*12,Inputs!$C$118,0)</f>
        <v>0</v>
      </c>
      <c r="AB52" s="171">
        <f>IF(AB$3=Inputs!$C$15*12,Inputs!$C$118,0)</f>
        <v>0</v>
      </c>
      <c r="AC52" s="171">
        <f>IF(AC$3=Inputs!$C$15*12,Inputs!$C$118,0)</f>
        <v>0</v>
      </c>
      <c r="AD52" s="171">
        <f>IF(AD$3=Inputs!$C$15*12,Inputs!$C$118,0)</f>
        <v>0</v>
      </c>
      <c r="AE52" s="171">
        <f>IF(AE$3=Inputs!$C$15*12,Inputs!$C$118,0)</f>
        <v>0</v>
      </c>
      <c r="AF52" s="171">
        <f>IF(AF$3=Inputs!$C$15*12,Inputs!$C$118,0)</f>
        <v>0</v>
      </c>
      <c r="AG52" s="171">
        <f>IF(AG$3=Inputs!$C$15*12,Inputs!$C$118,0)</f>
        <v>0</v>
      </c>
      <c r="AH52" s="171">
        <f>IF(AH$3=Inputs!$C$15*12,Inputs!$C$118,0)</f>
        <v>0</v>
      </c>
      <c r="AI52" s="171">
        <f>IF(AI$3=Inputs!$C$15*12,Inputs!$C$118,0)</f>
        <v>0</v>
      </c>
      <c r="AJ52" s="171">
        <f>IF(AJ$3=Inputs!$C$15*12,Inputs!$C$118,0)</f>
        <v>0</v>
      </c>
      <c r="AK52" s="171">
        <f>IF(AK$3=Inputs!$C$15*12,Inputs!$C$118,0)</f>
        <v>0</v>
      </c>
      <c r="AL52" s="171">
        <f>IF(AL$3=Inputs!$C$15*12,Inputs!$C$118,0)</f>
        <v>0</v>
      </c>
      <c r="AM52" s="171">
        <f>IF(AM$3=Inputs!$C$15*12,Inputs!$C$118,0)</f>
        <v>0</v>
      </c>
      <c r="AN52" s="171">
        <f>IF(AN$3=Inputs!$C$15*12,Inputs!$C$118,0)</f>
        <v>0</v>
      </c>
      <c r="AO52" s="171">
        <f>IF(AO$3=Inputs!$C$15*12,Inputs!$C$118,0)</f>
        <v>0</v>
      </c>
      <c r="AP52" s="171">
        <f>IF(AP$3=Inputs!$C$15*12,Inputs!$C$118,0)</f>
        <v>0</v>
      </c>
      <c r="AQ52" s="171">
        <f>IF(AQ$3=Inputs!$C$15*12,Inputs!$C$118,0)</f>
        <v>0</v>
      </c>
      <c r="AR52" s="171">
        <f>IF(AR$3=Inputs!$C$15*12,Inputs!$C$118,0)</f>
        <v>0</v>
      </c>
      <c r="AS52" s="171">
        <f>IF(AS$3=Inputs!$C$15*12,Inputs!$C$118,0)</f>
        <v>0</v>
      </c>
      <c r="AT52" s="171">
        <f>IF(AT$3=Inputs!$C$15*12,Inputs!$C$118,0)</f>
        <v>0</v>
      </c>
      <c r="AU52" s="171">
        <f>IF(AU$3=Inputs!$C$15*12,Inputs!$C$118,0)</f>
        <v>0</v>
      </c>
      <c r="AV52" s="171">
        <f>IF(AV$3=Inputs!$C$15*12,Inputs!$C$118,0)</f>
        <v>0</v>
      </c>
      <c r="AW52" s="171">
        <f>IF(AW$3=Inputs!$C$15*12,Inputs!$C$118,0)</f>
        <v>0</v>
      </c>
      <c r="AX52" s="171">
        <f>IF(AX$3=Inputs!$C$15*12,Inputs!$C$118,0)</f>
        <v>0</v>
      </c>
      <c r="AY52" s="171">
        <f>IF(AY$3=Inputs!$C$15*12,Inputs!$C$118,0)</f>
        <v>0</v>
      </c>
      <c r="AZ52" s="171">
        <f>IF(AZ$3=Inputs!$C$15*12,Inputs!$C$118,0)</f>
        <v>0</v>
      </c>
      <c r="BA52" s="171">
        <f>IF(BA$3=Inputs!$C$15*12,Inputs!$C$118,0)</f>
        <v>0</v>
      </c>
      <c r="BB52" s="171">
        <f>IF(BB$3=Inputs!$C$15*12,Inputs!$C$118,0)</f>
        <v>0</v>
      </c>
      <c r="BC52" s="171">
        <f>IF(BC$3=Inputs!$C$15*12,Inputs!$C$118,0)</f>
        <v>0</v>
      </c>
      <c r="BD52" s="171">
        <f>IF(BD$3=Inputs!$C$15*12,Inputs!$C$118,0)</f>
        <v>0</v>
      </c>
      <c r="BE52" s="171">
        <f>IF(BE$3=Inputs!$C$15*12,Inputs!$C$118,0)</f>
        <v>0</v>
      </c>
      <c r="BF52" s="171">
        <f>IF(BF$3=Inputs!$C$15*12,Inputs!$C$118,0)</f>
        <v>0</v>
      </c>
      <c r="BG52" s="171">
        <f>IF(BG$3=Inputs!$C$15*12,Inputs!$C$118,0)</f>
        <v>0</v>
      </c>
      <c r="BH52" s="171">
        <f>IF(BH$3=Inputs!$C$15*12,Inputs!$C$118,0)</f>
        <v>0</v>
      </c>
      <c r="BI52" s="171">
        <f>IF(BI$3=Inputs!$C$15*12,Inputs!$C$118,0)</f>
        <v>0</v>
      </c>
      <c r="BJ52" s="171">
        <f>IF(BJ$3=Inputs!$C$15*12,Inputs!$C$118,0)</f>
        <v>0</v>
      </c>
      <c r="BK52" s="171">
        <f>IF(BK$3=Inputs!$C$15*12,Inputs!$C$118,0)</f>
        <v>0</v>
      </c>
      <c r="BL52" s="171">
        <f>IF(BL$3=Inputs!$C$15*12,Inputs!$C$118,0)</f>
        <v>0</v>
      </c>
      <c r="BM52" s="171">
        <f>IF(BM$3=Inputs!$C$15*12,Inputs!$C$118,0)</f>
        <v>0</v>
      </c>
      <c r="BN52" s="171">
        <f>IF(BN$3=Inputs!$C$15*12,Inputs!$C$118,0)</f>
        <v>0</v>
      </c>
      <c r="BO52" s="171">
        <f>IF(BO$3=Inputs!$C$15*12,Inputs!$C$118,0)</f>
        <v>0</v>
      </c>
      <c r="BP52" s="171">
        <f>IF(BP$3=Inputs!$C$15*12,Inputs!$C$118,0)</f>
        <v>0</v>
      </c>
      <c r="BQ52" s="171">
        <f>IF(BQ$3=Inputs!$C$15*12,Inputs!$C$118,0)</f>
        <v>0</v>
      </c>
      <c r="BR52" s="171">
        <f>IF(BR$3=Inputs!$C$15*12,Inputs!$C$118,0)</f>
        <v>0</v>
      </c>
      <c r="BS52" s="171">
        <f>IF(BS$3=Inputs!$C$15*12,Inputs!$C$118,0)</f>
        <v>0</v>
      </c>
      <c r="BT52" s="171">
        <f>IF(BT$3=Inputs!$C$15*12,Inputs!$C$118,0)</f>
        <v>0</v>
      </c>
      <c r="BU52" s="171">
        <f>IF(BU$3=Inputs!$C$15*12,Inputs!$C$118,0)</f>
        <v>0</v>
      </c>
      <c r="BV52" s="171">
        <f>IF(BV$3=Inputs!$C$15*12,Inputs!$C$118,0)</f>
        <v>0</v>
      </c>
      <c r="BW52" s="171">
        <f>IF(BW$3=Inputs!$C$15*12,Inputs!$C$118,0)</f>
        <v>0</v>
      </c>
      <c r="BX52" s="171">
        <f>IF(BX$3=Inputs!$C$15*12,Inputs!$C$118,0)</f>
        <v>0</v>
      </c>
      <c r="BY52" s="171">
        <f>IF(BY$3=Inputs!$C$15*12,Inputs!$C$118,0)</f>
        <v>0</v>
      </c>
      <c r="BZ52" s="171">
        <f>IF(BZ$3=Inputs!$C$15*12,Inputs!$C$118,0)</f>
        <v>0</v>
      </c>
      <c r="CA52" s="171">
        <f>IF(CA$3=Inputs!$C$15*12,Inputs!$C$118,0)</f>
        <v>0</v>
      </c>
      <c r="CB52" s="171">
        <f>IF(CB$3=Inputs!$C$15*12,Inputs!$C$118,0)</f>
        <v>0</v>
      </c>
      <c r="CC52" s="171">
        <f>IF(CC$3=Inputs!$C$15*12,Inputs!$C$118,0)</f>
        <v>0</v>
      </c>
      <c r="CD52" s="171">
        <f>IF(CD$3=Inputs!$C$15*12,Inputs!$C$118,0)</f>
        <v>0</v>
      </c>
      <c r="CE52" s="171">
        <f>IF(CE$3=Inputs!$C$15*12,Inputs!$C$118,0)</f>
        <v>0</v>
      </c>
      <c r="CF52" s="171">
        <f>IF(CF$3=Inputs!$C$15*12,Inputs!$C$118,0)</f>
        <v>0</v>
      </c>
      <c r="CG52" s="171">
        <f>IF(CG$3=Inputs!$C$15*12,Inputs!$C$118,0)</f>
        <v>0</v>
      </c>
      <c r="CH52" s="171">
        <f>IF(CH$3=Inputs!$C$15*12,Inputs!$C$118,0)</f>
        <v>0</v>
      </c>
      <c r="CI52" s="171">
        <f>IF(CI$3=Inputs!$C$15*12,Inputs!$C$118,0)</f>
        <v>0</v>
      </c>
      <c r="CJ52" s="171">
        <f>IF(CJ$3=Inputs!$C$15*12,Inputs!$C$118,0)</f>
        <v>0</v>
      </c>
      <c r="CK52" s="171">
        <f>IF(CK$3=Inputs!$C$15*12,Inputs!$C$118,0)</f>
        <v>0</v>
      </c>
      <c r="CL52" s="171">
        <f>IF(CL$3=Inputs!$C$15*12,Inputs!$C$118,0)</f>
        <v>0</v>
      </c>
      <c r="CM52" s="171">
        <f>IF(CM$3=Inputs!$C$15*12,Inputs!$C$118,0)</f>
        <v>0</v>
      </c>
      <c r="CN52" s="171">
        <f>IF(CN$3=Inputs!$C$15*12,Inputs!$C$118,0)</f>
        <v>0</v>
      </c>
      <c r="CO52" s="171">
        <f>IF(CO$3=Inputs!$C$15*12,Inputs!$C$118,0)</f>
        <v>0</v>
      </c>
      <c r="CP52" s="171">
        <f>IF(CP$3=Inputs!$C$15*12,Inputs!$C$118,0)</f>
        <v>0</v>
      </c>
      <c r="CQ52" s="171">
        <f>IF(CQ$3=Inputs!$C$15*12,Inputs!$C$118,0)</f>
        <v>0</v>
      </c>
      <c r="CR52" s="171">
        <f>IF(CR$3=Inputs!$C$15*12,Inputs!$C$118,0)</f>
        <v>0</v>
      </c>
      <c r="CS52" s="171">
        <f>IF(CS$3=Inputs!$C$15*12,Inputs!$C$118,0)</f>
        <v>0</v>
      </c>
      <c r="CT52" s="171">
        <f>IF(CT$3=Inputs!$C$15*12,Inputs!$C$118,0)</f>
        <v>0</v>
      </c>
      <c r="CU52" s="171">
        <f>IF(CU$3=Inputs!$C$15*12,Inputs!$C$118,0)</f>
        <v>0</v>
      </c>
      <c r="CV52" s="171">
        <f>IF(CV$3=Inputs!$C$15*12,Inputs!$C$118,0)</f>
        <v>0</v>
      </c>
      <c r="CW52" s="171">
        <f>IF(CW$3=Inputs!$C$15*12,Inputs!$C$118,0)</f>
        <v>0</v>
      </c>
      <c r="CX52" s="171">
        <f>IF(CX$3=Inputs!$C$15*12,Inputs!$C$118,0)</f>
        <v>0</v>
      </c>
      <c r="CY52" s="171">
        <f>IF(CY$3=Inputs!$C$15*12,Inputs!$C$118,0)</f>
        <v>0</v>
      </c>
      <c r="CZ52" s="171">
        <f>IF(CZ$3=Inputs!$C$15*12,Inputs!$C$118,0)</f>
        <v>0</v>
      </c>
      <c r="DA52" s="171">
        <f>IF(DA$3=Inputs!$C$15*12,Inputs!$C$118,0)</f>
        <v>0</v>
      </c>
      <c r="DB52" s="171">
        <f>IF(DB$3=Inputs!$C$15*12,Inputs!$C$118,0)</f>
        <v>0</v>
      </c>
      <c r="DC52" s="171">
        <f>IF(DC$3=Inputs!$C$15*12,Inputs!$C$118,0)</f>
        <v>0</v>
      </c>
      <c r="DD52" s="171">
        <f>IF(DD$3=Inputs!$C$15*12,Inputs!$C$118,0)</f>
        <v>0</v>
      </c>
      <c r="DE52" s="171">
        <f>IF(DE$3=Inputs!$C$15*12,Inputs!$C$118,0)</f>
        <v>0</v>
      </c>
      <c r="DF52" s="171">
        <f>IF(DF$3=Inputs!$C$15*12,Inputs!$C$118,0)</f>
        <v>0</v>
      </c>
      <c r="DG52" s="171">
        <f>IF(DG$3=Inputs!$C$15*12,Inputs!$C$118,0)</f>
        <v>0</v>
      </c>
      <c r="DH52" s="171">
        <f>IF(DH$3=Inputs!$C$15*12,Inputs!$C$118,0)</f>
        <v>0</v>
      </c>
      <c r="DI52" s="171">
        <f>IF(DI$3=Inputs!$C$15*12,Inputs!$C$118,0)</f>
        <v>0</v>
      </c>
      <c r="DJ52" s="171">
        <f>IF(DJ$3=Inputs!$C$15*12,Inputs!$C$118,0)</f>
        <v>0</v>
      </c>
      <c r="DK52" s="171">
        <f>IF(DK$3=Inputs!$C$15*12,Inputs!$C$118,0)</f>
        <v>0</v>
      </c>
      <c r="DL52" s="171">
        <f>IF(DL$3=Inputs!$C$15*12,Inputs!$C$118,0)</f>
        <v>0</v>
      </c>
      <c r="DM52" s="171">
        <f>IF(DM$3=Inputs!$C$15*12,Inputs!$C$118,0)</f>
        <v>0</v>
      </c>
      <c r="DN52" s="171">
        <f>IF(DN$3=Inputs!$C$15*12,Inputs!$C$118,0)</f>
        <v>0</v>
      </c>
      <c r="DO52" s="171">
        <f>IF(DO$3=Inputs!$C$15*12,Inputs!$C$118,0)</f>
        <v>0</v>
      </c>
      <c r="DP52" s="171">
        <f>IF(DP$3=Inputs!$C$15*12,Inputs!$C$118,0)</f>
        <v>0</v>
      </c>
      <c r="DQ52" s="171">
        <f>IF(DQ$3=Inputs!$C$15*12,Inputs!$C$118,0)</f>
        <v>0</v>
      </c>
      <c r="DR52" s="171">
        <f>IF(DR$3=Inputs!$C$15*12,Inputs!$C$118,0)</f>
        <v>0</v>
      </c>
      <c r="DS52" s="54"/>
    </row>
    <row r="53" ht="16.5" customHeight="1">
      <c r="A53" s="54"/>
      <c r="B53" s="104" t="s">
        <v>319</v>
      </c>
      <c r="C53" s="171">
        <f>IF(C$3=Inputs!$C$15*12,-Inputs!$C$119,0)</f>
        <v>0</v>
      </c>
      <c r="D53" s="171">
        <f>IF(D$3=Inputs!$C$15*12,-Inputs!$C$119,0)</f>
        <v>0</v>
      </c>
      <c r="E53" s="171">
        <f>IF(E$3=Inputs!$C$15*12,-Inputs!$C$119,0)</f>
        <v>0</v>
      </c>
      <c r="F53" s="171">
        <f>IF(F$3=Inputs!$C$15*12,-Inputs!$C$119,0)</f>
        <v>0</v>
      </c>
      <c r="G53" s="171">
        <f>IF(G$3=Inputs!$C$15*12,-Inputs!$C$119,0)</f>
        <v>0</v>
      </c>
      <c r="H53" s="171">
        <f>IF(H$3=Inputs!$C$15*12,-Inputs!$C$119,0)</f>
        <v>0</v>
      </c>
      <c r="I53" s="171">
        <f>IF(I$3=Inputs!$C$15*12,-Inputs!$C$119,0)</f>
        <v>0</v>
      </c>
      <c r="J53" s="171">
        <f>IF(J$3=Inputs!$C$15*12,-Inputs!$C$119,0)</f>
        <v>0</v>
      </c>
      <c r="K53" s="171">
        <f>IF(K$3=Inputs!$C$15*12,-Inputs!$C$119,0)</f>
        <v>0</v>
      </c>
      <c r="L53" s="171">
        <f>IF(L$3=Inputs!$C$15*12,-Inputs!$C$119,0)</f>
        <v>0</v>
      </c>
      <c r="M53" s="171">
        <f>IF(M$3=Inputs!$C$15*12,-Inputs!$C$119,0)</f>
        <v>0</v>
      </c>
      <c r="N53" s="171">
        <f>IF(N$3=Inputs!$C$15*12,-Inputs!$C$119,0)</f>
        <v>0</v>
      </c>
      <c r="O53" s="171">
        <f>IF(O$3=Inputs!$C$15*12,-Inputs!$C$119,0)</f>
        <v>0</v>
      </c>
      <c r="P53" s="171">
        <f>IF(P$3=Inputs!$C$15*12,-Inputs!$C$119,0)</f>
        <v>0</v>
      </c>
      <c r="Q53" s="171">
        <f>IF(Q$3=Inputs!$C$15*12,-Inputs!$C$119,0)</f>
        <v>0</v>
      </c>
      <c r="R53" s="171">
        <f>IF(R$3=Inputs!$C$15*12,-Inputs!$C$119,0)</f>
        <v>0</v>
      </c>
      <c r="S53" s="171">
        <f>IF(S$3=Inputs!$C$15*12,-Inputs!$C$119,0)</f>
        <v>0</v>
      </c>
      <c r="T53" s="171">
        <f>IF(T$3=Inputs!$C$15*12,-Inputs!$C$119,0)</f>
        <v>0</v>
      </c>
      <c r="U53" s="171">
        <f>IF(U$3=Inputs!$C$15*12,-Inputs!$C$119,0)</f>
        <v>0</v>
      </c>
      <c r="V53" s="171">
        <f>IF(V$3=Inputs!$C$15*12,-Inputs!$C$119,0)</f>
        <v>0</v>
      </c>
      <c r="W53" s="171">
        <f>IF(W$3=Inputs!$C$15*12,-Inputs!$C$119,0)</f>
        <v>0</v>
      </c>
      <c r="X53" s="171">
        <f>IF(X$3=Inputs!$C$15*12,-Inputs!$C$119,0)</f>
        <v>0</v>
      </c>
      <c r="Y53" s="171">
        <f>IF(Y$3=Inputs!$C$15*12,-Inputs!$C$119,0)</f>
        <v>0</v>
      </c>
      <c r="Z53" s="171">
        <f>IF(Z$3=Inputs!$C$15*12,-Inputs!$C$119,0)</f>
        <v>0</v>
      </c>
      <c r="AA53" s="171">
        <f>IF(AA$3=Inputs!$C$15*12,-Inputs!$C$119,0)</f>
        <v>0</v>
      </c>
      <c r="AB53" s="171">
        <f>IF(AB$3=Inputs!$C$15*12,-Inputs!$C$119,0)</f>
        <v>0</v>
      </c>
      <c r="AC53" s="171">
        <f>IF(AC$3=Inputs!$C$15*12,-Inputs!$C$119,0)</f>
        <v>0</v>
      </c>
      <c r="AD53" s="171">
        <f>IF(AD$3=Inputs!$C$15*12,-Inputs!$C$119,0)</f>
        <v>0</v>
      </c>
      <c r="AE53" s="171">
        <f>IF(AE$3=Inputs!$C$15*12,-Inputs!$C$119,0)</f>
        <v>0</v>
      </c>
      <c r="AF53" s="171">
        <f>IF(AF$3=Inputs!$C$15*12,-Inputs!$C$119,0)</f>
        <v>0</v>
      </c>
      <c r="AG53" s="171">
        <f>IF(AG$3=Inputs!$C$15*12,-Inputs!$C$119,0)</f>
        <v>0</v>
      </c>
      <c r="AH53" s="171">
        <f>IF(AH$3=Inputs!$C$15*12,-Inputs!$C$119,0)</f>
        <v>0</v>
      </c>
      <c r="AI53" s="171">
        <f>IF(AI$3=Inputs!$C$15*12,-Inputs!$C$119,0)</f>
        <v>0</v>
      </c>
      <c r="AJ53" s="171">
        <f>IF(AJ$3=Inputs!$C$15*12,-Inputs!$C$119,0)</f>
        <v>0</v>
      </c>
      <c r="AK53" s="171">
        <f>IF(AK$3=Inputs!$C$15*12,-Inputs!$C$119,0)</f>
        <v>0</v>
      </c>
      <c r="AL53" s="171">
        <f>IF(AL$3=Inputs!$C$15*12,-Inputs!$C$119,0)</f>
        <v>0</v>
      </c>
      <c r="AM53" s="171">
        <f>IF(AM$3=Inputs!$C$15*12,-Inputs!$C$119,0)</f>
        <v>0</v>
      </c>
      <c r="AN53" s="171">
        <f>IF(AN$3=Inputs!$C$15*12,-Inputs!$C$119,0)</f>
        <v>0</v>
      </c>
      <c r="AO53" s="171">
        <f>IF(AO$3=Inputs!$C$15*12,-Inputs!$C$119,0)</f>
        <v>0</v>
      </c>
      <c r="AP53" s="171">
        <f>IF(AP$3=Inputs!$C$15*12,-Inputs!$C$119,0)</f>
        <v>0</v>
      </c>
      <c r="AQ53" s="171">
        <f>IF(AQ$3=Inputs!$C$15*12,-Inputs!$C$119,0)</f>
        <v>0</v>
      </c>
      <c r="AR53" s="171">
        <f>IF(AR$3=Inputs!$C$15*12,-Inputs!$C$119,0)</f>
        <v>0</v>
      </c>
      <c r="AS53" s="171">
        <f>IF(AS$3=Inputs!$C$15*12,-Inputs!$C$119,0)</f>
        <v>0</v>
      </c>
      <c r="AT53" s="171">
        <f>IF(AT$3=Inputs!$C$15*12,-Inputs!$C$119,0)</f>
        <v>0</v>
      </c>
      <c r="AU53" s="171">
        <f>IF(AU$3=Inputs!$C$15*12,-Inputs!$C$119,0)</f>
        <v>0</v>
      </c>
      <c r="AV53" s="171">
        <f>IF(AV$3=Inputs!$C$15*12,-Inputs!$C$119,0)</f>
        <v>0</v>
      </c>
      <c r="AW53" s="171">
        <f>IF(AW$3=Inputs!$C$15*12,-Inputs!$C$119,0)</f>
        <v>0</v>
      </c>
      <c r="AX53" s="171">
        <f>IF(AX$3=Inputs!$C$15*12,-Inputs!$C$119,0)</f>
        <v>0</v>
      </c>
      <c r="AY53" s="171">
        <f>IF(AY$3=Inputs!$C$15*12,-Inputs!$C$119,0)</f>
        <v>0</v>
      </c>
      <c r="AZ53" s="171">
        <f>IF(AZ$3=Inputs!$C$15*12,-Inputs!$C$119,0)</f>
        <v>0</v>
      </c>
      <c r="BA53" s="171">
        <f>IF(BA$3=Inputs!$C$15*12,-Inputs!$C$119,0)</f>
        <v>0</v>
      </c>
      <c r="BB53" s="171">
        <f>IF(BB$3=Inputs!$C$15*12,-Inputs!$C$119,0)</f>
        <v>0</v>
      </c>
      <c r="BC53" s="171">
        <f>IF(BC$3=Inputs!$C$15*12,-Inputs!$C$119,0)</f>
        <v>0</v>
      </c>
      <c r="BD53" s="171">
        <f>IF(BD$3=Inputs!$C$15*12,-Inputs!$C$119,0)</f>
        <v>0</v>
      </c>
      <c r="BE53" s="171">
        <f>IF(BE$3=Inputs!$C$15*12,-Inputs!$C$119,0)</f>
        <v>0</v>
      </c>
      <c r="BF53" s="171">
        <f>IF(BF$3=Inputs!$C$15*12,-Inputs!$C$119,0)</f>
        <v>0</v>
      </c>
      <c r="BG53" s="171">
        <f>IF(BG$3=Inputs!$C$15*12,-Inputs!$C$119,0)</f>
        <v>0</v>
      </c>
      <c r="BH53" s="171">
        <f>IF(BH$3=Inputs!$C$15*12,-Inputs!$C$119,0)</f>
        <v>0</v>
      </c>
      <c r="BI53" s="171">
        <f>IF(BI$3=Inputs!$C$15*12,-Inputs!$C$119,0)</f>
        <v>0</v>
      </c>
      <c r="BJ53" s="171">
        <f>IF(BJ$3=Inputs!$C$15*12,-Inputs!$C$119,0)</f>
        <v>0</v>
      </c>
      <c r="BK53" s="171">
        <f>IF(BK$3=Inputs!$C$15*12,-Inputs!$C$119,0)</f>
        <v>0</v>
      </c>
      <c r="BL53" s="171">
        <f>IF(BL$3=Inputs!$C$15*12,-Inputs!$C$119,0)</f>
        <v>0</v>
      </c>
      <c r="BM53" s="171">
        <f>IF(BM$3=Inputs!$C$15*12,-Inputs!$C$119,0)</f>
        <v>0</v>
      </c>
      <c r="BN53" s="171">
        <f>IF(BN$3=Inputs!$C$15*12,-Inputs!$C$119,0)</f>
        <v>0</v>
      </c>
      <c r="BO53" s="171">
        <f>IF(BO$3=Inputs!$C$15*12,-Inputs!$C$119,0)</f>
        <v>0</v>
      </c>
      <c r="BP53" s="171">
        <f>IF(BP$3=Inputs!$C$15*12,-Inputs!$C$119,0)</f>
        <v>0</v>
      </c>
      <c r="BQ53" s="171">
        <f>IF(BQ$3=Inputs!$C$15*12,-Inputs!$C$119,0)</f>
        <v>0</v>
      </c>
      <c r="BR53" s="171">
        <f>IF(BR$3=Inputs!$C$15*12,-Inputs!$C$119,0)</f>
        <v>0</v>
      </c>
      <c r="BS53" s="171">
        <f>IF(BS$3=Inputs!$C$15*12,-Inputs!$C$119,0)</f>
        <v>0</v>
      </c>
      <c r="BT53" s="171">
        <f>IF(BT$3=Inputs!$C$15*12,-Inputs!$C$119,0)</f>
        <v>0</v>
      </c>
      <c r="BU53" s="171">
        <f>IF(BU$3=Inputs!$C$15*12,-Inputs!$C$119,0)</f>
        <v>0</v>
      </c>
      <c r="BV53" s="171">
        <f>IF(BV$3=Inputs!$C$15*12,-Inputs!$C$119,0)</f>
        <v>0</v>
      </c>
      <c r="BW53" s="171">
        <f>IF(BW$3=Inputs!$C$15*12,-Inputs!$C$119,0)</f>
        <v>0</v>
      </c>
      <c r="BX53" s="171">
        <f>IF(BX$3=Inputs!$C$15*12,-Inputs!$C$119,0)</f>
        <v>0</v>
      </c>
      <c r="BY53" s="171">
        <f>IF(BY$3=Inputs!$C$15*12,-Inputs!$C$119,0)</f>
        <v>0</v>
      </c>
      <c r="BZ53" s="171">
        <f>IF(BZ$3=Inputs!$C$15*12,-Inputs!$C$119,0)</f>
        <v>0</v>
      </c>
      <c r="CA53" s="171">
        <f>IF(CA$3=Inputs!$C$15*12,-Inputs!$C$119,0)</f>
        <v>0</v>
      </c>
      <c r="CB53" s="171">
        <f>IF(CB$3=Inputs!$C$15*12,-Inputs!$C$119,0)</f>
        <v>0</v>
      </c>
      <c r="CC53" s="171">
        <f>IF(CC$3=Inputs!$C$15*12,-Inputs!$C$119,0)</f>
        <v>0</v>
      </c>
      <c r="CD53" s="171">
        <f>IF(CD$3=Inputs!$C$15*12,-Inputs!$C$119,0)</f>
        <v>0</v>
      </c>
      <c r="CE53" s="171">
        <f>IF(CE$3=Inputs!$C$15*12,-Inputs!$C$119,0)</f>
        <v>0</v>
      </c>
      <c r="CF53" s="171">
        <f>IF(CF$3=Inputs!$C$15*12,-Inputs!$C$119,0)</f>
        <v>0</v>
      </c>
      <c r="CG53" s="171">
        <f>IF(CG$3=Inputs!$C$15*12,-Inputs!$C$119,0)</f>
        <v>0</v>
      </c>
      <c r="CH53" s="171">
        <f>IF(CH$3=Inputs!$C$15*12,-Inputs!$C$119,0)</f>
        <v>0</v>
      </c>
      <c r="CI53" s="171">
        <f>IF(CI$3=Inputs!$C$15*12,-Inputs!$C$119,0)</f>
        <v>0</v>
      </c>
      <c r="CJ53" s="171">
        <f>IF(CJ$3=Inputs!$C$15*12,-Inputs!$C$119,0)</f>
        <v>0</v>
      </c>
      <c r="CK53" s="171">
        <f>IF(CK$3=Inputs!$C$15*12,-Inputs!$C$119,0)</f>
        <v>0</v>
      </c>
      <c r="CL53" s="171">
        <f>IF(CL$3=Inputs!$C$15*12,-Inputs!$C$119,0)</f>
        <v>0</v>
      </c>
      <c r="CM53" s="171">
        <f>IF(CM$3=Inputs!$C$15*12,-Inputs!$C$119,0)</f>
        <v>0</v>
      </c>
      <c r="CN53" s="171">
        <f>IF(CN$3=Inputs!$C$15*12,-Inputs!$C$119,0)</f>
        <v>0</v>
      </c>
      <c r="CO53" s="171">
        <f>IF(CO$3=Inputs!$C$15*12,-Inputs!$C$119,0)</f>
        <v>0</v>
      </c>
      <c r="CP53" s="171">
        <f>IF(CP$3=Inputs!$C$15*12,-Inputs!$C$119,0)</f>
        <v>0</v>
      </c>
      <c r="CQ53" s="171">
        <f>IF(CQ$3=Inputs!$C$15*12,-Inputs!$C$119,0)</f>
        <v>0</v>
      </c>
      <c r="CR53" s="171">
        <f>IF(CR$3=Inputs!$C$15*12,-Inputs!$C$119,0)</f>
        <v>0</v>
      </c>
      <c r="CS53" s="171">
        <f>IF(CS$3=Inputs!$C$15*12,-Inputs!$C$119,0)</f>
        <v>0</v>
      </c>
      <c r="CT53" s="171">
        <f>IF(CT$3=Inputs!$C$15*12,-Inputs!$C$119,0)</f>
        <v>0</v>
      </c>
      <c r="CU53" s="171">
        <f>IF(CU$3=Inputs!$C$15*12,-Inputs!$C$119,0)</f>
        <v>0</v>
      </c>
      <c r="CV53" s="171">
        <f>IF(CV$3=Inputs!$C$15*12,-Inputs!$C$119,0)</f>
        <v>0</v>
      </c>
      <c r="CW53" s="171">
        <f>IF(CW$3=Inputs!$C$15*12,-Inputs!$C$119,0)</f>
        <v>0</v>
      </c>
      <c r="CX53" s="171">
        <f>IF(CX$3=Inputs!$C$15*12,-Inputs!$C$119,0)</f>
        <v>0</v>
      </c>
      <c r="CY53" s="171">
        <f>IF(CY$3=Inputs!$C$15*12,-Inputs!$C$119,0)</f>
        <v>0</v>
      </c>
      <c r="CZ53" s="171">
        <f>IF(CZ$3=Inputs!$C$15*12,-Inputs!$C$119,0)</f>
        <v>0</v>
      </c>
      <c r="DA53" s="171">
        <f>IF(DA$3=Inputs!$C$15*12,-Inputs!$C$119,0)</f>
        <v>0</v>
      </c>
      <c r="DB53" s="171">
        <f>IF(DB$3=Inputs!$C$15*12,-Inputs!$C$119,0)</f>
        <v>0</v>
      </c>
      <c r="DC53" s="171">
        <f>IF(DC$3=Inputs!$C$15*12,-Inputs!$C$119,0)</f>
        <v>0</v>
      </c>
      <c r="DD53" s="171">
        <f>IF(DD$3=Inputs!$C$15*12,-Inputs!$C$119,0)</f>
        <v>0</v>
      </c>
      <c r="DE53" s="171">
        <f>IF(DE$3=Inputs!$C$15*12,-Inputs!$C$119,0)</f>
        <v>0</v>
      </c>
      <c r="DF53" s="171">
        <f>IF(DF$3=Inputs!$C$15*12,-Inputs!$C$119,0)</f>
        <v>0</v>
      </c>
      <c r="DG53" s="171">
        <f>IF(DG$3=Inputs!$C$15*12,-Inputs!$C$119,0)</f>
        <v>0</v>
      </c>
      <c r="DH53" s="171">
        <f>IF(DH$3=Inputs!$C$15*12,-Inputs!$C$119,0)</f>
        <v>0</v>
      </c>
      <c r="DI53" s="171">
        <f>IF(DI$3=Inputs!$C$15*12,-Inputs!$C$119,0)</f>
        <v>0</v>
      </c>
      <c r="DJ53" s="171">
        <f>IF(DJ$3=Inputs!$C$15*12,-Inputs!$C$119,0)</f>
        <v>0</v>
      </c>
      <c r="DK53" s="171">
        <f>IF(DK$3=Inputs!$C$15*12,-Inputs!$C$119,0)</f>
        <v>0</v>
      </c>
      <c r="DL53" s="171">
        <f>IF(DL$3=Inputs!$C$15*12,-Inputs!$C$119,0)</f>
        <v>0</v>
      </c>
      <c r="DM53" s="171">
        <f>IF(DM$3=Inputs!$C$15*12,-Inputs!$C$119,0)</f>
        <v>0</v>
      </c>
      <c r="DN53" s="171">
        <f>IF(DN$3=Inputs!$C$15*12,-Inputs!$C$119,0)</f>
        <v>0</v>
      </c>
      <c r="DO53" s="171">
        <f>IF(DO$3=Inputs!$C$15*12,-Inputs!$C$119,0)</f>
        <v>0</v>
      </c>
      <c r="DP53" s="171">
        <f>IF(DP$3=Inputs!$C$15*12,-Inputs!$C$119,0)</f>
        <v>0</v>
      </c>
      <c r="DQ53" s="171">
        <f>IF(DQ$3=Inputs!$C$15*12,-Inputs!$C$119,0)</f>
        <v>0</v>
      </c>
      <c r="DR53" s="171">
        <f>IF(DR$3=Inputs!$C$15*12,-Inputs!$C$119,0)</f>
        <v>0</v>
      </c>
      <c r="DS53" s="54"/>
    </row>
    <row r="54" ht="16.5" customHeight="1">
      <c r="A54" s="54"/>
      <c r="B54" s="116" t="s">
        <v>320</v>
      </c>
      <c r="C54" s="172">
        <f t="shared" ref="C54:DR54" si="9">C52+C53</f>
        <v>0</v>
      </c>
      <c r="D54" s="172">
        <f t="shared" si="9"/>
        <v>0</v>
      </c>
      <c r="E54" s="172">
        <f t="shared" si="9"/>
        <v>0</v>
      </c>
      <c r="F54" s="172">
        <f t="shared" si="9"/>
        <v>0</v>
      </c>
      <c r="G54" s="172">
        <f t="shared" si="9"/>
        <v>0</v>
      </c>
      <c r="H54" s="172">
        <f t="shared" si="9"/>
        <v>0</v>
      </c>
      <c r="I54" s="172">
        <f t="shared" si="9"/>
        <v>0</v>
      </c>
      <c r="J54" s="172">
        <f t="shared" si="9"/>
        <v>0</v>
      </c>
      <c r="K54" s="172">
        <f t="shared" si="9"/>
        <v>0</v>
      </c>
      <c r="L54" s="172">
        <f t="shared" si="9"/>
        <v>0</v>
      </c>
      <c r="M54" s="172">
        <f t="shared" si="9"/>
        <v>0</v>
      </c>
      <c r="N54" s="172">
        <f t="shared" si="9"/>
        <v>0</v>
      </c>
      <c r="O54" s="172">
        <f t="shared" si="9"/>
        <v>0</v>
      </c>
      <c r="P54" s="172">
        <f t="shared" si="9"/>
        <v>0</v>
      </c>
      <c r="Q54" s="172">
        <f t="shared" si="9"/>
        <v>0</v>
      </c>
      <c r="R54" s="172">
        <f t="shared" si="9"/>
        <v>0</v>
      </c>
      <c r="S54" s="172">
        <f t="shared" si="9"/>
        <v>0</v>
      </c>
      <c r="T54" s="172">
        <f t="shared" si="9"/>
        <v>0</v>
      </c>
      <c r="U54" s="172">
        <f t="shared" si="9"/>
        <v>0</v>
      </c>
      <c r="V54" s="172">
        <f t="shared" si="9"/>
        <v>0</v>
      </c>
      <c r="W54" s="172">
        <f t="shared" si="9"/>
        <v>0</v>
      </c>
      <c r="X54" s="172">
        <f t="shared" si="9"/>
        <v>0</v>
      </c>
      <c r="Y54" s="172">
        <f t="shared" si="9"/>
        <v>0</v>
      </c>
      <c r="Z54" s="172">
        <f t="shared" si="9"/>
        <v>0</v>
      </c>
      <c r="AA54" s="172">
        <f t="shared" si="9"/>
        <v>0</v>
      </c>
      <c r="AB54" s="172">
        <f t="shared" si="9"/>
        <v>0</v>
      </c>
      <c r="AC54" s="172">
        <f t="shared" si="9"/>
        <v>0</v>
      </c>
      <c r="AD54" s="172">
        <f t="shared" si="9"/>
        <v>0</v>
      </c>
      <c r="AE54" s="172">
        <f t="shared" si="9"/>
        <v>0</v>
      </c>
      <c r="AF54" s="172">
        <f t="shared" si="9"/>
        <v>0</v>
      </c>
      <c r="AG54" s="172">
        <f t="shared" si="9"/>
        <v>0</v>
      </c>
      <c r="AH54" s="172">
        <f t="shared" si="9"/>
        <v>0</v>
      </c>
      <c r="AI54" s="172">
        <f t="shared" si="9"/>
        <v>0</v>
      </c>
      <c r="AJ54" s="172">
        <f t="shared" si="9"/>
        <v>0</v>
      </c>
      <c r="AK54" s="172">
        <f t="shared" si="9"/>
        <v>0</v>
      </c>
      <c r="AL54" s="172">
        <f t="shared" si="9"/>
        <v>0</v>
      </c>
      <c r="AM54" s="172">
        <f t="shared" si="9"/>
        <v>0</v>
      </c>
      <c r="AN54" s="172">
        <f t="shared" si="9"/>
        <v>0</v>
      </c>
      <c r="AO54" s="172">
        <f t="shared" si="9"/>
        <v>0</v>
      </c>
      <c r="AP54" s="172">
        <f t="shared" si="9"/>
        <v>0</v>
      </c>
      <c r="AQ54" s="172">
        <f t="shared" si="9"/>
        <v>0</v>
      </c>
      <c r="AR54" s="172">
        <f t="shared" si="9"/>
        <v>0</v>
      </c>
      <c r="AS54" s="172">
        <f t="shared" si="9"/>
        <v>0</v>
      </c>
      <c r="AT54" s="172">
        <f t="shared" si="9"/>
        <v>0</v>
      </c>
      <c r="AU54" s="172">
        <f t="shared" si="9"/>
        <v>0</v>
      </c>
      <c r="AV54" s="172">
        <f t="shared" si="9"/>
        <v>0</v>
      </c>
      <c r="AW54" s="172">
        <f t="shared" si="9"/>
        <v>0</v>
      </c>
      <c r="AX54" s="172">
        <f t="shared" si="9"/>
        <v>0</v>
      </c>
      <c r="AY54" s="172">
        <f t="shared" si="9"/>
        <v>0</v>
      </c>
      <c r="AZ54" s="172">
        <f t="shared" si="9"/>
        <v>0</v>
      </c>
      <c r="BA54" s="172">
        <f t="shared" si="9"/>
        <v>0</v>
      </c>
      <c r="BB54" s="172">
        <f t="shared" si="9"/>
        <v>0</v>
      </c>
      <c r="BC54" s="172">
        <f t="shared" si="9"/>
        <v>0</v>
      </c>
      <c r="BD54" s="172">
        <f t="shared" si="9"/>
        <v>0</v>
      </c>
      <c r="BE54" s="172">
        <f t="shared" si="9"/>
        <v>0</v>
      </c>
      <c r="BF54" s="172">
        <f t="shared" si="9"/>
        <v>0</v>
      </c>
      <c r="BG54" s="172">
        <f t="shared" si="9"/>
        <v>0</v>
      </c>
      <c r="BH54" s="172">
        <f t="shared" si="9"/>
        <v>0</v>
      </c>
      <c r="BI54" s="172">
        <f t="shared" si="9"/>
        <v>0</v>
      </c>
      <c r="BJ54" s="172">
        <f t="shared" si="9"/>
        <v>0</v>
      </c>
      <c r="BK54" s="172">
        <f t="shared" si="9"/>
        <v>0</v>
      </c>
      <c r="BL54" s="172">
        <f t="shared" si="9"/>
        <v>0</v>
      </c>
      <c r="BM54" s="172">
        <f t="shared" si="9"/>
        <v>0</v>
      </c>
      <c r="BN54" s="172">
        <f t="shared" si="9"/>
        <v>0</v>
      </c>
      <c r="BO54" s="172">
        <f t="shared" si="9"/>
        <v>0</v>
      </c>
      <c r="BP54" s="172">
        <f t="shared" si="9"/>
        <v>0</v>
      </c>
      <c r="BQ54" s="172">
        <f t="shared" si="9"/>
        <v>0</v>
      </c>
      <c r="BR54" s="172">
        <f t="shared" si="9"/>
        <v>0</v>
      </c>
      <c r="BS54" s="172">
        <f t="shared" si="9"/>
        <v>0</v>
      </c>
      <c r="BT54" s="172">
        <f t="shared" si="9"/>
        <v>0</v>
      </c>
      <c r="BU54" s="172">
        <f t="shared" si="9"/>
        <v>0</v>
      </c>
      <c r="BV54" s="172">
        <f t="shared" si="9"/>
        <v>0</v>
      </c>
      <c r="BW54" s="172">
        <f t="shared" si="9"/>
        <v>0</v>
      </c>
      <c r="BX54" s="172">
        <f t="shared" si="9"/>
        <v>0</v>
      </c>
      <c r="BY54" s="172">
        <f t="shared" si="9"/>
        <v>0</v>
      </c>
      <c r="BZ54" s="172">
        <f t="shared" si="9"/>
        <v>0</v>
      </c>
      <c r="CA54" s="172">
        <f t="shared" si="9"/>
        <v>0</v>
      </c>
      <c r="CB54" s="172">
        <f t="shared" si="9"/>
        <v>0</v>
      </c>
      <c r="CC54" s="172">
        <f t="shared" si="9"/>
        <v>0</v>
      </c>
      <c r="CD54" s="172">
        <f t="shared" si="9"/>
        <v>0</v>
      </c>
      <c r="CE54" s="172">
        <f t="shared" si="9"/>
        <v>0</v>
      </c>
      <c r="CF54" s="172">
        <f t="shared" si="9"/>
        <v>0</v>
      </c>
      <c r="CG54" s="172">
        <f t="shared" si="9"/>
        <v>0</v>
      </c>
      <c r="CH54" s="172">
        <f t="shared" si="9"/>
        <v>0</v>
      </c>
      <c r="CI54" s="172">
        <f t="shared" si="9"/>
        <v>0</v>
      </c>
      <c r="CJ54" s="172">
        <f t="shared" si="9"/>
        <v>0</v>
      </c>
      <c r="CK54" s="172">
        <f t="shared" si="9"/>
        <v>0</v>
      </c>
      <c r="CL54" s="172">
        <f t="shared" si="9"/>
        <v>0</v>
      </c>
      <c r="CM54" s="172">
        <f t="shared" si="9"/>
        <v>0</v>
      </c>
      <c r="CN54" s="172">
        <f t="shared" si="9"/>
        <v>0</v>
      </c>
      <c r="CO54" s="172">
        <f t="shared" si="9"/>
        <v>0</v>
      </c>
      <c r="CP54" s="172">
        <f t="shared" si="9"/>
        <v>0</v>
      </c>
      <c r="CQ54" s="172">
        <f t="shared" si="9"/>
        <v>0</v>
      </c>
      <c r="CR54" s="172">
        <f t="shared" si="9"/>
        <v>0</v>
      </c>
      <c r="CS54" s="172">
        <f t="shared" si="9"/>
        <v>0</v>
      </c>
      <c r="CT54" s="172">
        <f t="shared" si="9"/>
        <v>0</v>
      </c>
      <c r="CU54" s="172">
        <f t="shared" si="9"/>
        <v>0</v>
      </c>
      <c r="CV54" s="172">
        <f t="shared" si="9"/>
        <v>0</v>
      </c>
      <c r="CW54" s="172">
        <f t="shared" si="9"/>
        <v>0</v>
      </c>
      <c r="CX54" s="172">
        <f t="shared" si="9"/>
        <v>0</v>
      </c>
      <c r="CY54" s="172">
        <f t="shared" si="9"/>
        <v>0</v>
      </c>
      <c r="CZ54" s="172">
        <f t="shared" si="9"/>
        <v>0</v>
      </c>
      <c r="DA54" s="172">
        <f t="shared" si="9"/>
        <v>0</v>
      </c>
      <c r="DB54" s="172">
        <f t="shared" si="9"/>
        <v>0</v>
      </c>
      <c r="DC54" s="172">
        <f t="shared" si="9"/>
        <v>0</v>
      </c>
      <c r="DD54" s="172">
        <f t="shared" si="9"/>
        <v>0</v>
      </c>
      <c r="DE54" s="172">
        <f t="shared" si="9"/>
        <v>0</v>
      </c>
      <c r="DF54" s="172">
        <f t="shared" si="9"/>
        <v>0</v>
      </c>
      <c r="DG54" s="172">
        <f t="shared" si="9"/>
        <v>0</v>
      </c>
      <c r="DH54" s="172">
        <f t="shared" si="9"/>
        <v>0</v>
      </c>
      <c r="DI54" s="172">
        <f t="shared" si="9"/>
        <v>0</v>
      </c>
      <c r="DJ54" s="172">
        <f t="shared" si="9"/>
        <v>0</v>
      </c>
      <c r="DK54" s="172">
        <f t="shared" si="9"/>
        <v>0</v>
      </c>
      <c r="DL54" s="172">
        <f t="shared" si="9"/>
        <v>0</v>
      </c>
      <c r="DM54" s="172">
        <f t="shared" si="9"/>
        <v>0</v>
      </c>
      <c r="DN54" s="172">
        <f t="shared" si="9"/>
        <v>0</v>
      </c>
      <c r="DO54" s="172">
        <f t="shared" si="9"/>
        <v>0</v>
      </c>
      <c r="DP54" s="172">
        <f t="shared" si="9"/>
        <v>0</v>
      </c>
      <c r="DQ54" s="172">
        <f t="shared" si="9"/>
        <v>0</v>
      </c>
      <c r="DR54" s="172">
        <f t="shared" si="9"/>
        <v>0</v>
      </c>
      <c r="DS54" s="54"/>
    </row>
    <row r="55" ht="15.75" customHeight="1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  <c r="DO55" s="54"/>
      <c r="DP55" s="54"/>
      <c r="DQ55" s="54"/>
      <c r="DR55" s="54"/>
      <c r="DS55" s="54"/>
    </row>
    <row r="56" ht="18.75" customHeight="1">
      <c r="A56" s="54"/>
      <c r="B56" s="173" t="s">
        <v>321</v>
      </c>
      <c r="C56" s="174">
        <f t="shared" ref="C56:DR56" si="10">C37+C40+C49+C54</f>
        <v>-5000</v>
      </c>
      <c r="D56" s="174">
        <f t="shared" si="10"/>
        <v>0</v>
      </c>
      <c r="E56" s="174">
        <f t="shared" si="10"/>
        <v>0</v>
      </c>
      <c r="F56" s="174">
        <f t="shared" si="10"/>
        <v>0</v>
      </c>
      <c r="G56" s="174">
        <f t="shared" si="10"/>
        <v>0</v>
      </c>
      <c r="H56" s="174">
        <f t="shared" si="10"/>
        <v>0</v>
      </c>
      <c r="I56" s="174">
        <f t="shared" si="10"/>
        <v>0</v>
      </c>
      <c r="J56" s="174">
        <f t="shared" si="10"/>
        <v>0</v>
      </c>
      <c r="K56" s="174">
        <f t="shared" si="10"/>
        <v>0</v>
      </c>
      <c r="L56" s="174">
        <f t="shared" si="10"/>
        <v>0</v>
      </c>
      <c r="M56" s="174">
        <f t="shared" si="10"/>
        <v>0</v>
      </c>
      <c r="N56" s="174">
        <f t="shared" si="10"/>
        <v>0</v>
      </c>
      <c r="O56" s="174">
        <f t="shared" si="10"/>
        <v>0</v>
      </c>
      <c r="P56" s="174">
        <f t="shared" si="10"/>
        <v>0</v>
      </c>
      <c r="Q56" s="174">
        <f t="shared" si="10"/>
        <v>0</v>
      </c>
      <c r="R56" s="174">
        <f t="shared" si="10"/>
        <v>0</v>
      </c>
      <c r="S56" s="174">
        <f t="shared" si="10"/>
        <v>0</v>
      </c>
      <c r="T56" s="174">
        <f t="shared" si="10"/>
        <v>0</v>
      </c>
      <c r="U56" s="174">
        <f t="shared" si="10"/>
        <v>0</v>
      </c>
      <c r="V56" s="174">
        <f t="shared" si="10"/>
        <v>0</v>
      </c>
      <c r="W56" s="174">
        <f t="shared" si="10"/>
        <v>0</v>
      </c>
      <c r="X56" s="174">
        <f t="shared" si="10"/>
        <v>0</v>
      </c>
      <c r="Y56" s="174">
        <f t="shared" si="10"/>
        <v>0</v>
      </c>
      <c r="Z56" s="174">
        <f t="shared" si="10"/>
        <v>0</v>
      </c>
      <c r="AA56" s="174">
        <f t="shared" si="10"/>
        <v>0</v>
      </c>
      <c r="AB56" s="174">
        <f t="shared" si="10"/>
        <v>0</v>
      </c>
      <c r="AC56" s="174">
        <f t="shared" si="10"/>
        <v>0</v>
      </c>
      <c r="AD56" s="174">
        <f t="shared" si="10"/>
        <v>0</v>
      </c>
      <c r="AE56" s="174">
        <f t="shared" si="10"/>
        <v>0</v>
      </c>
      <c r="AF56" s="174">
        <f t="shared" si="10"/>
        <v>0</v>
      </c>
      <c r="AG56" s="174">
        <f t="shared" si="10"/>
        <v>0</v>
      </c>
      <c r="AH56" s="174">
        <f t="shared" si="10"/>
        <v>0</v>
      </c>
      <c r="AI56" s="174">
        <f t="shared" si="10"/>
        <v>0</v>
      </c>
      <c r="AJ56" s="174">
        <f t="shared" si="10"/>
        <v>0</v>
      </c>
      <c r="AK56" s="174">
        <f t="shared" si="10"/>
        <v>0</v>
      </c>
      <c r="AL56" s="174">
        <f t="shared" si="10"/>
        <v>0</v>
      </c>
      <c r="AM56" s="174">
        <f t="shared" si="10"/>
        <v>0</v>
      </c>
      <c r="AN56" s="174">
        <f t="shared" si="10"/>
        <v>0</v>
      </c>
      <c r="AO56" s="174">
        <f t="shared" si="10"/>
        <v>0</v>
      </c>
      <c r="AP56" s="174">
        <f t="shared" si="10"/>
        <v>0</v>
      </c>
      <c r="AQ56" s="174">
        <f t="shared" si="10"/>
        <v>0</v>
      </c>
      <c r="AR56" s="174">
        <f t="shared" si="10"/>
        <v>0</v>
      </c>
      <c r="AS56" s="174">
        <f t="shared" si="10"/>
        <v>0</v>
      </c>
      <c r="AT56" s="174">
        <f t="shared" si="10"/>
        <v>0</v>
      </c>
      <c r="AU56" s="174">
        <f t="shared" si="10"/>
        <v>0</v>
      </c>
      <c r="AV56" s="174">
        <f t="shared" si="10"/>
        <v>0</v>
      </c>
      <c r="AW56" s="174">
        <f t="shared" si="10"/>
        <v>0</v>
      </c>
      <c r="AX56" s="174">
        <f t="shared" si="10"/>
        <v>0</v>
      </c>
      <c r="AY56" s="174">
        <f t="shared" si="10"/>
        <v>0</v>
      </c>
      <c r="AZ56" s="174">
        <f t="shared" si="10"/>
        <v>0</v>
      </c>
      <c r="BA56" s="174">
        <f t="shared" si="10"/>
        <v>0</v>
      </c>
      <c r="BB56" s="174">
        <f t="shared" si="10"/>
        <v>0</v>
      </c>
      <c r="BC56" s="174">
        <f t="shared" si="10"/>
        <v>0</v>
      </c>
      <c r="BD56" s="174">
        <f t="shared" si="10"/>
        <v>0</v>
      </c>
      <c r="BE56" s="174">
        <f t="shared" si="10"/>
        <v>0</v>
      </c>
      <c r="BF56" s="174">
        <f t="shared" si="10"/>
        <v>0</v>
      </c>
      <c r="BG56" s="174">
        <f t="shared" si="10"/>
        <v>0</v>
      </c>
      <c r="BH56" s="174">
        <f t="shared" si="10"/>
        <v>0</v>
      </c>
      <c r="BI56" s="174">
        <f t="shared" si="10"/>
        <v>0</v>
      </c>
      <c r="BJ56" s="174">
        <f t="shared" si="10"/>
        <v>0</v>
      </c>
      <c r="BK56" s="174">
        <f t="shared" si="10"/>
        <v>0</v>
      </c>
      <c r="BL56" s="174">
        <f t="shared" si="10"/>
        <v>0</v>
      </c>
      <c r="BM56" s="174">
        <f t="shared" si="10"/>
        <v>0</v>
      </c>
      <c r="BN56" s="174">
        <f t="shared" si="10"/>
        <v>0</v>
      </c>
      <c r="BO56" s="174">
        <f t="shared" si="10"/>
        <v>0</v>
      </c>
      <c r="BP56" s="174">
        <f t="shared" si="10"/>
        <v>0</v>
      </c>
      <c r="BQ56" s="174">
        <f t="shared" si="10"/>
        <v>0</v>
      </c>
      <c r="BR56" s="174">
        <f t="shared" si="10"/>
        <v>0</v>
      </c>
      <c r="BS56" s="174">
        <f t="shared" si="10"/>
        <v>0</v>
      </c>
      <c r="BT56" s="174">
        <f t="shared" si="10"/>
        <v>0</v>
      </c>
      <c r="BU56" s="174">
        <f t="shared" si="10"/>
        <v>0</v>
      </c>
      <c r="BV56" s="174">
        <f t="shared" si="10"/>
        <v>0</v>
      </c>
      <c r="BW56" s="174">
        <f t="shared" si="10"/>
        <v>0</v>
      </c>
      <c r="BX56" s="174">
        <f t="shared" si="10"/>
        <v>0</v>
      </c>
      <c r="BY56" s="174">
        <f t="shared" si="10"/>
        <v>0</v>
      </c>
      <c r="BZ56" s="174">
        <f t="shared" si="10"/>
        <v>0</v>
      </c>
      <c r="CA56" s="174">
        <f t="shared" si="10"/>
        <v>0</v>
      </c>
      <c r="CB56" s="174">
        <f t="shared" si="10"/>
        <v>0</v>
      </c>
      <c r="CC56" s="174">
        <f t="shared" si="10"/>
        <v>0</v>
      </c>
      <c r="CD56" s="174">
        <f t="shared" si="10"/>
        <v>0</v>
      </c>
      <c r="CE56" s="174">
        <f t="shared" si="10"/>
        <v>0</v>
      </c>
      <c r="CF56" s="174">
        <f t="shared" si="10"/>
        <v>0</v>
      </c>
      <c r="CG56" s="174">
        <f t="shared" si="10"/>
        <v>0</v>
      </c>
      <c r="CH56" s="174">
        <f t="shared" si="10"/>
        <v>0</v>
      </c>
      <c r="CI56" s="174">
        <f t="shared" si="10"/>
        <v>0</v>
      </c>
      <c r="CJ56" s="174">
        <f t="shared" si="10"/>
        <v>0</v>
      </c>
      <c r="CK56" s="174">
        <f t="shared" si="10"/>
        <v>0</v>
      </c>
      <c r="CL56" s="174">
        <f t="shared" si="10"/>
        <v>0</v>
      </c>
      <c r="CM56" s="174">
        <f t="shared" si="10"/>
        <v>0</v>
      </c>
      <c r="CN56" s="174">
        <f t="shared" si="10"/>
        <v>0</v>
      </c>
      <c r="CO56" s="174">
        <f t="shared" si="10"/>
        <v>0</v>
      </c>
      <c r="CP56" s="174">
        <f t="shared" si="10"/>
        <v>0</v>
      </c>
      <c r="CQ56" s="174">
        <f t="shared" si="10"/>
        <v>0</v>
      </c>
      <c r="CR56" s="174">
        <f t="shared" si="10"/>
        <v>0</v>
      </c>
      <c r="CS56" s="174">
        <f t="shared" si="10"/>
        <v>0</v>
      </c>
      <c r="CT56" s="174">
        <f t="shared" si="10"/>
        <v>0</v>
      </c>
      <c r="CU56" s="174">
        <f t="shared" si="10"/>
        <v>0</v>
      </c>
      <c r="CV56" s="174">
        <f t="shared" si="10"/>
        <v>0</v>
      </c>
      <c r="CW56" s="174">
        <f t="shared" si="10"/>
        <v>0</v>
      </c>
      <c r="CX56" s="174">
        <f t="shared" si="10"/>
        <v>0</v>
      </c>
      <c r="CY56" s="174">
        <f t="shared" si="10"/>
        <v>0</v>
      </c>
      <c r="CZ56" s="174">
        <f t="shared" si="10"/>
        <v>0</v>
      </c>
      <c r="DA56" s="174">
        <f t="shared" si="10"/>
        <v>0</v>
      </c>
      <c r="DB56" s="174">
        <f t="shared" si="10"/>
        <v>0</v>
      </c>
      <c r="DC56" s="174">
        <f t="shared" si="10"/>
        <v>0</v>
      </c>
      <c r="DD56" s="174">
        <f t="shared" si="10"/>
        <v>0</v>
      </c>
      <c r="DE56" s="174">
        <f t="shared" si="10"/>
        <v>0</v>
      </c>
      <c r="DF56" s="174">
        <f t="shared" si="10"/>
        <v>0</v>
      </c>
      <c r="DG56" s="174">
        <f t="shared" si="10"/>
        <v>0</v>
      </c>
      <c r="DH56" s="174">
        <f t="shared" si="10"/>
        <v>0</v>
      </c>
      <c r="DI56" s="174">
        <f t="shared" si="10"/>
        <v>0</v>
      </c>
      <c r="DJ56" s="174">
        <f t="shared" si="10"/>
        <v>0</v>
      </c>
      <c r="DK56" s="174">
        <f t="shared" si="10"/>
        <v>0</v>
      </c>
      <c r="DL56" s="174">
        <f t="shared" si="10"/>
        <v>0</v>
      </c>
      <c r="DM56" s="174">
        <f t="shared" si="10"/>
        <v>0</v>
      </c>
      <c r="DN56" s="174">
        <f t="shared" si="10"/>
        <v>0</v>
      </c>
      <c r="DO56" s="174">
        <f t="shared" si="10"/>
        <v>0</v>
      </c>
      <c r="DP56" s="174">
        <f t="shared" si="10"/>
        <v>0</v>
      </c>
      <c r="DQ56" s="174">
        <f t="shared" si="10"/>
        <v>0</v>
      </c>
      <c r="DR56" s="174">
        <f t="shared" si="10"/>
        <v>0</v>
      </c>
      <c r="DS56" s="54"/>
    </row>
    <row r="57" ht="15.75" customHeight="1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  <c r="DO57" s="54"/>
      <c r="DP57" s="54"/>
      <c r="DQ57" s="54"/>
      <c r="DR57" s="54"/>
      <c r="DS57" s="54"/>
    </row>
    <row r="58" ht="16.5" customHeight="1">
      <c r="A58" s="54"/>
      <c r="B58" s="55" t="s">
        <v>322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3"/>
      <c r="DS58" s="54"/>
    </row>
    <row r="59" ht="15.0" customHeight="1">
      <c r="A59" s="54"/>
      <c r="B59" s="56" t="s">
        <v>323</v>
      </c>
      <c r="C59" s="153">
        <f>IF(C$3&lt;=Inputs!$C$15*12,0,0)</f>
        <v>0</v>
      </c>
      <c r="D59" s="153">
        <f>IF(D$3&lt;=Inputs!$C$15*12,IF(D$3&lt;=Inputs!$C$65,0,C64),0)</f>
        <v>0</v>
      </c>
      <c r="E59" s="153">
        <f>IF(E$3&lt;=Inputs!$C$15*12,IF(E$3&lt;=Inputs!$C$65,0,D64),0)</f>
        <v>0</v>
      </c>
      <c r="F59" s="153">
        <f>IF(F$3&lt;=Inputs!$C$15*12,IF(F$3&lt;=Inputs!$C$65,0,E64),0)</f>
        <v>0</v>
      </c>
      <c r="G59" s="153">
        <f>IF(G$3&lt;=Inputs!$C$15*12,IF(G$3&lt;=Inputs!$C$65,0,F64),0)</f>
        <v>0</v>
      </c>
      <c r="H59" s="153">
        <f>IF(H$3&lt;=Inputs!$C$15*12,IF(H$3&lt;=Inputs!$C$65,0,G64),0)</f>
        <v>0</v>
      </c>
      <c r="I59" s="153">
        <f>IF(I$3&lt;=Inputs!$C$15*12,IF(I$3&lt;=Inputs!$C$65,0,H64),0)</f>
        <v>0</v>
      </c>
      <c r="J59" s="153">
        <f>IF(J$3&lt;=Inputs!$C$15*12,IF(J$3&lt;=Inputs!$C$65,0,I64),0)</f>
        <v>0</v>
      </c>
      <c r="K59" s="153">
        <f>IF(K$3&lt;=Inputs!$C$15*12,IF(K$3&lt;=Inputs!$C$65,0,J64),0)</f>
        <v>0</v>
      </c>
      <c r="L59" s="153">
        <f>IF(L$3&lt;=Inputs!$C$15*12,IF(L$3&lt;=Inputs!$C$65,0,K64),0)</f>
        <v>0</v>
      </c>
      <c r="M59" s="153">
        <f>IF(M$3&lt;=Inputs!$C$15*12,IF(M$3&lt;=Inputs!$C$65,0,L64),0)</f>
        <v>0</v>
      </c>
      <c r="N59" s="153">
        <f>IF(N$3&lt;=Inputs!$C$15*12,IF(N$3&lt;=Inputs!$C$65,0,M64),0)</f>
        <v>0</v>
      </c>
      <c r="O59" s="153">
        <f>IF(O$3&lt;=Inputs!$C$15*12,IF(O$3&lt;=Inputs!$C$65,0,N64),0)</f>
        <v>0</v>
      </c>
      <c r="P59" s="153">
        <f>IF(P$3&lt;=Inputs!$C$15*12,IF(P$3&lt;=Inputs!$C$65,0,O64),0)</f>
        <v>0</v>
      </c>
      <c r="Q59" s="153">
        <f>IF(Q$3&lt;=Inputs!$C$15*12,IF(Q$3&lt;=Inputs!$C$65,0,P64),0)</f>
        <v>0</v>
      </c>
      <c r="R59" s="153">
        <f>IF(R$3&lt;=Inputs!$C$15*12,IF(R$3&lt;=Inputs!$C$65,0,Q64),0)</f>
        <v>0</v>
      </c>
      <c r="S59" s="153">
        <f>IF(S$3&lt;=Inputs!$C$15*12,IF(S$3&lt;=Inputs!$C$65,0,R64),0)</f>
        <v>0</v>
      </c>
      <c r="T59" s="153">
        <f>IF(T$3&lt;=Inputs!$C$15*12,IF(T$3&lt;=Inputs!$C$65,0,S64),0)</f>
        <v>0</v>
      </c>
      <c r="U59" s="153">
        <f>IF(U$3&lt;=Inputs!$C$15*12,IF(U$3&lt;=Inputs!$C$65,0,T64),0)</f>
        <v>0</v>
      </c>
      <c r="V59" s="153">
        <f>IF(V$3&lt;=Inputs!$C$15*12,IF(V$3&lt;=Inputs!$C$65,0,U64),0)</f>
        <v>0</v>
      </c>
      <c r="W59" s="153">
        <f>IF(W$3&lt;=Inputs!$C$15*12,IF(W$3&lt;=Inputs!$C$65,0,V64),0)</f>
        <v>0</v>
      </c>
      <c r="X59" s="153">
        <f>IF(X$3&lt;=Inputs!$C$15*12,IF(X$3&lt;=Inputs!$C$65,0,W64),0)</f>
        <v>0</v>
      </c>
      <c r="Y59" s="153">
        <f>IF(Y$3&lt;=Inputs!$C$15*12,IF(Y$3&lt;=Inputs!$C$65,0,X64),0)</f>
        <v>0</v>
      </c>
      <c r="Z59" s="153">
        <f>IF(Z$3&lt;=Inputs!$C$15*12,IF(Z$3&lt;=Inputs!$C$65,0,Y64),0)</f>
        <v>0</v>
      </c>
      <c r="AA59" s="153">
        <f>IF(AA$3&lt;=Inputs!$C$15*12,IF(AA$3&lt;=Inputs!$C$65,0,Z64),0)</f>
        <v>0</v>
      </c>
      <c r="AB59" s="153">
        <f>IF(AB$3&lt;=Inputs!$C$15*12,IF(AB$3&lt;=Inputs!$C$65,0,AA64),0)</f>
        <v>0</v>
      </c>
      <c r="AC59" s="153">
        <f>IF(AC$3&lt;=Inputs!$C$15*12,IF(AC$3&lt;=Inputs!$C$65,0,AB64),0)</f>
        <v>0</v>
      </c>
      <c r="AD59" s="153">
        <f>IF(AD$3&lt;=Inputs!$C$15*12,IF(AD$3&lt;=Inputs!$C$65,0,AC64),0)</f>
        <v>0</v>
      </c>
      <c r="AE59" s="153">
        <f>IF(AE$3&lt;=Inputs!$C$15*12,IF(AE$3&lt;=Inputs!$C$65,0,AD64),0)</f>
        <v>0</v>
      </c>
      <c r="AF59" s="153">
        <f>IF(AF$3&lt;=Inputs!$C$15*12,IF(AF$3&lt;=Inputs!$C$65,0,AE64),0)</f>
        <v>0</v>
      </c>
      <c r="AG59" s="153">
        <f>IF(AG$3&lt;=Inputs!$C$15*12,IF(AG$3&lt;=Inputs!$C$65,0,AF64),0)</f>
        <v>0</v>
      </c>
      <c r="AH59" s="153">
        <f>IF(AH$3&lt;=Inputs!$C$15*12,IF(AH$3&lt;=Inputs!$C$65,0,AG64),0)</f>
        <v>0</v>
      </c>
      <c r="AI59" s="153">
        <f>IF(AI$3&lt;=Inputs!$C$15*12,IF(AI$3&lt;=Inputs!$C$65,0,AH64),0)</f>
        <v>0</v>
      </c>
      <c r="AJ59" s="153">
        <f>IF(AJ$3&lt;=Inputs!$C$15*12,IF(AJ$3&lt;=Inputs!$C$65,0,AI64),0)</f>
        <v>0</v>
      </c>
      <c r="AK59" s="153">
        <f>IF(AK$3&lt;=Inputs!$C$15*12,IF(AK$3&lt;=Inputs!$C$65,0,AJ64),0)</f>
        <v>0</v>
      </c>
      <c r="AL59" s="153">
        <f>IF(AL$3&lt;=Inputs!$C$15*12,IF(AL$3&lt;=Inputs!$C$65,0,AK64),0)</f>
        <v>0</v>
      </c>
      <c r="AM59" s="153">
        <f>IF(AM$3&lt;=Inputs!$C$15*12,IF(AM$3&lt;=Inputs!$C$65,0,AL64),0)</f>
        <v>0</v>
      </c>
      <c r="AN59" s="153">
        <f>IF(AN$3&lt;=Inputs!$C$15*12,IF(AN$3&lt;=Inputs!$C$65,0,AM64),0)</f>
        <v>0</v>
      </c>
      <c r="AO59" s="153">
        <f>IF(AO$3&lt;=Inputs!$C$15*12,IF(AO$3&lt;=Inputs!$C$65,0,AN64),0)</f>
        <v>0</v>
      </c>
      <c r="AP59" s="153">
        <f>IF(AP$3&lt;=Inputs!$C$15*12,IF(AP$3&lt;=Inputs!$C$65,0,AO64),0)</f>
        <v>0</v>
      </c>
      <c r="AQ59" s="153">
        <f>IF(AQ$3&lt;=Inputs!$C$15*12,IF(AQ$3&lt;=Inputs!$C$65,0,AP64),0)</f>
        <v>0</v>
      </c>
      <c r="AR59" s="153">
        <f>IF(AR$3&lt;=Inputs!$C$15*12,IF(AR$3&lt;=Inputs!$C$65,0,AQ64),0)</f>
        <v>0</v>
      </c>
      <c r="AS59" s="153">
        <f>IF(AS$3&lt;=Inputs!$C$15*12,IF(AS$3&lt;=Inputs!$C$65,0,AR64),0)</f>
        <v>0</v>
      </c>
      <c r="AT59" s="153">
        <f>IF(AT$3&lt;=Inputs!$C$15*12,IF(AT$3&lt;=Inputs!$C$65,0,AS64),0)</f>
        <v>0</v>
      </c>
      <c r="AU59" s="153">
        <f>IF(AU$3&lt;=Inputs!$C$15*12,IF(AU$3&lt;=Inputs!$C$65,0,AT64),0)</f>
        <v>0</v>
      </c>
      <c r="AV59" s="153">
        <f>IF(AV$3&lt;=Inputs!$C$15*12,IF(AV$3&lt;=Inputs!$C$65,0,AU64),0)</f>
        <v>0</v>
      </c>
      <c r="AW59" s="153">
        <f>IF(AW$3&lt;=Inputs!$C$15*12,IF(AW$3&lt;=Inputs!$C$65,0,AV64),0)</f>
        <v>0</v>
      </c>
      <c r="AX59" s="153">
        <f>IF(AX$3&lt;=Inputs!$C$15*12,IF(AX$3&lt;=Inputs!$C$65,0,AW64),0)</f>
        <v>0</v>
      </c>
      <c r="AY59" s="153">
        <f>IF(AY$3&lt;=Inputs!$C$15*12,IF(AY$3&lt;=Inputs!$C$65,0,AX64),0)</f>
        <v>0</v>
      </c>
      <c r="AZ59" s="153">
        <f>IF(AZ$3&lt;=Inputs!$C$15*12,IF(AZ$3&lt;=Inputs!$C$65,0,AY64),0)</f>
        <v>0</v>
      </c>
      <c r="BA59" s="153">
        <f>IF(BA$3&lt;=Inputs!$C$15*12,IF(BA$3&lt;=Inputs!$C$65,0,AZ64),0)</f>
        <v>0</v>
      </c>
      <c r="BB59" s="153">
        <f>IF(BB$3&lt;=Inputs!$C$15*12,IF(BB$3&lt;=Inputs!$C$65,0,BA64),0)</f>
        <v>0</v>
      </c>
      <c r="BC59" s="153">
        <f>IF(BC$3&lt;=Inputs!$C$15*12,IF(BC$3&lt;=Inputs!$C$65,0,BB64),0)</f>
        <v>0</v>
      </c>
      <c r="BD59" s="153">
        <f>IF(BD$3&lt;=Inputs!$C$15*12,IF(BD$3&lt;=Inputs!$C$65,0,BC64),0)</f>
        <v>0</v>
      </c>
      <c r="BE59" s="153">
        <f>IF(BE$3&lt;=Inputs!$C$15*12,IF(BE$3&lt;=Inputs!$C$65,0,BD64),0)</f>
        <v>0</v>
      </c>
      <c r="BF59" s="153">
        <f>IF(BF$3&lt;=Inputs!$C$15*12,IF(BF$3&lt;=Inputs!$C$65,0,BE64),0)</f>
        <v>0</v>
      </c>
      <c r="BG59" s="153">
        <f>IF(BG$3&lt;=Inputs!$C$15*12,IF(BG$3&lt;=Inputs!$C$65,0,BF64),0)</f>
        <v>0</v>
      </c>
      <c r="BH59" s="153">
        <f>IF(BH$3&lt;=Inputs!$C$15*12,IF(BH$3&lt;=Inputs!$C$65,0,BG64),0)</f>
        <v>0</v>
      </c>
      <c r="BI59" s="153">
        <f>IF(BI$3&lt;=Inputs!$C$15*12,IF(BI$3&lt;=Inputs!$C$65,0,BH64),0)</f>
        <v>0</v>
      </c>
      <c r="BJ59" s="153">
        <f>IF(BJ$3&lt;=Inputs!$C$15*12,IF(BJ$3&lt;=Inputs!$C$65,0,BI64),0)</f>
        <v>0</v>
      </c>
      <c r="BK59" s="153">
        <f>IF(BK$3&lt;=Inputs!$C$15*12,IF(BK$3&lt;=Inputs!$C$65,0,BJ64),0)</f>
        <v>0</v>
      </c>
      <c r="BL59" s="153">
        <f>IF(BL$3&lt;=Inputs!$C$15*12,IF(BL$3&lt;=Inputs!$C$65,0,BK64),0)</f>
        <v>0</v>
      </c>
      <c r="BM59" s="153">
        <f>IF(BM$3&lt;=Inputs!$C$15*12,IF(BM$3&lt;=Inputs!$C$65,0,BL64),0)</f>
        <v>0</v>
      </c>
      <c r="BN59" s="153">
        <f>IF(BN$3&lt;=Inputs!$C$15*12,IF(BN$3&lt;=Inputs!$C$65,0,BM64),0)</f>
        <v>0</v>
      </c>
      <c r="BO59" s="153">
        <f>IF(BO$3&lt;=Inputs!$C$15*12,IF(BO$3&lt;=Inputs!$C$65,0,BN64),0)</f>
        <v>0</v>
      </c>
      <c r="BP59" s="153">
        <f>IF(BP$3&lt;=Inputs!$C$15*12,IF(BP$3&lt;=Inputs!$C$65,0,BO64),0)</f>
        <v>0</v>
      </c>
      <c r="BQ59" s="153">
        <f>IF(BQ$3&lt;=Inputs!$C$15*12,IF(BQ$3&lt;=Inputs!$C$65,0,BP64),0)</f>
        <v>0</v>
      </c>
      <c r="BR59" s="153">
        <f>IF(BR$3&lt;=Inputs!$C$15*12,IF(BR$3&lt;=Inputs!$C$65,0,BQ64),0)</f>
        <v>0</v>
      </c>
      <c r="BS59" s="153">
        <f>IF(BS$3&lt;=Inputs!$C$15*12,IF(BS$3&lt;=Inputs!$C$65,0,BR64),0)</f>
        <v>0</v>
      </c>
      <c r="BT59" s="153">
        <f>IF(BT$3&lt;=Inputs!$C$15*12,IF(BT$3&lt;=Inputs!$C$65,0,BS64),0)</f>
        <v>0</v>
      </c>
      <c r="BU59" s="153">
        <f>IF(BU$3&lt;=Inputs!$C$15*12,IF(BU$3&lt;=Inputs!$C$65,0,BT64),0)</f>
        <v>0</v>
      </c>
      <c r="BV59" s="153">
        <f>IF(BV$3&lt;=Inputs!$C$15*12,IF(BV$3&lt;=Inputs!$C$65,0,BU64),0)</f>
        <v>0</v>
      </c>
      <c r="BW59" s="153">
        <f>IF(BW$3&lt;=Inputs!$C$15*12,IF(BW$3&lt;=Inputs!$C$65,0,BV64),0)</f>
        <v>0</v>
      </c>
      <c r="BX59" s="153">
        <f>IF(BX$3&lt;=Inputs!$C$15*12,IF(BX$3&lt;=Inputs!$C$65,0,BW64),0)</f>
        <v>0</v>
      </c>
      <c r="BY59" s="153">
        <f>IF(BY$3&lt;=Inputs!$C$15*12,IF(BY$3&lt;=Inputs!$C$65,0,BX64),0)</f>
        <v>0</v>
      </c>
      <c r="BZ59" s="153">
        <f>IF(BZ$3&lt;=Inputs!$C$15*12,IF(BZ$3&lt;=Inputs!$C$65,0,BY64),0)</f>
        <v>0</v>
      </c>
      <c r="CA59" s="153">
        <f>IF(CA$3&lt;=Inputs!$C$15*12,IF(CA$3&lt;=Inputs!$C$65,0,BZ64),0)</f>
        <v>0</v>
      </c>
      <c r="CB59" s="153">
        <f>IF(CB$3&lt;=Inputs!$C$15*12,IF(CB$3&lt;=Inputs!$C$65,0,CA64),0)</f>
        <v>0</v>
      </c>
      <c r="CC59" s="153">
        <f>IF(CC$3&lt;=Inputs!$C$15*12,IF(CC$3&lt;=Inputs!$C$65,0,CB64),0)</f>
        <v>0</v>
      </c>
      <c r="CD59" s="153">
        <f>IF(CD$3&lt;=Inputs!$C$15*12,IF(CD$3&lt;=Inputs!$C$65,0,CC64),0)</f>
        <v>0</v>
      </c>
      <c r="CE59" s="153">
        <f>IF(CE$3&lt;=Inputs!$C$15*12,IF(CE$3&lt;=Inputs!$C$65,0,CD64),0)</f>
        <v>0</v>
      </c>
      <c r="CF59" s="153">
        <f>IF(CF$3&lt;=Inputs!$C$15*12,IF(CF$3&lt;=Inputs!$C$65,0,CE64),0)</f>
        <v>0</v>
      </c>
      <c r="CG59" s="153">
        <f>IF(CG$3&lt;=Inputs!$C$15*12,IF(CG$3&lt;=Inputs!$C$65,0,CF64),0)</f>
        <v>0</v>
      </c>
      <c r="CH59" s="153">
        <f>IF(CH$3&lt;=Inputs!$C$15*12,IF(CH$3&lt;=Inputs!$C$65,0,CG64),0)</f>
        <v>0</v>
      </c>
      <c r="CI59" s="153">
        <f>IF(CI$3&lt;=Inputs!$C$15*12,IF(CI$3&lt;=Inputs!$C$65,0,CH64),0)</f>
        <v>0</v>
      </c>
      <c r="CJ59" s="153">
        <f>IF(CJ$3&lt;=Inputs!$C$15*12,IF(CJ$3&lt;=Inputs!$C$65,0,CI64),0)</f>
        <v>0</v>
      </c>
      <c r="CK59" s="153">
        <f>IF(CK$3&lt;=Inputs!$C$15*12,IF(CK$3&lt;=Inputs!$C$65,0,CJ64),0)</f>
        <v>0</v>
      </c>
      <c r="CL59" s="153">
        <f>IF(CL$3&lt;=Inputs!$C$15*12,IF(CL$3&lt;=Inputs!$C$65,0,CK64),0)</f>
        <v>0</v>
      </c>
      <c r="CM59" s="153">
        <f>IF(CM$3&lt;=Inputs!$C$15*12,IF(CM$3&lt;=Inputs!$C$65,0,CL64),0)</f>
        <v>0</v>
      </c>
      <c r="CN59" s="153">
        <f>IF(CN$3&lt;=Inputs!$C$15*12,IF(CN$3&lt;=Inputs!$C$65,0,CM64),0)</f>
        <v>0</v>
      </c>
      <c r="CO59" s="153">
        <f>IF(CO$3&lt;=Inputs!$C$15*12,IF(CO$3&lt;=Inputs!$C$65,0,CN64),0)</f>
        <v>0</v>
      </c>
      <c r="CP59" s="153">
        <f>IF(CP$3&lt;=Inputs!$C$15*12,IF(CP$3&lt;=Inputs!$C$65,0,CO64),0)</f>
        <v>0</v>
      </c>
      <c r="CQ59" s="153">
        <f>IF(CQ$3&lt;=Inputs!$C$15*12,IF(CQ$3&lt;=Inputs!$C$65,0,CP64),0)</f>
        <v>0</v>
      </c>
      <c r="CR59" s="153">
        <f>IF(CR$3&lt;=Inputs!$C$15*12,IF(CR$3&lt;=Inputs!$C$65,0,CQ64),0)</f>
        <v>0</v>
      </c>
      <c r="CS59" s="153">
        <f>IF(CS$3&lt;=Inputs!$C$15*12,IF(CS$3&lt;=Inputs!$C$65,0,CR64),0)</f>
        <v>0</v>
      </c>
      <c r="CT59" s="153">
        <f>IF(CT$3&lt;=Inputs!$C$15*12,IF(CT$3&lt;=Inputs!$C$65,0,CS64),0)</f>
        <v>0</v>
      </c>
      <c r="CU59" s="153">
        <f>IF(CU$3&lt;=Inputs!$C$15*12,IF(CU$3&lt;=Inputs!$C$65,0,CT64),0)</f>
        <v>0</v>
      </c>
      <c r="CV59" s="153">
        <f>IF(CV$3&lt;=Inputs!$C$15*12,IF(CV$3&lt;=Inputs!$C$65,0,CU64),0)</f>
        <v>0</v>
      </c>
      <c r="CW59" s="153">
        <f>IF(CW$3&lt;=Inputs!$C$15*12,IF(CW$3&lt;=Inputs!$C$65,0,CV64),0)</f>
        <v>0</v>
      </c>
      <c r="CX59" s="153">
        <f>IF(CX$3&lt;=Inputs!$C$15*12,IF(CX$3&lt;=Inputs!$C$65,0,CW64),0)</f>
        <v>0</v>
      </c>
      <c r="CY59" s="153">
        <f>IF(CY$3&lt;=Inputs!$C$15*12,IF(CY$3&lt;=Inputs!$C$65,0,CX64),0)</f>
        <v>0</v>
      </c>
      <c r="CZ59" s="153">
        <f>IF(CZ$3&lt;=Inputs!$C$15*12,IF(CZ$3&lt;=Inputs!$C$65,0,CY64),0)</f>
        <v>0</v>
      </c>
      <c r="DA59" s="153">
        <f>IF(DA$3&lt;=Inputs!$C$15*12,IF(DA$3&lt;=Inputs!$C$65,0,CZ64),0)</f>
        <v>0</v>
      </c>
      <c r="DB59" s="153">
        <f>IF(DB$3&lt;=Inputs!$C$15*12,IF(DB$3&lt;=Inputs!$C$65,0,DA64),0)</f>
        <v>0</v>
      </c>
      <c r="DC59" s="153">
        <f>IF(DC$3&lt;=Inputs!$C$15*12,IF(DC$3&lt;=Inputs!$C$65,0,DB64),0)</f>
        <v>0</v>
      </c>
      <c r="DD59" s="153">
        <f>IF(DD$3&lt;=Inputs!$C$15*12,IF(DD$3&lt;=Inputs!$C$65,0,DC64),0)</f>
        <v>0</v>
      </c>
      <c r="DE59" s="153">
        <f>IF(DE$3&lt;=Inputs!$C$15*12,IF(DE$3&lt;=Inputs!$C$65,0,DD64),0)</f>
        <v>0</v>
      </c>
      <c r="DF59" s="153">
        <f>IF(DF$3&lt;=Inputs!$C$15*12,IF(DF$3&lt;=Inputs!$C$65,0,DE64),0)</f>
        <v>0</v>
      </c>
      <c r="DG59" s="153">
        <f>IF(DG$3&lt;=Inputs!$C$15*12,IF(DG$3&lt;=Inputs!$C$65,0,DF64),0)</f>
        <v>0</v>
      </c>
      <c r="DH59" s="153">
        <f>IF(DH$3&lt;=Inputs!$C$15*12,IF(DH$3&lt;=Inputs!$C$65,0,DG64),0)</f>
        <v>0</v>
      </c>
      <c r="DI59" s="153">
        <f>IF(DI$3&lt;=Inputs!$C$15*12,IF(DI$3&lt;=Inputs!$C$65,0,DH64),0)</f>
        <v>0</v>
      </c>
      <c r="DJ59" s="153">
        <f>IF(DJ$3&lt;=Inputs!$C$15*12,IF(DJ$3&lt;=Inputs!$C$65,0,DI64),0)</f>
        <v>0</v>
      </c>
      <c r="DK59" s="153">
        <f>IF(DK$3&lt;=Inputs!$C$15*12,IF(DK$3&lt;=Inputs!$C$65,0,DJ64),0)</f>
        <v>0</v>
      </c>
      <c r="DL59" s="153">
        <f>IF(DL$3&lt;=Inputs!$C$15*12,IF(DL$3&lt;=Inputs!$C$65,0,DK64),0)</f>
        <v>0</v>
      </c>
      <c r="DM59" s="153">
        <f>IF(DM$3&lt;=Inputs!$C$15*12,IF(DM$3&lt;=Inputs!$C$65,0,DL64),0)</f>
        <v>0</v>
      </c>
      <c r="DN59" s="153">
        <f>IF(DN$3&lt;=Inputs!$C$15*12,IF(DN$3&lt;=Inputs!$C$65,0,DM64),0)</f>
        <v>0</v>
      </c>
      <c r="DO59" s="153">
        <f>IF(DO$3&lt;=Inputs!$C$15*12,IF(DO$3&lt;=Inputs!$C$65,0,DN64),0)</f>
        <v>0</v>
      </c>
      <c r="DP59" s="153">
        <f>IF(DP$3&lt;=Inputs!$C$15*12,IF(DP$3&lt;=Inputs!$C$65,0,DO64),0)</f>
        <v>0</v>
      </c>
      <c r="DQ59" s="153">
        <f>IF(DQ$3&lt;=Inputs!$C$15*12,IF(DQ$3&lt;=Inputs!$C$65,0,DP64),0)</f>
        <v>0</v>
      </c>
      <c r="DR59" s="153">
        <f>IF(DR$3&lt;=Inputs!$C$15*12,IF(DR$3&lt;=Inputs!$C$65,0,DQ64),0)</f>
        <v>0</v>
      </c>
      <c r="DS59" s="54"/>
    </row>
    <row r="60" ht="15.0" customHeight="1">
      <c r="A60" s="54"/>
      <c r="B60" s="56" t="s">
        <v>324</v>
      </c>
      <c r="C60" s="153">
        <f>IF(C$3&lt;=Inputs!$C$15*12,IF(C$3=Inputs!$C$65,Inputs!$C$60,0),0)</f>
        <v>0</v>
      </c>
      <c r="D60" s="153">
        <f>IF(D$3&lt;=Inputs!$C$15*12,IF(D$3=Inputs!$C$65,Inputs!$C$60,0),0)</f>
        <v>0</v>
      </c>
      <c r="E60" s="153">
        <f>IF(E$3&lt;=Inputs!$C$15*12,IF(E$3=Inputs!$C$65,Inputs!$C$60,0),0)</f>
        <v>0</v>
      </c>
      <c r="F60" s="153">
        <f>IF(F$3&lt;=Inputs!$C$15*12,IF(F$3=Inputs!$C$65,Inputs!$C$60,0),0)</f>
        <v>0</v>
      </c>
      <c r="G60" s="153">
        <f>IF(G$3&lt;=Inputs!$C$15*12,IF(G$3=Inputs!$C$65,Inputs!$C$60,0),0)</f>
        <v>0</v>
      </c>
      <c r="H60" s="153">
        <f>IF(H$3&lt;=Inputs!$C$15*12,IF(H$3=Inputs!$C$65,Inputs!$C$60,0),0)</f>
        <v>0</v>
      </c>
      <c r="I60" s="153">
        <f>IF(I$3&lt;=Inputs!$C$15*12,IF(I$3=Inputs!$C$65,Inputs!$C$60,0),0)</f>
        <v>0</v>
      </c>
      <c r="J60" s="153">
        <f>IF(J$3&lt;=Inputs!$C$15*12,IF(J$3=Inputs!$C$65,Inputs!$C$60,0),0)</f>
        <v>0</v>
      </c>
      <c r="K60" s="153">
        <f>IF(K$3&lt;=Inputs!$C$15*12,IF(K$3=Inputs!$C$65,Inputs!$C$60,0),0)</f>
        <v>0</v>
      </c>
      <c r="L60" s="153">
        <f>IF(L$3&lt;=Inputs!$C$15*12,IF(L$3=Inputs!$C$65,Inputs!$C$60,0),0)</f>
        <v>0</v>
      </c>
      <c r="M60" s="153">
        <f>IF(M$3&lt;=Inputs!$C$15*12,IF(M$3=Inputs!$C$65,Inputs!$C$60,0),0)</f>
        <v>0</v>
      </c>
      <c r="N60" s="153">
        <f>IF(N$3&lt;=Inputs!$C$15*12,IF(N$3=Inputs!$C$65,Inputs!$C$60,0),0)</f>
        <v>0</v>
      </c>
      <c r="O60" s="153">
        <f>IF(O$3&lt;=Inputs!$C$15*12,IF(O$3=Inputs!$C$65,Inputs!$C$60,0),0)</f>
        <v>0</v>
      </c>
      <c r="P60" s="153">
        <f>IF(P$3&lt;=Inputs!$C$15*12,IF(P$3=Inputs!$C$65,Inputs!$C$60,0),0)</f>
        <v>0</v>
      </c>
      <c r="Q60" s="153">
        <f>IF(Q$3&lt;=Inputs!$C$15*12,IF(Q$3=Inputs!$C$65,Inputs!$C$60,0),0)</f>
        <v>0</v>
      </c>
      <c r="R60" s="153">
        <f>IF(R$3&lt;=Inputs!$C$15*12,IF(R$3=Inputs!$C$65,Inputs!$C$60,0),0)</f>
        <v>0</v>
      </c>
      <c r="S60" s="153">
        <f>IF(S$3&lt;=Inputs!$C$15*12,IF(S$3=Inputs!$C$65,Inputs!$C$60,0),0)</f>
        <v>0</v>
      </c>
      <c r="T60" s="153">
        <f>IF(T$3&lt;=Inputs!$C$15*12,IF(T$3=Inputs!$C$65,Inputs!$C$60,0),0)</f>
        <v>0</v>
      </c>
      <c r="U60" s="153">
        <f>IF(U$3&lt;=Inputs!$C$15*12,IF(U$3=Inputs!$C$65,Inputs!$C$60,0),0)</f>
        <v>0</v>
      </c>
      <c r="V60" s="153">
        <f>IF(V$3&lt;=Inputs!$C$15*12,IF(V$3=Inputs!$C$65,Inputs!$C$60,0),0)</f>
        <v>0</v>
      </c>
      <c r="W60" s="153">
        <f>IF(W$3&lt;=Inputs!$C$15*12,IF(W$3=Inputs!$C$65,Inputs!$C$60,0),0)</f>
        <v>0</v>
      </c>
      <c r="X60" s="153">
        <f>IF(X$3&lt;=Inputs!$C$15*12,IF(X$3=Inputs!$C$65,Inputs!$C$60,0),0)</f>
        <v>0</v>
      </c>
      <c r="Y60" s="153">
        <f>IF(Y$3&lt;=Inputs!$C$15*12,IF(Y$3=Inputs!$C$65,Inputs!$C$60,0),0)</f>
        <v>0</v>
      </c>
      <c r="Z60" s="153">
        <f>IF(Z$3&lt;=Inputs!$C$15*12,IF(Z$3=Inputs!$C$65,Inputs!$C$60,0),0)</f>
        <v>0</v>
      </c>
      <c r="AA60" s="153">
        <f>IF(AA$3&lt;=Inputs!$C$15*12,IF(AA$3=Inputs!$C$65,Inputs!$C$60,0),0)</f>
        <v>0</v>
      </c>
      <c r="AB60" s="153">
        <f>IF(AB$3&lt;=Inputs!$C$15*12,IF(AB$3=Inputs!$C$65,Inputs!$C$60,0),0)</f>
        <v>0</v>
      </c>
      <c r="AC60" s="153">
        <f>IF(AC$3&lt;=Inputs!$C$15*12,IF(AC$3=Inputs!$C$65,Inputs!$C$60,0),0)</f>
        <v>0</v>
      </c>
      <c r="AD60" s="153">
        <f>IF(AD$3&lt;=Inputs!$C$15*12,IF(AD$3=Inputs!$C$65,Inputs!$C$60,0),0)</f>
        <v>0</v>
      </c>
      <c r="AE60" s="153">
        <f>IF(AE$3&lt;=Inputs!$C$15*12,IF(AE$3=Inputs!$C$65,Inputs!$C$60,0),0)</f>
        <v>0</v>
      </c>
      <c r="AF60" s="153">
        <f>IF(AF$3&lt;=Inputs!$C$15*12,IF(AF$3=Inputs!$C$65,Inputs!$C$60,0),0)</f>
        <v>0</v>
      </c>
      <c r="AG60" s="153">
        <f>IF(AG$3&lt;=Inputs!$C$15*12,IF(AG$3=Inputs!$C$65,Inputs!$C$60,0),0)</f>
        <v>0</v>
      </c>
      <c r="AH60" s="153">
        <f>IF(AH$3&lt;=Inputs!$C$15*12,IF(AH$3=Inputs!$C$65,Inputs!$C$60,0),0)</f>
        <v>0</v>
      </c>
      <c r="AI60" s="153">
        <f>IF(AI$3&lt;=Inputs!$C$15*12,IF(AI$3=Inputs!$C$65,Inputs!$C$60,0),0)</f>
        <v>0</v>
      </c>
      <c r="AJ60" s="153">
        <f>IF(AJ$3&lt;=Inputs!$C$15*12,IF(AJ$3=Inputs!$C$65,Inputs!$C$60,0),0)</f>
        <v>0</v>
      </c>
      <c r="AK60" s="153">
        <f>IF(AK$3&lt;=Inputs!$C$15*12,IF(AK$3=Inputs!$C$65,Inputs!$C$60,0),0)</f>
        <v>0</v>
      </c>
      <c r="AL60" s="153">
        <f>IF(AL$3&lt;=Inputs!$C$15*12,IF(AL$3=Inputs!$C$65,Inputs!$C$60,0),0)</f>
        <v>0</v>
      </c>
      <c r="AM60" s="153">
        <f>IF(AM$3&lt;=Inputs!$C$15*12,IF(AM$3=Inputs!$C$65,Inputs!$C$60,0),0)</f>
        <v>0</v>
      </c>
      <c r="AN60" s="153">
        <f>IF(AN$3&lt;=Inputs!$C$15*12,IF(AN$3=Inputs!$C$65,Inputs!$C$60,0),0)</f>
        <v>0</v>
      </c>
      <c r="AO60" s="153">
        <f>IF(AO$3&lt;=Inputs!$C$15*12,IF(AO$3=Inputs!$C$65,Inputs!$C$60,0),0)</f>
        <v>0</v>
      </c>
      <c r="AP60" s="153">
        <f>IF(AP$3&lt;=Inputs!$C$15*12,IF(AP$3=Inputs!$C$65,Inputs!$C$60,0),0)</f>
        <v>0</v>
      </c>
      <c r="AQ60" s="153">
        <f>IF(AQ$3&lt;=Inputs!$C$15*12,IF(AQ$3=Inputs!$C$65,Inputs!$C$60,0),0)</f>
        <v>0</v>
      </c>
      <c r="AR60" s="153">
        <f>IF(AR$3&lt;=Inputs!$C$15*12,IF(AR$3=Inputs!$C$65,Inputs!$C$60,0),0)</f>
        <v>0</v>
      </c>
      <c r="AS60" s="153">
        <f>IF(AS$3&lt;=Inputs!$C$15*12,IF(AS$3=Inputs!$C$65,Inputs!$C$60,0),0)</f>
        <v>0</v>
      </c>
      <c r="AT60" s="153">
        <f>IF(AT$3&lt;=Inputs!$C$15*12,IF(AT$3=Inputs!$C$65,Inputs!$C$60,0),0)</f>
        <v>0</v>
      </c>
      <c r="AU60" s="153">
        <f>IF(AU$3&lt;=Inputs!$C$15*12,IF(AU$3=Inputs!$C$65,Inputs!$C$60,0),0)</f>
        <v>0</v>
      </c>
      <c r="AV60" s="153">
        <f>IF(AV$3&lt;=Inputs!$C$15*12,IF(AV$3=Inputs!$C$65,Inputs!$C$60,0),0)</f>
        <v>0</v>
      </c>
      <c r="AW60" s="153">
        <f>IF(AW$3&lt;=Inputs!$C$15*12,IF(AW$3=Inputs!$C$65,Inputs!$C$60,0),0)</f>
        <v>0</v>
      </c>
      <c r="AX60" s="153">
        <f>IF(AX$3&lt;=Inputs!$C$15*12,IF(AX$3=Inputs!$C$65,Inputs!$C$60,0),0)</f>
        <v>0</v>
      </c>
      <c r="AY60" s="153">
        <f>IF(AY$3&lt;=Inputs!$C$15*12,IF(AY$3=Inputs!$C$65,Inputs!$C$60,0),0)</f>
        <v>0</v>
      </c>
      <c r="AZ60" s="153">
        <f>IF(AZ$3&lt;=Inputs!$C$15*12,IF(AZ$3=Inputs!$C$65,Inputs!$C$60,0),0)</f>
        <v>0</v>
      </c>
      <c r="BA60" s="153">
        <f>IF(BA$3&lt;=Inputs!$C$15*12,IF(BA$3=Inputs!$C$65,Inputs!$C$60,0),0)</f>
        <v>0</v>
      </c>
      <c r="BB60" s="153">
        <f>IF(BB$3&lt;=Inputs!$C$15*12,IF(BB$3=Inputs!$C$65,Inputs!$C$60,0),0)</f>
        <v>0</v>
      </c>
      <c r="BC60" s="153">
        <f>IF(BC$3&lt;=Inputs!$C$15*12,IF(BC$3=Inputs!$C$65,Inputs!$C$60,0),0)</f>
        <v>0</v>
      </c>
      <c r="BD60" s="153">
        <f>IF(BD$3&lt;=Inputs!$C$15*12,IF(BD$3=Inputs!$C$65,Inputs!$C$60,0),0)</f>
        <v>0</v>
      </c>
      <c r="BE60" s="153">
        <f>IF(BE$3&lt;=Inputs!$C$15*12,IF(BE$3=Inputs!$C$65,Inputs!$C$60,0),0)</f>
        <v>0</v>
      </c>
      <c r="BF60" s="153">
        <f>IF(BF$3&lt;=Inputs!$C$15*12,IF(BF$3=Inputs!$C$65,Inputs!$C$60,0),0)</f>
        <v>0</v>
      </c>
      <c r="BG60" s="153">
        <f>IF(BG$3&lt;=Inputs!$C$15*12,IF(BG$3=Inputs!$C$65,Inputs!$C$60,0),0)</f>
        <v>0</v>
      </c>
      <c r="BH60" s="153">
        <f>IF(BH$3&lt;=Inputs!$C$15*12,IF(BH$3=Inputs!$C$65,Inputs!$C$60,0),0)</f>
        <v>0</v>
      </c>
      <c r="BI60" s="153">
        <f>IF(BI$3&lt;=Inputs!$C$15*12,IF(BI$3=Inputs!$C$65,Inputs!$C$60,0),0)</f>
        <v>0</v>
      </c>
      <c r="BJ60" s="153">
        <f>IF(BJ$3&lt;=Inputs!$C$15*12,IF(BJ$3=Inputs!$C$65,Inputs!$C$60,0),0)</f>
        <v>0</v>
      </c>
      <c r="BK60" s="153">
        <f>IF(BK$3&lt;=Inputs!$C$15*12,IF(BK$3=Inputs!$C$65,Inputs!$C$60,0),0)</f>
        <v>0</v>
      </c>
      <c r="BL60" s="153">
        <f>IF(BL$3&lt;=Inputs!$C$15*12,IF(BL$3=Inputs!$C$65,Inputs!$C$60,0),0)</f>
        <v>0</v>
      </c>
      <c r="BM60" s="153">
        <f>IF(BM$3&lt;=Inputs!$C$15*12,IF(BM$3=Inputs!$C$65,Inputs!$C$60,0),0)</f>
        <v>0</v>
      </c>
      <c r="BN60" s="153">
        <f>IF(BN$3&lt;=Inputs!$C$15*12,IF(BN$3=Inputs!$C$65,Inputs!$C$60,0),0)</f>
        <v>0</v>
      </c>
      <c r="BO60" s="153">
        <f>IF(BO$3&lt;=Inputs!$C$15*12,IF(BO$3=Inputs!$C$65,Inputs!$C$60,0),0)</f>
        <v>0</v>
      </c>
      <c r="BP60" s="153">
        <f>IF(BP$3&lt;=Inputs!$C$15*12,IF(BP$3=Inputs!$C$65,Inputs!$C$60,0),0)</f>
        <v>0</v>
      </c>
      <c r="BQ60" s="153">
        <f>IF(BQ$3&lt;=Inputs!$C$15*12,IF(BQ$3=Inputs!$C$65,Inputs!$C$60,0),0)</f>
        <v>0</v>
      </c>
      <c r="BR60" s="153">
        <f>IF(BR$3&lt;=Inputs!$C$15*12,IF(BR$3=Inputs!$C$65,Inputs!$C$60,0),0)</f>
        <v>0</v>
      </c>
      <c r="BS60" s="153">
        <f>IF(BS$3&lt;=Inputs!$C$15*12,IF(BS$3=Inputs!$C$65,Inputs!$C$60,0),0)</f>
        <v>0</v>
      </c>
      <c r="BT60" s="153">
        <f>IF(BT$3&lt;=Inputs!$C$15*12,IF(BT$3=Inputs!$C$65,Inputs!$C$60,0),0)</f>
        <v>0</v>
      </c>
      <c r="BU60" s="153">
        <f>IF(BU$3&lt;=Inputs!$C$15*12,IF(BU$3=Inputs!$C$65,Inputs!$C$60,0),0)</f>
        <v>0</v>
      </c>
      <c r="BV60" s="153">
        <f>IF(BV$3&lt;=Inputs!$C$15*12,IF(BV$3=Inputs!$C$65,Inputs!$C$60,0),0)</f>
        <v>0</v>
      </c>
      <c r="BW60" s="153">
        <f>IF(BW$3&lt;=Inputs!$C$15*12,IF(BW$3=Inputs!$C$65,Inputs!$C$60,0),0)</f>
        <v>0</v>
      </c>
      <c r="BX60" s="153">
        <f>IF(BX$3&lt;=Inputs!$C$15*12,IF(BX$3=Inputs!$C$65,Inputs!$C$60,0),0)</f>
        <v>0</v>
      </c>
      <c r="BY60" s="153">
        <f>IF(BY$3&lt;=Inputs!$C$15*12,IF(BY$3=Inputs!$C$65,Inputs!$C$60,0),0)</f>
        <v>0</v>
      </c>
      <c r="BZ60" s="153">
        <f>IF(BZ$3&lt;=Inputs!$C$15*12,IF(BZ$3=Inputs!$C$65,Inputs!$C$60,0),0)</f>
        <v>0</v>
      </c>
      <c r="CA60" s="153">
        <f>IF(CA$3&lt;=Inputs!$C$15*12,IF(CA$3=Inputs!$C$65,Inputs!$C$60,0),0)</f>
        <v>0</v>
      </c>
      <c r="CB60" s="153">
        <f>IF(CB$3&lt;=Inputs!$C$15*12,IF(CB$3=Inputs!$C$65,Inputs!$C$60,0),0)</f>
        <v>0</v>
      </c>
      <c r="CC60" s="153">
        <f>IF(CC$3&lt;=Inputs!$C$15*12,IF(CC$3=Inputs!$C$65,Inputs!$C$60,0),0)</f>
        <v>0</v>
      </c>
      <c r="CD60" s="153">
        <f>IF(CD$3&lt;=Inputs!$C$15*12,IF(CD$3=Inputs!$C$65,Inputs!$C$60,0),0)</f>
        <v>0</v>
      </c>
      <c r="CE60" s="153">
        <f>IF(CE$3&lt;=Inputs!$C$15*12,IF(CE$3=Inputs!$C$65,Inputs!$C$60,0),0)</f>
        <v>0</v>
      </c>
      <c r="CF60" s="153">
        <f>IF(CF$3&lt;=Inputs!$C$15*12,IF(CF$3=Inputs!$C$65,Inputs!$C$60,0),0)</f>
        <v>0</v>
      </c>
      <c r="CG60" s="153">
        <f>IF(CG$3&lt;=Inputs!$C$15*12,IF(CG$3=Inputs!$C$65,Inputs!$C$60,0),0)</f>
        <v>0</v>
      </c>
      <c r="CH60" s="153">
        <f>IF(CH$3&lt;=Inputs!$C$15*12,IF(CH$3=Inputs!$C$65,Inputs!$C$60,0),0)</f>
        <v>0</v>
      </c>
      <c r="CI60" s="153">
        <f>IF(CI$3&lt;=Inputs!$C$15*12,IF(CI$3=Inputs!$C$65,Inputs!$C$60,0),0)</f>
        <v>0</v>
      </c>
      <c r="CJ60" s="153">
        <f>IF(CJ$3&lt;=Inputs!$C$15*12,IF(CJ$3=Inputs!$C$65,Inputs!$C$60,0),0)</f>
        <v>0</v>
      </c>
      <c r="CK60" s="153">
        <f>IF(CK$3&lt;=Inputs!$C$15*12,IF(CK$3=Inputs!$C$65,Inputs!$C$60,0),0)</f>
        <v>0</v>
      </c>
      <c r="CL60" s="153">
        <f>IF(CL$3&lt;=Inputs!$C$15*12,IF(CL$3=Inputs!$C$65,Inputs!$C$60,0),0)</f>
        <v>0</v>
      </c>
      <c r="CM60" s="153">
        <f>IF(CM$3&lt;=Inputs!$C$15*12,IF(CM$3=Inputs!$C$65,Inputs!$C$60,0),0)</f>
        <v>0</v>
      </c>
      <c r="CN60" s="153">
        <f>IF(CN$3&lt;=Inputs!$C$15*12,IF(CN$3=Inputs!$C$65,Inputs!$C$60,0),0)</f>
        <v>0</v>
      </c>
      <c r="CO60" s="153">
        <f>IF(CO$3&lt;=Inputs!$C$15*12,IF(CO$3=Inputs!$C$65,Inputs!$C$60,0),0)</f>
        <v>0</v>
      </c>
      <c r="CP60" s="153">
        <f>IF(CP$3&lt;=Inputs!$C$15*12,IF(CP$3=Inputs!$C$65,Inputs!$C$60,0),0)</f>
        <v>0</v>
      </c>
      <c r="CQ60" s="153">
        <f>IF(CQ$3&lt;=Inputs!$C$15*12,IF(CQ$3=Inputs!$C$65,Inputs!$C$60,0),0)</f>
        <v>0</v>
      </c>
      <c r="CR60" s="153">
        <f>IF(CR$3&lt;=Inputs!$C$15*12,IF(CR$3=Inputs!$C$65,Inputs!$C$60,0),0)</f>
        <v>0</v>
      </c>
      <c r="CS60" s="153">
        <f>IF(CS$3&lt;=Inputs!$C$15*12,IF(CS$3=Inputs!$C$65,Inputs!$C$60,0),0)</f>
        <v>0</v>
      </c>
      <c r="CT60" s="153">
        <f>IF(CT$3&lt;=Inputs!$C$15*12,IF(CT$3=Inputs!$C$65,Inputs!$C$60,0),0)</f>
        <v>0</v>
      </c>
      <c r="CU60" s="153">
        <f>IF(CU$3&lt;=Inputs!$C$15*12,IF(CU$3=Inputs!$C$65,Inputs!$C$60,0),0)</f>
        <v>0</v>
      </c>
      <c r="CV60" s="153">
        <f>IF(CV$3&lt;=Inputs!$C$15*12,IF(CV$3=Inputs!$C$65,Inputs!$C$60,0),0)</f>
        <v>0</v>
      </c>
      <c r="CW60" s="153">
        <f>IF(CW$3&lt;=Inputs!$C$15*12,IF(CW$3=Inputs!$C$65,Inputs!$C$60,0),0)</f>
        <v>0</v>
      </c>
      <c r="CX60" s="153">
        <f>IF(CX$3&lt;=Inputs!$C$15*12,IF(CX$3=Inputs!$C$65,Inputs!$C$60,0),0)</f>
        <v>0</v>
      </c>
      <c r="CY60" s="153">
        <f>IF(CY$3&lt;=Inputs!$C$15*12,IF(CY$3=Inputs!$C$65,Inputs!$C$60,0),0)</f>
        <v>0</v>
      </c>
      <c r="CZ60" s="153">
        <f>IF(CZ$3&lt;=Inputs!$C$15*12,IF(CZ$3=Inputs!$C$65,Inputs!$C$60,0),0)</f>
        <v>0</v>
      </c>
      <c r="DA60" s="153">
        <f>IF(DA$3&lt;=Inputs!$C$15*12,IF(DA$3=Inputs!$C$65,Inputs!$C$60,0),0)</f>
        <v>0</v>
      </c>
      <c r="DB60" s="153">
        <f>IF(DB$3&lt;=Inputs!$C$15*12,IF(DB$3=Inputs!$C$65,Inputs!$C$60,0),0)</f>
        <v>0</v>
      </c>
      <c r="DC60" s="153">
        <f>IF(DC$3&lt;=Inputs!$C$15*12,IF(DC$3=Inputs!$C$65,Inputs!$C$60,0),0)</f>
        <v>0</v>
      </c>
      <c r="DD60" s="153">
        <f>IF(DD$3&lt;=Inputs!$C$15*12,IF(DD$3=Inputs!$C$65,Inputs!$C$60,0),0)</f>
        <v>0</v>
      </c>
      <c r="DE60" s="153">
        <f>IF(DE$3&lt;=Inputs!$C$15*12,IF(DE$3=Inputs!$C$65,Inputs!$C$60,0),0)</f>
        <v>0</v>
      </c>
      <c r="DF60" s="153">
        <f>IF(DF$3&lt;=Inputs!$C$15*12,IF(DF$3=Inputs!$C$65,Inputs!$C$60,0),0)</f>
        <v>0</v>
      </c>
      <c r="DG60" s="153">
        <f>IF(DG$3&lt;=Inputs!$C$15*12,IF(DG$3=Inputs!$C$65,Inputs!$C$60,0),0)</f>
        <v>0</v>
      </c>
      <c r="DH60" s="153">
        <f>IF(DH$3&lt;=Inputs!$C$15*12,IF(DH$3=Inputs!$C$65,Inputs!$C$60,0),0)</f>
        <v>0</v>
      </c>
      <c r="DI60" s="153">
        <f>IF(DI$3&lt;=Inputs!$C$15*12,IF(DI$3=Inputs!$C$65,Inputs!$C$60,0),0)</f>
        <v>0</v>
      </c>
      <c r="DJ60" s="153">
        <f>IF(DJ$3&lt;=Inputs!$C$15*12,IF(DJ$3=Inputs!$C$65,Inputs!$C$60,0),0)</f>
        <v>0</v>
      </c>
      <c r="DK60" s="153">
        <f>IF(DK$3&lt;=Inputs!$C$15*12,IF(DK$3=Inputs!$C$65,Inputs!$C$60,0),0)</f>
        <v>0</v>
      </c>
      <c r="DL60" s="153">
        <f>IF(DL$3&lt;=Inputs!$C$15*12,IF(DL$3=Inputs!$C$65,Inputs!$C$60,0),0)</f>
        <v>0</v>
      </c>
      <c r="DM60" s="153">
        <f>IF(DM$3&lt;=Inputs!$C$15*12,IF(DM$3=Inputs!$C$65,Inputs!$C$60,0),0)</f>
        <v>0</v>
      </c>
      <c r="DN60" s="153">
        <f>IF(DN$3&lt;=Inputs!$C$15*12,IF(DN$3=Inputs!$C$65,Inputs!$C$60,0),0)</f>
        <v>0</v>
      </c>
      <c r="DO60" s="153">
        <f>IF(DO$3&lt;=Inputs!$C$15*12,IF(DO$3=Inputs!$C$65,Inputs!$C$60,0),0)</f>
        <v>0</v>
      </c>
      <c r="DP60" s="153">
        <f>IF(DP$3&lt;=Inputs!$C$15*12,IF(DP$3=Inputs!$C$65,Inputs!$C$60,0),0)</f>
        <v>0</v>
      </c>
      <c r="DQ60" s="153">
        <f>IF(DQ$3&lt;=Inputs!$C$15*12,IF(DQ$3=Inputs!$C$65,Inputs!$C$60,0),0)</f>
        <v>0</v>
      </c>
      <c r="DR60" s="153">
        <f>IF(DR$3&lt;=Inputs!$C$15*12,IF(DR$3=Inputs!$C$65,Inputs!$C$60,0),0)</f>
        <v>0</v>
      </c>
      <c r="DS60" s="54"/>
    </row>
    <row r="61" ht="15.0" customHeight="1">
      <c r="A61" s="54"/>
      <c r="B61" s="56" t="s">
        <v>325</v>
      </c>
      <c r="C61" s="153">
        <f>IF(C$3&lt;=Inputs!$C$15*12,IF(OR(C59=0,C$3&lt;Inputs!$C$66),0,-C59*Inputs!$C$61/12),0)</f>
        <v>0</v>
      </c>
      <c r="D61" s="153">
        <f>IF(D$3&lt;=Inputs!$C$15*12,IF(OR(D59=0,D$3&lt;Inputs!$C$66),0,-D59*Inputs!$C$61/12),0)</f>
        <v>0</v>
      </c>
      <c r="E61" s="153">
        <f>IF(E$3&lt;=Inputs!$C$15*12,IF(OR(E59=0,E$3&lt;Inputs!$C$66),0,-E59*Inputs!$C$61/12),0)</f>
        <v>0</v>
      </c>
      <c r="F61" s="153">
        <f>IF(F$3&lt;=Inputs!$C$15*12,IF(OR(F59=0,F$3&lt;Inputs!$C$66),0,-F59*Inputs!$C$61/12),0)</f>
        <v>0</v>
      </c>
      <c r="G61" s="153">
        <f>IF(G$3&lt;=Inputs!$C$15*12,IF(OR(G59=0,G$3&lt;Inputs!$C$66),0,-G59*Inputs!$C$61/12),0)</f>
        <v>0</v>
      </c>
      <c r="H61" s="153">
        <f>IF(H$3&lt;=Inputs!$C$15*12,IF(OR(H59=0,H$3&lt;Inputs!$C$66),0,-H59*Inputs!$C$61/12),0)</f>
        <v>0</v>
      </c>
      <c r="I61" s="153">
        <f>IF(I$3&lt;=Inputs!$C$15*12,IF(OR(I59=0,I$3&lt;Inputs!$C$66),0,-I59*Inputs!$C$61/12),0)</f>
        <v>0</v>
      </c>
      <c r="J61" s="153">
        <f>IF(J$3&lt;=Inputs!$C$15*12,IF(OR(J59=0,J$3&lt;Inputs!$C$66),0,-J59*Inputs!$C$61/12),0)</f>
        <v>0</v>
      </c>
      <c r="K61" s="153">
        <f>IF(K$3&lt;=Inputs!$C$15*12,IF(OR(K59=0,K$3&lt;Inputs!$C$66),0,-K59*Inputs!$C$61/12),0)</f>
        <v>0</v>
      </c>
      <c r="L61" s="153">
        <f>IF(L$3&lt;=Inputs!$C$15*12,IF(OR(L59=0,L$3&lt;Inputs!$C$66),0,-L59*Inputs!$C$61/12),0)</f>
        <v>0</v>
      </c>
      <c r="M61" s="153">
        <f>IF(M$3&lt;=Inputs!$C$15*12,IF(OR(M59=0,M$3&lt;Inputs!$C$66),0,-M59*Inputs!$C$61/12),0)</f>
        <v>0</v>
      </c>
      <c r="N61" s="153">
        <f>IF(N$3&lt;=Inputs!$C$15*12,IF(OR(N59=0,N$3&lt;Inputs!$C$66),0,-N59*Inputs!$C$61/12),0)</f>
        <v>0</v>
      </c>
      <c r="O61" s="153">
        <f>IF(O$3&lt;=Inputs!$C$15*12,IF(OR(O59=0,O$3&lt;Inputs!$C$66),0,-O59*Inputs!$C$61/12),0)</f>
        <v>0</v>
      </c>
      <c r="P61" s="153">
        <f>IF(P$3&lt;=Inputs!$C$15*12,IF(OR(P59=0,P$3&lt;Inputs!$C$66),0,-P59*Inputs!$C$61/12),0)</f>
        <v>0</v>
      </c>
      <c r="Q61" s="153">
        <f>IF(Q$3&lt;=Inputs!$C$15*12,IF(OR(Q59=0,Q$3&lt;Inputs!$C$66),0,-Q59*Inputs!$C$61/12),0)</f>
        <v>0</v>
      </c>
      <c r="R61" s="153">
        <f>IF(R$3&lt;=Inputs!$C$15*12,IF(OR(R59=0,R$3&lt;Inputs!$C$66),0,-R59*Inputs!$C$61/12),0)</f>
        <v>0</v>
      </c>
      <c r="S61" s="153">
        <f>IF(S$3&lt;=Inputs!$C$15*12,IF(OR(S59=0,S$3&lt;Inputs!$C$66),0,-S59*Inputs!$C$61/12),0)</f>
        <v>0</v>
      </c>
      <c r="T61" s="153">
        <f>IF(T$3&lt;=Inputs!$C$15*12,IF(OR(T59=0,T$3&lt;Inputs!$C$66),0,-T59*Inputs!$C$61/12),0)</f>
        <v>0</v>
      </c>
      <c r="U61" s="153">
        <f>IF(U$3&lt;=Inputs!$C$15*12,IF(OR(U59=0,U$3&lt;Inputs!$C$66),0,-U59*Inputs!$C$61/12),0)</f>
        <v>0</v>
      </c>
      <c r="V61" s="153">
        <f>IF(V$3&lt;=Inputs!$C$15*12,IF(OR(V59=0,V$3&lt;Inputs!$C$66),0,-V59*Inputs!$C$61/12),0)</f>
        <v>0</v>
      </c>
      <c r="W61" s="153">
        <f>IF(W$3&lt;=Inputs!$C$15*12,IF(OR(W59=0,W$3&lt;Inputs!$C$66),0,-W59*Inputs!$C$61/12),0)</f>
        <v>0</v>
      </c>
      <c r="X61" s="153">
        <f>IF(X$3&lt;=Inputs!$C$15*12,IF(OR(X59=0,X$3&lt;Inputs!$C$66),0,-X59*Inputs!$C$61/12),0)</f>
        <v>0</v>
      </c>
      <c r="Y61" s="153">
        <f>IF(Y$3&lt;=Inputs!$C$15*12,IF(OR(Y59=0,Y$3&lt;Inputs!$C$66),0,-Y59*Inputs!$C$61/12),0)</f>
        <v>0</v>
      </c>
      <c r="Z61" s="153">
        <f>IF(Z$3&lt;=Inputs!$C$15*12,IF(OR(Z59=0,Z$3&lt;Inputs!$C$66),0,-Z59*Inputs!$C$61/12),0)</f>
        <v>0</v>
      </c>
      <c r="AA61" s="153">
        <f>IF(AA$3&lt;=Inputs!$C$15*12,IF(OR(AA59=0,AA$3&lt;Inputs!$C$66),0,-AA59*Inputs!$C$61/12),0)</f>
        <v>0</v>
      </c>
      <c r="AB61" s="153">
        <f>IF(AB$3&lt;=Inputs!$C$15*12,IF(OR(AB59=0,AB$3&lt;Inputs!$C$66),0,-AB59*Inputs!$C$61/12),0)</f>
        <v>0</v>
      </c>
      <c r="AC61" s="153">
        <f>IF(AC$3&lt;=Inputs!$C$15*12,IF(OR(AC59=0,AC$3&lt;Inputs!$C$66),0,-AC59*Inputs!$C$61/12),0)</f>
        <v>0</v>
      </c>
      <c r="AD61" s="153">
        <f>IF(AD$3&lt;=Inputs!$C$15*12,IF(OR(AD59=0,AD$3&lt;Inputs!$C$66),0,-AD59*Inputs!$C$61/12),0)</f>
        <v>0</v>
      </c>
      <c r="AE61" s="153">
        <f>IF(AE$3&lt;=Inputs!$C$15*12,IF(OR(AE59=0,AE$3&lt;Inputs!$C$66),0,-AE59*Inputs!$C$61/12),0)</f>
        <v>0</v>
      </c>
      <c r="AF61" s="153">
        <f>IF(AF$3&lt;=Inputs!$C$15*12,IF(OR(AF59=0,AF$3&lt;Inputs!$C$66),0,-AF59*Inputs!$C$61/12),0)</f>
        <v>0</v>
      </c>
      <c r="AG61" s="153">
        <f>IF(AG$3&lt;=Inputs!$C$15*12,IF(OR(AG59=0,AG$3&lt;Inputs!$C$66),0,-AG59*Inputs!$C$61/12),0)</f>
        <v>0</v>
      </c>
      <c r="AH61" s="153">
        <f>IF(AH$3&lt;=Inputs!$C$15*12,IF(OR(AH59=0,AH$3&lt;Inputs!$C$66),0,-AH59*Inputs!$C$61/12),0)</f>
        <v>0</v>
      </c>
      <c r="AI61" s="153">
        <f>IF(AI$3&lt;=Inputs!$C$15*12,IF(OR(AI59=0,AI$3&lt;Inputs!$C$66),0,-AI59*Inputs!$C$61/12),0)</f>
        <v>0</v>
      </c>
      <c r="AJ61" s="153">
        <f>IF(AJ$3&lt;=Inputs!$C$15*12,IF(OR(AJ59=0,AJ$3&lt;Inputs!$C$66),0,-AJ59*Inputs!$C$61/12),0)</f>
        <v>0</v>
      </c>
      <c r="AK61" s="153">
        <f>IF(AK$3&lt;=Inputs!$C$15*12,IF(OR(AK59=0,AK$3&lt;Inputs!$C$66),0,-AK59*Inputs!$C$61/12),0)</f>
        <v>0</v>
      </c>
      <c r="AL61" s="153">
        <f>IF(AL$3&lt;=Inputs!$C$15*12,IF(OR(AL59=0,AL$3&lt;Inputs!$C$66),0,-AL59*Inputs!$C$61/12),0)</f>
        <v>0</v>
      </c>
      <c r="AM61" s="153">
        <f>IF(AM$3&lt;=Inputs!$C$15*12,IF(OR(AM59=0,AM$3&lt;Inputs!$C$66),0,-AM59*Inputs!$C$61/12),0)</f>
        <v>0</v>
      </c>
      <c r="AN61" s="153">
        <f>IF(AN$3&lt;=Inputs!$C$15*12,IF(OR(AN59=0,AN$3&lt;Inputs!$C$66),0,-AN59*Inputs!$C$61/12),0)</f>
        <v>0</v>
      </c>
      <c r="AO61" s="153">
        <f>IF(AO$3&lt;=Inputs!$C$15*12,IF(OR(AO59=0,AO$3&lt;Inputs!$C$66),0,-AO59*Inputs!$C$61/12),0)</f>
        <v>0</v>
      </c>
      <c r="AP61" s="153">
        <f>IF(AP$3&lt;=Inputs!$C$15*12,IF(OR(AP59=0,AP$3&lt;Inputs!$C$66),0,-AP59*Inputs!$C$61/12),0)</f>
        <v>0</v>
      </c>
      <c r="AQ61" s="153">
        <f>IF(AQ$3&lt;=Inputs!$C$15*12,IF(OR(AQ59=0,AQ$3&lt;Inputs!$C$66),0,-AQ59*Inputs!$C$61/12),0)</f>
        <v>0</v>
      </c>
      <c r="AR61" s="153">
        <f>IF(AR$3&lt;=Inputs!$C$15*12,IF(OR(AR59=0,AR$3&lt;Inputs!$C$66),0,-AR59*Inputs!$C$61/12),0)</f>
        <v>0</v>
      </c>
      <c r="AS61" s="153">
        <f>IF(AS$3&lt;=Inputs!$C$15*12,IF(OR(AS59=0,AS$3&lt;Inputs!$C$66),0,-AS59*Inputs!$C$61/12),0)</f>
        <v>0</v>
      </c>
      <c r="AT61" s="153">
        <f>IF(AT$3&lt;=Inputs!$C$15*12,IF(OR(AT59=0,AT$3&lt;Inputs!$C$66),0,-AT59*Inputs!$C$61/12),0)</f>
        <v>0</v>
      </c>
      <c r="AU61" s="153">
        <f>IF(AU$3&lt;=Inputs!$C$15*12,IF(OR(AU59=0,AU$3&lt;Inputs!$C$66),0,-AU59*Inputs!$C$61/12),0)</f>
        <v>0</v>
      </c>
      <c r="AV61" s="153">
        <f>IF(AV$3&lt;=Inputs!$C$15*12,IF(OR(AV59=0,AV$3&lt;Inputs!$C$66),0,-AV59*Inputs!$C$61/12),0)</f>
        <v>0</v>
      </c>
      <c r="AW61" s="153">
        <f>IF(AW$3&lt;=Inputs!$C$15*12,IF(OR(AW59=0,AW$3&lt;Inputs!$C$66),0,-AW59*Inputs!$C$61/12),0)</f>
        <v>0</v>
      </c>
      <c r="AX61" s="153">
        <f>IF(AX$3&lt;=Inputs!$C$15*12,IF(OR(AX59=0,AX$3&lt;Inputs!$C$66),0,-AX59*Inputs!$C$61/12),0)</f>
        <v>0</v>
      </c>
      <c r="AY61" s="153">
        <f>IF(AY$3&lt;=Inputs!$C$15*12,IF(OR(AY59=0,AY$3&lt;Inputs!$C$66),0,-AY59*Inputs!$C$61/12),0)</f>
        <v>0</v>
      </c>
      <c r="AZ61" s="153">
        <f>IF(AZ$3&lt;=Inputs!$C$15*12,IF(OR(AZ59=0,AZ$3&lt;Inputs!$C$66),0,-AZ59*Inputs!$C$61/12),0)</f>
        <v>0</v>
      </c>
      <c r="BA61" s="153">
        <f>IF(BA$3&lt;=Inputs!$C$15*12,IF(OR(BA59=0,BA$3&lt;Inputs!$C$66),0,-BA59*Inputs!$C$61/12),0)</f>
        <v>0</v>
      </c>
      <c r="BB61" s="153">
        <f>IF(BB$3&lt;=Inputs!$C$15*12,IF(OR(BB59=0,BB$3&lt;Inputs!$C$66),0,-BB59*Inputs!$C$61/12),0)</f>
        <v>0</v>
      </c>
      <c r="BC61" s="153">
        <f>IF(BC$3&lt;=Inputs!$C$15*12,IF(OR(BC59=0,BC$3&lt;Inputs!$C$66),0,-BC59*Inputs!$C$61/12),0)</f>
        <v>0</v>
      </c>
      <c r="BD61" s="153">
        <f>IF(BD$3&lt;=Inputs!$C$15*12,IF(OR(BD59=0,BD$3&lt;Inputs!$C$66),0,-BD59*Inputs!$C$61/12),0)</f>
        <v>0</v>
      </c>
      <c r="BE61" s="153">
        <f>IF(BE$3&lt;=Inputs!$C$15*12,IF(OR(BE59=0,BE$3&lt;Inputs!$C$66),0,-BE59*Inputs!$C$61/12),0)</f>
        <v>0</v>
      </c>
      <c r="BF61" s="153">
        <f>IF(BF$3&lt;=Inputs!$C$15*12,IF(OR(BF59=0,BF$3&lt;Inputs!$C$66),0,-BF59*Inputs!$C$61/12),0)</f>
        <v>0</v>
      </c>
      <c r="BG61" s="153">
        <f>IF(BG$3&lt;=Inputs!$C$15*12,IF(OR(BG59=0,BG$3&lt;Inputs!$C$66),0,-BG59*Inputs!$C$61/12),0)</f>
        <v>0</v>
      </c>
      <c r="BH61" s="153">
        <f>IF(BH$3&lt;=Inputs!$C$15*12,IF(OR(BH59=0,BH$3&lt;Inputs!$C$66),0,-BH59*Inputs!$C$61/12),0)</f>
        <v>0</v>
      </c>
      <c r="BI61" s="153">
        <f>IF(BI$3&lt;=Inputs!$C$15*12,IF(OR(BI59=0,BI$3&lt;Inputs!$C$66),0,-BI59*Inputs!$C$61/12),0)</f>
        <v>0</v>
      </c>
      <c r="BJ61" s="153">
        <f>IF(BJ$3&lt;=Inputs!$C$15*12,IF(OR(BJ59=0,BJ$3&lt;Inputs!$C$66),0,-BJ59*Inputs!$C$61/12),0)</f>
        <v>0</v>
      </c>
      <c r="BK61" s="153">
        <f>IF(BK$3&lt;=Inputs!$C$15*12,IF(OR(BK59=0,BK$3&lt;Inputs!$C$66),0,-BK59*Inputs!$C$61/12),0)</f>
        <v>0</v>
      </c>
      <c r="BL61" s="153">
        <f>IF(BL$3&lt;=Inputs!$C$15*12,IF(OR(BL59=0,BL$3&lt;Inputs!$C$66),0,-BL59*Inputs!$C$61/12),0)</f>
        <v>0</v>
      </c>
      <c r="BM61" s="153">
        <f>IF(BM$3&lt;=Inputs!$C$15*12,IF(OR(BM59=0,BM$3&lt;Inputs!$C$66),0,-BM59*Inputs!$C$61/12),0)</f>
        <v>0</v>
      </c>
      <c r="BN61" s="153">
        <f>IF(BN$3&lt;=Inputs!$C$15*12,IF(OR(BN59=0,BN$3&lt;Inputs!$C$66),0,-BN59*Inputs!$C$61/12),0)</f>
        <v>0</v>
      </c>
      <c r="BO61" s="153">
        <f>IF(BO$3&lt;=Inputs!$C$15*12,IF(OR(BO59=0,BO$3&lt;Inputs!$C$66),0,-BO59*Inputs!$C$61/12),0)</f>
        <v>0</v>
      </c>
      <c r="BP61" s="153">
        <f>IF(BP$3&lt;=Inputs!$C$15*12,IF(OR(BP59=0,BP$3&lt;Inputs!$C$66),0,-BP59*Inputs!$C$61/12),0)</f>
        <v>0</v>
      </c>
      <c r="BQ61" s="153">
        <f>IF(BQ$3&lt;=Inputs!$C$15*12,IF(OR(BQ59=0,BQ$3&lt;Inputs!$C$66),0,-BQ59*Inputs!$C$61/12),0)</f>
        <v>0</v>
      </c>
      <c r="BR61" s="153">
        <f>IF(BR$3&lt;=Inputs!$C$15*12,IF(OR(BR59=0,BR$3&lt;Inputs!$C$66),0,-BR59*Inputs!$C$61/12),0)</f>
        <v>0</v>
      </c>
      <c r="BS61" s="153">
        <f>IF(BS$3&lt;=Inputs!$C$15*12,IF(OR(BS59=0,BS$3&lt;Inputs!$C$66),0,-BS59*Inputs!$C$61/12),0)</f>
        <v>0</v>
      </c>
      <c r="BT61" s="153">
        <f>IF(BT$3&lt;=Inputs!$C$15*12,IF(OR(BT59=0,BT$3&lt;Inputs!$C$66),0,-BT59*Inputs!$C$61/12),0)</f>
        <v>0</v>
      </c>
      <c r="BU61" s="153">
        <f>IF(BU$3&lt;=Inputs!$C$15*12,IF(OR(BU59=0,BU$3&lt;Inputs!$C$66),0,-BU59*Inputs!$C$61/12),0)</f>
        <v>0</v>
      </c>
      <c r="BV61" s="153">
        <f>IF(BV$3&lt;=Inputs!$C$15*12,IF(OR(BV59=0,BV$3&lt;Inputs!$C$66),0,-BV59*Inputs!$C$61/12),0)</f>
        <v>0</v>
      </c>
      <c r="BW61" s="153">
        <f>IF(BW$3&lt;=Inputs!$C$15*12,IF(OR(BW59=0,BW$3&lt;Inputs!$C$66),0,-BW59*Inputs!$C$61/12),0)</f>
        <v>0</v>
      </c>
      <c r="BX61" s="153">
        <f>IF(BX$3&lt;=Inputs!$C$15*12,IF(OR(BX59=0,BX$3&lt;Inputs!$C$66),0,-BX59*Inputs!$C$61/12),0)</f>
        <v>0</v>
      </c>
      <c r="BY61" s="153">
        <f>IF(BY$3&lt;=Inputs!$C$15*12,IF(OR(BY59=0,BY$3&lt;Inputs!$C$66),0,-BY59*Inputs!$C$61/12),0)</f>
        <v>0</v>
      </c>
      <c r="BZ61" s="153">
        <f>IF(BZ$3&lt;=Inputs!$C$15*12,IF(OR(BZ59=0,BZ$3&lt;Inputs!$C$66),0,-BZ59*Inputs!$C$61/12),0)</f>
        <v>0</v>
      </c>
      <c r="CA61" s="153">
        <f>IF(CA$3&lt;=Inputs!$C$15*12,IF(OR(CA59=0,CA$3&lt;Inputs!$C$66),0,-CA59*Inputs!$C$61/12),0)</f>
        <v>0</v>
      </c>
      <c r="CB61" s="153">
        <f>IF(CB$3&lt;=Inputs!$C$15*12,IF(OR(CB59=0,CB$3&lt;Inputs!$C$66),0,-CB59*Inputs!$C$61/12),0)</f>
        <v>0</v>
      </c>
      <c r="CC61" s="153">
        <f>IF(CC$3&lt;=Inputs!$C$15*12,IF(OR(CC59=0,CC$3&lt;Inputs!$C$66),0,-CC59*Inputs!$C$61/12),0)</f>
        <v>0</v>
      </c>
      <c r="CD61" s="153">
        <f>IF(CD$3&lt;=Inputs!$C$15*12,IF(OR(CD59=0,CD$3&lt;Inputs!$C$66),0,-CD59*Inputs!$C$61/12),0)</f>
        <v>0</v>
      </c>
      <c r="CE61" s="153">
        <f>IF(CE$3&lt;=Inputs!$C$15*12,IF(OR(CE59=0,CE$3&lt;Inputs!$C$66),0,-CE59*Inputs!$C$61/12),0)</f>
        <v>0</v>
      </c>
      <c r="CF61" s="153">
        <f>IF(CF$3&lt;=Inputs!$C$15*12,IF(OR(CF59=0,CF$3&lt;Inputs!$C$66),0,-CF59*Inputs!$C$61/12),0)</f>
        <v>0</v>
      </c>
      <c r="CG61" s="153">
        <f>IF(CG$3&lt;=Inputs!$C$15*12,IF(OR(CG59=0,CG$3&lt;Inputs!$C$66),0,-CG59*Inputs!$C$61/12),0)</f>
        <v>0</v>
      </c>
      <c r="CH61" s="153">
        <f>IF(CH$3&lt;=Inputs!$C$15*12,IF(OR(CH59=0,CH$3&lt;Inputs!$C$66),0,-CH59*Inputs!$C$61/12),0)</f>
        <v>0</v>
      </c>
      <c r="CI61" s="153">
        <f>IF(CI$3&lt;=Inputs!$C$15*12,IF(OR(CI59=0,CI$3&lt;Inputs!$C$66),0,-CI59*Inputs!$C$61/12),0)</f>
        <v>0</v>
      </c>
      <c r="CJ61" s="153">
        <f>IF(CJ$3&lt;=Inputs!$C$15*12,IF(OR(CJ59=0,CJ$3&lt;Inputs!$C$66),0,-CJ59*Inputs!$C$61/12),0)</f>
        <v>0</v>
      </c>
      <c r="CK61" s="153">
        <f>IF(CK$3&lt;=Inputs!$C$15*12,IF(OR(CK59=0,CK$3&lt;Inputs!$C$66),0,-CK59*Inputs!$C$61/12),0)</f>
        <v>0</v>
      </c>
      <c r="CL61" s="153">
        <f>IF(CL$3&lt;=Inputs!$C$15*12,IF(OR(CL59=0,CL$3&lt;Inputs!$C$66),0,-CL59*Inputs!$C$61/12),0)</f>
        <v>0</v>
      </c>
      <c r="CM61" s="153">
        <f>IF(CM$3&lt;=Inputs!$C$15*12,IF(OR(CM59=0,CM$3&lt;Inputs!$C$66),0,-CM59*Inputs!$C$61/12),0)</f>
        <v>0</v>
      </c>
      <c r="CN61" s="153">
        <f>IF(CN$3&lt;=Inputs!$C$15*12,IF(OR(CN59=0,CN$3&lt;Inputs!$C$66),0,-CN59*Inputs!$C$61/12),0)</f>
        <v>0</v>
      </c>
      <c r="CO61" s="153">
        <f>IF(CO$3&lt;=Inputs!$C$15*12,IF(OR(CO59=0,CO$3&lt;Inputs!$C$66),0,-CO59*Inputs!$C$61/12),0)</f>
        <v>0</v>
      </c>
      <c r="CP61" s="153">
        <f>IF(CP$3&lt;=Inputs!$C$15*12,IF(OR(CP59=0,CP$3&lt;Inputs!$C$66),0,-CP59*Inputs!$C$61/12),0)</f>
        <v>0</v>
      </c>
      <c r="CQ61" s="153">
        <f>IF(CQ$3&lt;=Inputs!$C$15*12,IF(OR(CQ59=0,CQ$3&lt;Inputs!$C$66),0,-CQ59*Inputs!$C$61/12),0)</f>
        <v>0</v>
      </c>
      <c r="CR61" s="153">
        <f>IF(CR$3&lt;=Inputs!$C$15*12,IF(OR(CR59=0,CR$3&lt;Inputs!$C$66),0,-CR59*Inputs!$C$61/12),0)</f>
        <v>0</v>
      </c>
      <c r="CS61" s="153">
        <f>IF(CS$3&lt;=Inputs!$C$15*12,IF(OR(CS59=0,CS$3&lt;Inputs!$C$66),0,-CS59*Inputs!$C$61/12),0)</f>
        <v>0</v>
      </c>
      <c r="CT61" s="153">
        <f>IF(CT$3&lt;=Inputs!$C$15*12,IF(OR(CT59=0,CT$3&lt;Inputs!$C$66),0,-CT59*Inputs!$C$61/12),0)</f>
        <v>0</v>
      </c>
      <c r="CU61" s="153">
        <f>IF(CU$3&lt;=Inputs!$C$15*12,IF(OR(CU59=0,CU$3&lt;Inputs!$C$66),0,-CU59*Inputs!$C$61/12),0)</f>
        <v>0</v>
      </c>
      <c r="CV61" s="153">
        <f>IF(CV$3&lt;=Inputs!$C$15*12,IF(OR(CV59=0,CV$3&lt;Inputs!$C$66),0,-CV59*Inputs!$C$61/12),0)</f>
        <v>0</v>
      </c>
      <c r="CW61" s="153">
        <f>IF(CW$3&lt;=Inputs!$C$15*12,IF(OR(CW59=0,CW$3&lt;Inputs!$C$66),0,-CW59*Inputs!$C$61/12),0)</f>
        <v>0</v>
      </c>
      <c r="CX61" s="153">
        <f>IF(CX$3&lt;=Inputs!$C$15*12,IF(OR(CX59=0,CX$3&lt;Inputs!$C$66),0,-CX59*Inputs!$C$61/12),0)</f>
        <v>0</v>
      </c>
      <c r="CY61" s="153">
        <f>IF(CY$3&lt;=Inputs!$C$15*12,IF(OR(CY59=0,CY$3&lt;Inputs!$C$66),0,-CY59*Inputs!$C$61/12),0)</f>
        <v>0</v>
      </c>
      <c r="CZ61" s="153">
        <f>IF(CZ$3&lt;=Inputs!$C$15*12,IF(OR(CZ59=0,CZ$3&lt;Inputs!$C$66),0,-CZ59*Inputs!$C$61/12),0)</f>
        <v>0</v>
      </c>
      <c r="DA61" s="153">
        <f>IF(DA$3&lt;=Inputs!$C$15*12,IF(OR(DA59=0,DA$3&lt;Inputs!$C$66),0,-DA59*Inputs!$C$61/12),0)</f>
        <v>0</v>
      </c>
      <c r="DB61" s="153">
        <f>IF(DB$3&lt;=Inputs!$C$15*12,IF(OR(DB59=0,DB$3&lt;Inputs!$C$66),0,-DB59*Inputs!$C$61/12),0)</f>
        <v>0</v>
      </c>
      <c r="DC61" s="153">
        <f>IF(DC$3&lt;=Inputs!$C$15*12,IF(OR(DC59=0,DC$3&lt;Inputs!$C$66),0,-DC59*Inputs!$C$61/12),0)</f>
        <v>0</v>
      </c>
      <c r="DD61" s="153">
        <f>IF(DD$3&lt;=Inputs!$C$15*12,IF(OR(DD59=0,DD$3&lt;Inputs!$C$66),0,-DD59*Inputs!$C$61/12),0)</f>
        <v>0</v>
      </c>
      <c r="DE61" s="153">
        <f>IF(DE$3&lt;=Inputs!$C$15*12,IF(OR(DE59=0,DE$3&lt;Inputs!$C$66),0,-DE59*Inputs!$C$61/12),0)</f>
        <v>0</v>
      </c>
      <c r="DF61" s="153">
        <f>IF(DF$3&lt;=Inputs!$C$15*12,IF(OR(DF59=0,DF$3&lt;Inputs!$C$66),0,-DF59*Inputs!$C$61/12),0)</f>
        <v>0</v>
      </c>
      <c r="DG61" s="153">
        <f>IF(DG$3&lt;=Inputs!$C$15*12,IF(OR(DG59=0,DG$3&lt;Inputs!$C$66),0,-DG59*Inputs!$C$61/12),0)</f>
        <v>0</v>
      </c>
      <c r="DH61" s="153">
        <f>IF(DH$3&lt;=Inputs!$C$15*12,IF(OR(DH59=0,DH$3&lt;Inputs!$C$66),0,-DH59*Inputs!$C$61/12),0)</f>
        <v>0</v>
      </c>
      <c r="DI61" s="153">
        <f>IF(DI$3&lt;=Inputs!$C$15*12,IF(OR(DI59=0,DI$3&lt;Inputs!$C$66),0,-DI59*Inputs!$C$61/12),0)</f>
        <v>0</v>
      </c>
      <c r="DJ61" s="153">
        <f>IF(DJ$3&lt;=Inputs!$C$15*12,IF(OR(DJ59=0,DJ$3&lt;Inputs!$C$66),0,-DJ59*Inputs!$C$61/12),0)</f>
        <v>0</v>
      </c>
      <c r="DK61" s="153">
        <f>IF(DK$3&lt;=Inputs!$C$15*12,IF(OR(DK59=0,DK$3&lt;Inputs!$C$66),0,-DK59*Inputs!$C$61/12),0)</f>
        <v>0</v>
      </c>
      <c r="DL61" s="153">
        <f>IF(DL$3&lt;=Inputs!$C$15*12,IF(OR(DL59=0,DL$3&lt;Inputs!$C$66),0,-DL59*Inputs!$C$61/12),0)</f>
        <v>0</v>
      </c>
      <c r="DM61" s="153">
        <f>IF(DM$3&lt;=Inputs!$C$15*12,IF(OR(DM59=0,DM$3&lt;Inputs!$C$66),0,-DM59*Inputs!$C$61/12),0)</f>
        <v>0</v>
      </c>
      <c r="DN61" s="153">
        <f>IF(DN$3&lt;=Inputs!$C$15*12,IF(OR(DN59=0,DN$3&lt;Inputs!$C$66),0,-DN59*Inputs!$C$61/12),0)</f>
        <v>0</v>
      </c>
      <c r="DO61" s="153">
        <f>IF(DO$3&lt;=Inputs!$C$15*12,IF(OR(DO59=0,DO$3&lt;Inputs!$C$66),0,-DO59*Inputs!$C$61/12),0)</f>
        <v>0</v>
      </c>
      <c r="DP61" s="153">
        <f>IF(DP$3&lt;=Inputs!$C$15*12,IF(OR(DP59=0,DP$3&lt;Inputs!$C$66),0,-DP59*Inputs!$C$61/12),0)</f>
        <v>0</v>
      </c>
      <c r="DQ61" s="153">
        <f>IF(DQ$3&lt;=Inputs!$C$15*12,IF(OR(DQ59=0,DQ$3&lt;Inputs!$C$66),0,-DQ59*Inputs!$C$61/12),0)</f>
        <v>0</v>
      </c>
      <c r="DR61" s="153">
        <f>IF(DR$3&lt;=Inputs!$C$15*12,IF(OR(DR59=0,DR$3&lt;Inputs!$C$66),0,-DR59*Inputs!$C$61/12),0)</f>
        <v>0</v>
      </c>
      <c r="DS61" s="54"/>
    </row>
    <row r="62" ht="15.0" customHeight="1">
      <c r="A62" s="54"/>
      <c r="B62" s="56" t="s">
        <v>326</v>
      </c>
      <c r="C62" s="153">
        <f>IF(C$3&lt;=Inputs!$C$15*12,IF(OR(C59=0,C$3&lt;Inputs!$C$66),0,IF(C$3-Inputs!$C$66+1&lt;=Inputs!$C$64,0,MIN(PMT(Inputs!$C$61/12,Inputs!$C$62*12,-Inputs!$C$60)-C59*Inputs!$C$61/12,C59))),0)</f>
        <v>0</v>
      </c>
      <c r="D62" s="153">
        <f>IF(D$3&lt;=Inputs!$C$15*12,IF(OR(D59=0,D$3&lt;Inputs!$C$66),0,IF(D$3-Inputs!$C$66+1&lt;=Inputs!$C$64,0,MIN(PMT(Inputs!$C$61/12,Inputs!$C$62*12,-Inputs!$C$60)-D59*Inputs!$C$61/12,D59))),0)</f>
        <v>0</v>
      </c>
      <c r="E62" s="153">
        <f>IF(E$3&lt;=Inputs!$C$15*12,IF(OR(E59=0,E$3&lt;Inputs!$C$66),0,IF(E$3-Inputs!$C$66+1&lt;=Inputs!$C$64,0,MIN(PMT(Inputs!$C$61/12,Inputs!$C$62*12,-Inputs!$C$60)-E59*Inputs!$C$61/12,E59))),0)</f>
        <v>0</v>
      </c>
      <c r="F62" s="153">
        <f>IF(F$3&lt;=Inputs!$C$15*12,IF(OR(F59=0,F$3&lt;Inputs!$C$66),0,IF(F$3-Inputs!$C$66+1&lt;=Inputs!$C$64,0,MIN(PMT(Inputs!$C$61/12,Inputs!$C$62*12,-Inputs!$C$60)-F59*Inputs!$C$61/12,F59))),0)</f>
        <v>0</v>
      </c>
      <c r="G62" s="153">
        <f>IF(G$3&lt;=Inputs!$C$15*12,IF(OR(G59=0,G$3&lt;Inputs!$C$66),0,IF(G$3-Inputs!$C$66+1&lt;=Inputs!$C$64,0,MIN(PMT(Inputs!$C$61/12,Inputs!$C$62*12,-Inputs!$C$60)-G59*Inputs!$C$61/12,G59))),0)</f>
        <v>0</v>
      </c>
      <c r="H62" s="153">
        <f>IF(H$3&lt;=Inputs!$C$15*12,IF(OR(H59=0,H$3&lt;Inputs!$C$66),0,IF(H$3-Inputs!$C$66+1&lt;=Inputs!$C$64,0,MIN(PMT(Inputs!$C$61/12,Inputs!$C$62*12,-Inputs!$C$60)-H59*Inputs!$C$61/12,H59))),0)</f>
        <v>0</v>
      </c>
      <c r="I62" s="153">
        <f>IF(I$3&lt;=Inputs!$C$15*12,IF(OR(I59=0,I$3&lt;Inputs!$C$66),0,IF(I$3-Inputs!$C$66+1&lt;=Inputs!$C$64,0,MIN(PMT(Inputs!$C$61/12,Inputs!$C$62*12,-Inputs!$C$60)-I59*Inputs!$C$61/12,I59))),0)</f>
        <v>0</v>
      </c>
      <c r="J62" s="153">
        <f>IF(J$3&lt;=Inputs!$C$15*12,IF(OR(J59=0,J$3&lt;Inputs!$C$66),0,IF(J$3-Inputs!$C$66+1&lt;=Inputs!$C$64,0,MIN(PMT(Inputs!$C$61/12,Inputs!$C$62*12,-Inputs!$C$60)-J59*Inputs!$C$61/12,J59))),0)</f>
        <v>0</v>
      </c>
      <c r="K62" s="153">
        <f>IF(K$3&lt;=Inputs!$C$15*12,IF(OR(K59=0,K$3&lt;Inputs!$C$66),0,IF(K$3-Inputs!$C$66+1&lt;=Inputs!$C$64,0,MIN(PMT(Inputs!$C$61/12,Inputs!$C$62*12,-Inputs!$C$60)-K59*Inputs!$C$61/12,K59))),0)</f>
        <v>0</v>
      </c>
      <c r="L62" s="153">
        <f>IF(L$3&lt;=Inputs!$C$15*12,IF(OR(L59=0,L$3&lt;Inputs!$C$66),0,IF(L$3-Inputs!$C$66+1&lt;=Inputs!$C$64,0,MIN(PMT(Inputs!$C$61/12,Inputs!$C$62*12,-Inputs!$C$60)-L59*Inputs!$C$61/12,L59))),0)</f>
        <v>0</v>
      </c>
      <c r="M62" s="153">
        <f>IF(M$3&lt;=Inputs!$C$15*12,IF(OR(M59=0,M$3&lt;Inputs!$C$66),0,IF(M$3-Inputs!$C$66+1&lt;=Inputs!$C$64,0,MIN(PMT(Inputs!$C$61/12,Inputs!$C$62*12,-Inputs!$C$60)-M59*Inputs!$C$61/12,M59))),0)</f>
        <v>0</v>
      </c>
      <c r="N62" s="153">
        <f>IF(N$3&lt;=Inputs!$C$15*12,IF(OR(N59=0,N$3&lt;Inputs!$C$66),0,IF(N$3-Inputs!$C$66+1&lt;=Inputs!$C$64,0,MIN(PMT(Inputs!$C$61/12,Inputs!$C$62*12,-Inputs!$C$60)-N59*Inputs!$C$61/12,N59))),0)</f>
        <v>0</v>
      </c>
      <c r="O62" s="153">
        <f>IF(O$3&lt;=Inputs!$C$15*12,IF(OR(O59=0,O$3&lt;Inputs!$C$66),0,IF(O$3-Inputs!$C$66+1&lt;=Inputs!$C$64,0,MIN(PMT(Inputs!$C$61/12,Inputs!$C$62*12,-Inputs!$C$60)-O59*Inputs!$C$61/12,O59))),0)</f>
        <v>0</v>
      </c>
      <c r="P62" s="153">
        <f>IF(P$3&lt;=Inputs!$C$15*12,IF(OR(P59=0,P$3&lt;Inputs!$C$66),0,IF(P$3-Inputs!$C$66+1&lt;=Inputs!$C$64,0,MIN(PMT(Inputs!$C$61/12,Inputs!$C$62*12,-Inputs!$C$60)-P59*Inputs!$C$61/12,P59))),0)</f>
        <v>0</v>
      </c>
      <c r="Q62" s="153">
        <f>IF(Q$3&lt;=Inputs!$C$15*12,IF(OR(Q59=0,Q$3&lt;Inputs!$C$66),0,IF(Q$3-Inputs!$C$66+1&lt;=Inputs!$C$64,0,MIN(PMT(Inputs!$C$61/12,Inputs!$C$62*12,-Inputs!$C$60)-Q59*Inputs!$C$61/12,Q59))),0)</f>
        <v>0</v>
      </c>
      <c r="R62" s="153">
        <f>IF(R$3&lt;=Inputs!$C$15*12,IF(OR(R59=0,R$3&lt;Inputs!$C$66),0,IF(R$3-Inputs!$C$66+1&lt;=Inputs!$C$64,0,MIN(PMT(Inputs!$C$61/12,Inputs!$C$62*12,-Inputs!$C$60)-R59*Inputs!$C$61/12,R59))),0)</f>
        <v>0</v>
      </c>
      <c r="S62" s="153">
        <f>IF(S$3&lt;=Inputs!$C$15*12,IF(OR(S59=0,S$3&lt;Inputs!$C$66),0,IF(S$3-Inputs!$C$66+1&lt;=Inputs!$C$64,0,MIN(PMT(Inputs!$C$61/12,Inputs!$C$62*12,-Inputs!$C$60)-S59*Inputs!$C$61/12,S59))),0)</f>
        <v>0</v>
      </c>
      <c r="T62" s="153">
        <f>IF(T$3&lt;=Inputs!$C$15*12,IF(OR(T59=0,T$3&lt;Inputs!$C$66),0,IF(T$3-Inputs!$C$66+1&lt;=Inputs!$C$64,0,MIN(PMT(Inputs!$C$61/12,Inputs!$C$62*12,-Inputs!$C$60)-T59*Inputs!$C$61/12,T59))),0)</f>
        <v>0</v>
      </c>
      <c r="U62" s="153">
        <f>IF(U$3&lt;=Inputs!$C$15*12,IF(OR(U59=0,U$3&lt;Inputs!$C$66),0,IF(U$3-Inputs!$C$66+1&lt;=Inputs!$C$64,0,MIN(PMT(Inputs!$C$61/12,Inputs!$C$62*12,-Inputs!$C$60)-U59*Inputs!$C$61/12,U59))),0)</f>
        <v>0</v>
      </c>
      <c r="V62" s="153">
        <f>IF(V$3&lt;=Inputs!$C$15*12,IF(OR(V59=0,V$3&lt;Inputs!$C$66),0,IF(V$3-Inputs!$C$66+1&lt;=Inputs!$C$64,0,MIN(PMT(Inputs!$C$61/12,Inputs!$C$62*12,-Inputs!$C$60)-V59*Inputs!$C$61/12,V59))),0)</f>
        <v>0</v>
      </c>
      <c r="W62" s="153">
        <f>IF(W$3&lt;=Inputs!$C$15*12,IF(OR(W59=0,W$3&lt;Inputs!$C$66),0,IF(W$3-Inputs!$C$66+1&lt;=Inputs!$C$64,0,MIN(PMT(Inputs!$C$61/12,Inputs!$C$62*12,-Inputs!$C$60)-W59*Inputs!$C$61/12,W59))),0)</f>
        <v>0</v>
      </c>
      <c r="X62" s="153">
        <f>IF(X$3&lt;=Inputs!$C$15*12,IF(OR(X59=0,X$3&lt;Inputs!$C$66),0,IF(X$3-Inputs!$C$66+1&lt;=Inputs!$C$64,0,MIN(PMT(Inputs!$C$61/12,Inputs!$C$62*12,-Inputs!$C$60)-X59*Inputs!$C$61/12,X59))),0)</f>
        <v>0</v>
      </c>
      <c r="Y62" s="153">
        <f>IF(Y$3&lt;=Inputs!$C$15*12,IF(OR(Y59=0,Y$3&lt;Inputs!$C$66),0,IF(Y$3-Inputs!$C$66+1&lt;=Inputs!$C$64,0,MIN(PMT(Inputs!$C$61/12,Inputs!$C$62*12,-Inputs!$C$60)-Y59*Inputs!$C$61/12,Y59))),0)</f>
        <v>0</v>
      </c>
      <c r="Z62" s="153">
        <f>IF(Z$3&lt;=Inputs!$C$15*12,IF(OR(Z59=0,Z$3&lt;Inputs!$C$66),0,IF(Z$3-Inputs!$C$66+1&lt;=Inputs!$C$64,0,MIN(PMT(Inputs!$C$61/12,Inputs!$C$62*12,-Inputs!$C$60)-Z59*Inputs!$C$61/12,Z59))),0)</f>
        <v>0</v>
      </c>
      <c r="AA62" s="153">
        <f>IF(AA$3&lt;=Inputs!$C$15*12,IF(OR(AA59=0,AA$3&lt;Inputs!$C$66),0,IF(AA$3-Inputs!$C$66+1&lt;=Inputs!$C$64,0,MIN(PMT(Inputs!$C$61/12,Inputs!$C$62*12,-Inputs!$C$60)-AA59*Inputs!$C$61/12,AA59))),0)</f>
        <v>0</v>
      </c>
      <c r="AB62" s="153">
        <f>IF(AB$3&lt;=Inputs!$C$15*12,IF(OR(AB59=0,AB$3&lt;Inputs!$C$66),0,IF(AB$3-Inputs!$C$66+1&lt;=Inputs!$C$64,0,MIN(PMT(Inputs!$C$61/12,Inputs!$C$62*12,-Inputs!$C$60)-AB59*Inputs!$C$61/12,AB59))),0)</f>
        <v>0</v>
      </c>
      <c r="AC62" s="153">
        <f>IF(AC$3&lt;=Inputs!$C$15*12,IF(OR(AC59=0,AC$3&lt;Inputs!$C$66),0,IF(AC$3-Inputs!$C$66+1&lt;=Inputs!$C$64,0,MIN(PMT(Inputs!$C$61/12,Inputs!$C$62*12,-Inputs!$C$60)-AC59*Inputs!$C$61/12,AC59))),0)</f>
        <v>0</v>
      </c>
      <c r="AD62" s="153">
        <f>IF(AD$3&lt;=Inputs!$C$15*12,IF(OR(AD59=0,AD$3&lt;Inputs!$C$66),0,IF(AD$3-Inputs!$C$66+1&lt;=Inputs!$C$64,0,MIN(PMT(Inputs!$C$61/12,Inputs!$C$62*12,-Inputs!$C$60)-AD59*Inputs!$C$61/12,AD59))),0)</f>
        <v>0</v>
      </c>
      <c r="AE62" s="153">
        <f>IF(AE$3&lt;=Inputs!$C$15*12,IF(OR(AE59=0,AE$3&lt;Inputs!$C$66),0,IF(AE$3-Inputs!$C$66+1&lt;=Inputs!$C$64,0,MIN(PMT(Inputs!$C$61/12,Inputs!$C$62*12,-Inputs!$C$60)-AE59*Inputs!$C$61/12,AE59))),0)</f>
        <v>0</v>
      </c>
      <c r="AF62" s="153">
        <f>IF(AF$3&lt;=Inputs!$C$15*12,IF(OR(AF59=0,AF$3&lt;Inputs!$C$66),0,IF(AF$3-Inputs!$C$66+1&lt;=Inputs!$C$64,0,MIN(PMT(Inputs!$C$61/12,Inputs!$C$62*12,-Inputs!$C$60)-AF59*Inputs!$C$61/12,AF59))),0)</f>
        <v>0</v>
      </c>
      <c r="AG62" s="153">
        <f>IF(AG$3&lt;=Inputs!$C$15*12,IF(OR(AG59=0,AG$3&lt;Inputs!$C$66),0,IF(AG$3-Inputs!$C$66+1&lt;=Inputs!$C$64,0,MIN(PMT(Inputs!$C$61/12,Inputs!$C$62*12,-Inputs!$C$60)-AG59*Inputs!$C$61/12,AG59))),0)</f>
        <v>0</v>
      </c>
      <c r="AH62" s="153">
        <f>IF(AH$3&lt;=Inputs!$C$15*12,IF(OR(AH59=0,AH$3&lt;Inputs!$C$66),0,IF(AH$3-Inputs!$C$66+1&lt;=Inputs!$C$64,0,MIN(PMT(Inputs!$C$61/12,Inputs!$C$62*12,-Inputs!$C$60)-AH59*Inputs!$C$61/12,AH59))),0)</f>
        <v>0</v>
      </c>
      <c r="AI62" s="153">
        <f>IF(AI$3&lt;=Inputs!$C$15*12,IF(OR(AI59=0,AI$3&lt;Inputs!$C$66),0,IF(AI$3-Inputs!$C$66+1&lt;=Inputs!$C$64,0,MIN(PMT(Inputs!$C$61/12,Inputs!$C$62*12,-Inputs!$C$60)-AI59*Inputs!$C$61/12,AI59))),0)</f>
        <v>0</v>
      </c>
      <c r="AJ62" s="153">
        <f>IF(AJ$3&lt;=Inputs!$C$15*12,IF(OR(AJ59=0,AJ$3&lt;Inputs!$C$66),0,IF(AJ$3-Inputs!$C$66+1&lt;=Inputs!$C$64,0,MIN(PMT(Inputs!$C$61/12,Inputs!$C$62*12,-Inputs!$C$60)-AJ59*Inputs!$C$61/12,AJ59))),0)</f>
        <v>0</v>
      </c>
      <c r="AK62" s="153">
        <f>IF(AK$3&lt;=Inputs!$C$15*12,IF(OR(AK59=0,AK$3&lt;Inputs!$C$66),0,IF(AK$3-Inputs!$C$66+1&lt;=Inputs!$C$64,0,MIN(PMT(Inputs!$C$61/12,Inputs!$C$62*12,-Inputs!$C$60)-AK59*Inputs!$C$61/12,AK59))),0)</f>
        <v>0</v>
      </c>
      <c r="AL62" s="153">
        <f>IF(AL$3&lt;=Inputs!$C$15*12,IF(OR(AL59=0,AL$3&lt;Inputs!$C$66),0,IF(AL$3-Inputs!$C$66+1&lt;=Inputs!$C$64,0,MIN(PMT(Inputs!$C$61/12,Inputs!$C$62*12,-Inputs!$C$60)-AL59*Inputs!$C$61/12,AL59))),0)</f>
        <v>0</v>
      </c>
      <c r="AM62" s="153">
        <f>IF(AM$3&lt;=Inputs!$C$15*12,IF(OR(AM59=0,AM$3&lt;Inputs!$C$66),0,IF(AM$3-Inputs!$C$66+1&lt;=Inputs!$C$64,0,MIN(PMT(Inputs!$C$61/12,Inputs!$C$62*12,-Inputs!$C$60)-AM59*Inputs!$C$61/12,AM59))),0)</f>
        <v>0</v>
      </c>
      <c r="AN62" s="153">
        <f>IF(AN$3&lt;=Inputs!$C$15*12,IF(OR(AN59=0,AN$3&lt;Inputs!$C$66),0,IF(AN$3-Inputs!$C$66+1&lt;=Inputs!$C$64,0,MIN(PMT(Inputs!$C$61/12,Inputs!$C$62*12,-Inputs!$C$60)-AN59*Inputs!$C$61/12,AN59))),0)</f>
        <v>0</v>
      </c>
      <c r="AO62" s="153">
        <f>IF(AO$3&lt;=Inputs!$C$15*12,IF(OR(AO59=0,AO$3&lt;Inputs!$C$66),0,IF(AO$3-Inputs!$C$66+1&lt;=Inputs!$C$64,0,MIN(PMT(Inputs!$C$61/12,Inputs!$C$62*12,-Inputs!$C$60)-AO59*Inputs!$C$61/12,AO59))),0)</f>
        <v>0</v>
      </c>
      <c r="AP62" s="153">
        <f>IF(AP$3&lt;=Inputs!$C$15*12,IF(OR(AP59=0,AP$3&lt;Inputs!$C$66),0,IF(AP$3-Inputs!$C$66+1&lt;=Inputs!$C$64,0,MIN(PMT(Inputs!$C$61/12,Inputs!$C$62*12,-Inputs!$C$60)-AP59*Inputs!$C$61/12,AP59))),0)</f>
        <v>0</v>
      </c>
      <c r="AQ62" s="153">
        <f>IF(AQ$3&lt;=Inputs!$C$15*12,IF(OR(AQ59=0,AQ$3&lt;Inputs!$C$66),0,IF(AQ$3-Inputs!$C$66+1&lt;=Inputs!$C$64,0,MIN(PMT(Inputs!$C$61/12,Inputs!$C$62*12,-Inputs!$C$60)-AQ59*Inputs!$C$61/12,AQ59))),0)</f>
        <v>0</v>
      </c>
      <c r="AR62" s="153">
        <f>IF(AR$3&lt;=Inputs!$C$15*12,IF(OR(AR59=0,AR$3&lt;Inputs!$C$66),0,IF(AR$3-Inputs!$C$66+1&lt;=Inputs!$C$64,0,MIN(PMT(Inputs!$C$61/12,Inputs!$C$62*12,-Inputs!$C$60)-AR59*Inputs!$C$61/12,AR59))),0)</f>
        <v>0</v>
      </c>
      <c r="AS62" s="153">
        <f>IF(AS$3&lt;=Inputs!$C$15*12,IF(OR(AS59=0,AS$3&lt;Inputs!$C$66),0,IF(AS$3-Inputs!$C$66+1&lt;=Inputs!$C$64,0,MIN(PMT(Inputs!$C$61/12,Inputs!$C$62*12,-Inputs!$C$60)-AS59*Inputs!$C$61/12,AS59))),0)</f>
        <v>0</v>
      </c>
      <c r="AT62" s="153">
        <f>IF(AT$3&lt;=Inputs!$C$15*12,IF(OR(AT59=0,AT$3&lt;Inputs!$C$66),0,IF(AT$3-Inputs!$C$66+1&lt;=Inputs!$C$64,0,MIN(PMT(Inputs!$C$61/12,Inputs!$C$62*12,-Inputs!$C$60)-AT59*Inputs!$C$61/12,AT59))),0)</f>
        <v>0</v>
      </c>
      <c r="AU62" s="153">
        <f>IF(AU$3&lt;=Inputs!$C$15*12,IF(OR(AU59=0,AU$3&lt;Inputs!$C$66),0,IF(AU$3-Inputs!$C$66+1&lt;=Inputs!$C$64,0,MIN(PMT(Inputs!$C$61/12,Inputs!$C$62*12,-Inputs!$C$60)-AU59*Inputs!$C$61/12,AU59))),0)</f>
        <v>0</v>
      </c>
      <c r="AV62" s="153">
        <f>IF(AV$3&lt;=Inputs!$C$15*12,IF(OR(AV59=0,AV$3&lt;Inputs!$C$66),0,IF(AV$3-Inputs!$C$66+1&lt;=Inputs!$C$64,0,MIN(PMT(Inputs!$C$61/12,Inputs!$C$62*12,-Inputs!$C$60)-AV59*Inputs!$C$61/12,AV59))),0)</f>
        <v>0</v>
      </c>
      <c r="AW62" s="153">
        <f>IF(AW$3&lt;=Inputs!$C$15*12,IF(OR(AW59=0,AW$3&lt;Inputs!$C$66),0,IF(AW$3-Inputs!$C$66+1&lt;=Inputs!$C$64,0,MIN(PMT(Inputs!$C$61/12,Inputs!$C$62*12,-Inputs!$C$60)-AW59*Inputs!$C$61/12,AW59))),0)</f>
        <v>0</v>
      </c>
      <c r="AX62" s="153">
        <f>IF(AX$3&lt;=Inputs!$C$15*12,IF(OR(AX59=0,AX$3&lt;Inputs!$C$66),0,IF(AX$3-Inputs!$C$66+1&lt;=Inputs!$C$64,0,MIN(PMT(Inputs!$C$61/12,Inputs!$C$62*12,-Inputs!$C$60)-AX59*Inputs!$C$61/12,AX59))),0)</f>
        <v>0</v>
      </c>
      <c r="AY62" s="153">
        <f>IF(AY$3&lt;=Inputs!$C$15*12,IF(OR(AY59=0,AY$3&lt;Inputs!$C$66),0,IF(AY$3-Inputs!$C$66+1&lt;=Inputs!$C$64,0,MIN(PMT(Inputs!$C$61/12,Inputs!$C$62*12,-Inputs!$C$60)-AY59*Inputs!$C$61/12,AY59))),0)</f>
        <v>0</v>
      </c>
      <c r="AZ62" s="153">
        <f>IF(AZ$3&lt;=Inputs!$C$15*12,IF(OR(AZ59=0,AZ$3&lt;Inputs!$C$66),0,IF(AZ$3-Inputs!$C$66+1&lt;=Inputs!$C$64,0,MIN(PMT(Inputs!$C$61/12,Inputs!$C$62*12,-Inputs!$C$60)-AZ59*Inputs!$C$61/12,AZ59))),0)</f>
        <v>0</v>
      </c>
      <c r="BA62" s="153">
        <f>IF(BA$3&lt;=Inputs!$C$15*12,IF(OR(BA59=0,BA$3&lt;Inputs!$C$66),0,IF(BA$3-Inputs!$C$66+1&lt;=Inputs!$C$64,0,MIN(PMT(Inputs!$C$61/12,Inputs!$C$62*12,-Inputs!$C$60)-BA59*Inputs!$C$61/12,BA59))),0)</f>
        <v>0</v>
      </c>
      <c r="BB62" s="153">
        <f>IF(BB$3&lt;=Inputs!$C$15*12,IF(OR(BB59=0,BB$3&lt;Inputs!$C$66),0,IF(BB$3-Inputs!$C$66+1&lt;=Inputs!$C$64,0,MIN(PMT(Inputs!$C$61/12,Inputs!$C$62*12,-Inputs!$C$60)-BB59*Inputs!$C$61/12,BB59))),0)</f>
        <v>0</v>
      </c>
      <c r="BC62" s="153">
        <f>IF(BC$3&lt;=Inputs!$C$15*12,IF(OR(BC59=0,BC$3&lt;Inputs!$C$66),0,IF(BC$3-Inputs!$C$66+1&lt;=Inputs!$C$64,0,MIN(PMT(Inputs!$C$61/12,Inputs!$C$62*12,-Inputs!$C$60)-BC59*Inputs!$C$61/12,BC59))),0)</f>
        <v>0</v>
      </c>
      <c r="BD62" s="153">
        <f>IF(BD$3&lt;=Inputs!$C$15*12,IF(OR(BD59=0,BD$3&lt;Inputs!$C$66),0,IF(BD$3-Inputs!$C$66+1&lt;=Inputs!$C$64,0,MIN(PMT(Inputs!$C$61/12,Inputs!$C$62*12,-Inputs!$C$60)-BD59*Inputs!$C$61/12,BD59))),0)</f>
        <v>0</v>
      </c>
      <c r="BE62" s="153">
        <f>IF(BE$3&lt;=Inputs!$C$15*12,IF(OR(BE59=0,BE$3&lt;Inputs!$C$66),0,IF(BE$3-Inputs!$C$66+1&lt;=Inputs!$C$64,0,MIN(PMT(Inputs!$C$61/12,Inputs!$C$62*12,-Inputs!$C$60)-BE59*Inputs!$C$61/12,BE59))),0)</f>
        <v>0</v>
      </c>
      <c r="BF62" s="153">
        <f>IF(BF$3&lt;=Inputs!$C$15*12,IF(OR(BF59=0,BF$3&lt;Inputs!$C$66),0,IF(BF$3-Inputs!$C$66+1&lt;=Inputs!$C$64,0,MIN(PMT(Inputs!$C$61/12,Inputs!$C$62*12,-Inputs!$C$60)-BF59*Inputs!$C$61/12,BF59))),0)</f>
        <v>0</v>
      </c>
      <c r="BG62" s="153">
        <f>IF(BG$3&lt;=Inputs!$C$15*12,IF(OR(BG59=0,BG$3&lt;Inputs!$C$66),0,IF(BG$3-Inputs!$C$66+1&lt;=Inputs!$C$64,0,MIN(PMT(Inputs!$C$61/12,Inputs!$C$62*12,-Inputs!$C$60)-BG59*Inputs!$C$61/12,BG59))),0)</f>
        <v>0</v>
      </c>
      <c r="BH62" s="153">
        <f>IF(BH$3&lt;=Inputs!$C$15*12,IF(OR(BH59=0,BH$3&lt;Inputs!$C$66),0,IF(BH$3-Inputs!$C$66+1&lt;=Inputs!$C$64,0,MIN(PMT(Inputs!$C$61/12,Inputs!$C$62*12,-Inputs!$C$60)-BH59*Inputs!$C$61/12,BH59))),0)</f>
        <v>0</v>
      </c>
      <c r="BI62" s="153">
        <f>IF(BI$3&lt;=Inputs!$C$15*12,IF(OR(BI59=0,BI$3&lt;Inputs!$C$66),0,IF(BI$3-Inputs!$C$66+1&lt;=Inputs!$C$64,0,MIN(PMT(Inputs!$C$61/12,Inputs!$C$62*12,-Inputs!$C$60)-BI59*Inputs!$C$61/12,BI59))),0)</f>
        <v>0</v>
      </c>
      <c r="BJ62" s="153">
        <f>IF(BJ$3&lt;=Inputs!$C$15*12,IF(OR(BJ59=0,BJ$3&lt;Inputs!$C$66),0,IF(BJ$3-Inputs!$C$66+1&lt;=Inputs!$C$64,0,MIN(PMT(Inputs!$C$61/12,Inputs!$C$62*12,-Inputs!$C$60)-BJ59*Inputs!$C$61/12,BJ59))),0)</f>
        <v>0</v>
      </c>
      <c r="BK62" s="153">
        <f>IF(BK$3&lt;=Inputs!$C$15*12,IF(OR(BK59=0,BK$3&lt;Inputs!$C$66),0,IF(BK$3-Inputs!$C$66+1&lt;=Inputs!$C$64,0,MIN(PMT(Inputs!$C$61/12,Inputs!$C$62*12,-Inputs!$C$60)-BK59*Inputs!$C$61/12,BK59))),0)</f>
        <v>0</v>
      </c>
      <c r="BL62" s="153">
        <f>IF(BL$3&lt;=Inputs!$C$15*12,IF(OR(BL59=0,BL$3&lt;Inputs!$C$66),0,IF(BL$3-Inputs!$C$66+1&lt;=Inputs!$C$64,0,MIN(PMT(Inputs!$C$61/12,Inputs!$C$62*12,-Inputs!$C$60)-BL59*Inputs!$C$61/12,BL59))),0)</f>
        <v>0</v>
      </c>
      <c r="BM62" s="153">
        <f>IF(BM$3&lt;=Inputs!$C$15*12,IF(OR(BM59=0,BM$3&lt;Inputs!$C$66),0,IF(BM$3-Inputs!$C$66+1&lt;=Inputs!$C$64,0,MIN(PMT(Inputs!$C$61/12,Inputs!$C$62*12,-Inputs!$C$60)-BM59*Inputs!$C$61/12,BM59))),0)</f>
        <v>0</v>
      </c>
      <c r="BN62" s="153">
        <f>IF(BN$3&lt;=Inputs!$C$15*12,IF(OR(BN59=0,BN$3&lt;Inputs!$C$66),0,IF(BN$3-Inputs!$C$66+1&lt;=Inputs!$C$64,0,MIN(PMT(Inputs!$C$61/12,Inputs!$C$62*12,-Inputs!$C$60)-BN59*Inputs!$C$61/12,BN59))),0)</f>
        <v>0</v>
      </c>
      <c r="BO62" s="153">
        <f>IF(BO$3&lt;=Inputs!$C$15*12,IF(OR(BO59=0,BO$3&lt;Inputs!$C$66),0,IF(BO$3-Inputs!$C$66+1&lt;=Inputs!$C$64,0,MIN(PMT(Inputs!$C$61/12,Inputs!$C$62*12,-Inputs!$C$60)-BO59*Inputs!$C$61/12,BO59))),0)</f>
        <v>0</v>
      </c>
      <c r="BP62" s="153">
        <f>IF(BP$3&lt;=Inputs!$C$15*12,IF(OR(BP59=0,BP$3&lt;Inputs!$C$66),0,IF(BP$3-Inputs!$C$66+1&lt;=Inputs!$C$64,0,MIN(PMT(Inputs!$C$61/12,Inputs!$C$62*12,-Inputs!$C$60)-BP59*Inputs!$C$61/12,BP59))),0)</f>
        <v>0</v>
      </c>
      <c r="BQ62" s="153">
        <f>IF(BQ$3&lt;=Inputs!$C$15*12,IF(OR(BQ59=0,BQ$3&lt;Inputs!$C$66),0,IF(BQ$3-Inputs!$C$66+1&lt;=Inputs!$C$64,0,MIN(PMT(Inputs!$C$61/12,Inputs!$C$62*12,-Inputs!$C$60)-BQ59*Inputs!$C$61/12,BQ59))),0)</f>
        <v>0</v>
      </c>
      <c r="BR62" s="153">
        <f>IF(BR$3&lt;=Inputs!$C$15*12,IF(OR(BR59=0,BR$3&lt;Inputs!$C$66),0,IF(BR$3-Inputs!$C$66+1&lt;=Inputs!$C$64,0,MIN(PMT(Inputs!$C$61/12,Inputs!$C$62*12,-Inputs!$C$60)-BR59*Inputs!$C$61/12,BR59))),0)</f>
        <v>0</v>
      </c>
      <c r="BS62" s="153">
        <f>IF(BS$3&lt;=Inputs!$C$15*12,IF(OR(BS59=0,BS$3&lt;Inputs!$C$66),0,IF(BS$3-Inputs!$C$66+1&lt;=Inputs!$C$64,0,MIN(PMT(Inputs!$C$61/12,Inputs!$C$62*12,-Inputs!$C$60)-BS59*Inputs!$C$61/12,BS59))),0)</f>
        <v>0</v>
      </c>
      <c r="BT62" s="153">
        <f>IF(BT$3&lt;=Inputs!$C$15*12,IF(OR(BT59=0,BT$3&lt;Inputs!$C$66),0,IF(BT$3-Inputs!$C$66+1&lt;=Inputs!$C$64,0,MIN(PMT(Inputs!$C$61/12,Inputs!$C$62*12,-Inputs!$C$60)-BT59*Inputs!$C$61/12,BT59))),0)</f>
        <v>0</v>
      </c>
      <c r="BU62" s="153">
        <f>IF(BU$3&lt;=Inputs!$C$15*12,IF(OR(BU59=0,BU$3&lt;Inputs!$C$66),0,IF(BU$3-Inputs!$C$66+1&lt;=Inputs!$C$64,0,MIN(PMT(Inputs!$C$61/12,Inputs!$C$62*12,-Inputs!$C$60)-BU59*Inputs!$C$61/12,BU59))),0)</f>
        <v>0</v>
      </c>
      <c r="BV62" s="153">
        <f>IF(BV$3&lt;=Inputs!$C$15*12,IF(OR(BV59=0,BV$3&lt;Inputs!$C$66),0,IF(BV$3-Inputs!$C$66+1&lt;=Inputs!$C$64,0,MIN(PMT(Inputs!$C$61/12,Inputs!$C$62*12,-Inputs!$C$60)-BV59*Inputs!$C$61/12,BV59))),0)</f>
        <v>0</v>
      </c>
      <c r="BW62" s="153">
        <f>IF(BW$3&lt;=Inputs!$C$15*12,IF(OR(BW59=0,BW$3&lt;Inputs!$C$66),0,IF(BW$3-Inputs!$C$66+1&lt;=Inputs!$C$64,0,MIN(PMT(Inputs!$C$61/12,Inputs!$C$62*12,-Inputs!$C$60)-BW59*Inputs!$C$61/12,BW59))),0)</f>
        <v>0</v>
      </c>
      <c r="BX62" s="153">
        <f>IF(BX$3&lt;=Inputs!$C$15*12,IF(OR(BX59=0,BX$3&lt;Inputs!$C$66),0,IF(BX$3-Inputs!$C$66+1&lt;=Inputs!$C$64,0,MIN(PMT(Inputs!$C$61/12,Inputs!$C$62*12,-Inputs!$C$60)-BX59*Inputs!$C$61/12,BX59))),0)</f>
        <v>0</v>
      </c>
      <c r="BY62" s="153">
        <f>IF(BY$3&lt;=Inputs!$C$15*12,IF(OR(BY59=0,BY$3&lt;Inputs!$C$66),0,IF(BY$3-Inputs!$C$66+1&lt;=Inputs!$C$64,0,MIN(PMT(Inputs!$C$61/12,Inputs!$C$62*12,-Inputs!$C$60)-BY59*Inputs!$C$61/12,BY59))),0)</f>
        <v>0</v>
      </c>
      <c r="BZ62" s="153">
        <f>IF(BZ$3&lt;=Inputs!$C$15*12,IF(OR(BZ59=0,BZ$3&lt;Inputs!$C$66),0,IF(BZ$3-Inputs!$C$66+1&lt;=Inputs!$C$64,0,MIN(PMT(Inputs!$C$61/12,Inputs!$C$62*12,-Inputs!$C$60)-BZ59*Inputs!$C$61/12,BZ59))),0)</f>
        <v>0</v>
      </c>
      <c r="CA62" s="153">
        <f>IF(CA$3&lt;=Inputs!$C$15*12,IF(OR(CA59=0,CA$3&lt;Inputs!$C$66),0,IF(CA$3-Inputs!$C$66+1&lt;=Inputs!$C$64,0,MIN(PMT(Inputs!$C$61/12,Inputs!$C$62*12,-Inputs!$C$60)-CA59*Inputs!$C$61/12,CA59))),0)</f>
        <v>0</v>
      </c>
      <c r="CB62" s="153">
        <f>IF(CB$3&lt;=Inputs!$C$15*12,IF(OR(CB59=0,CB$3&lt;Inputs!$C$66),0,IF(CB$3-Inputs!$C$66+1&lt;=Inputs!$C$64,0,MIN(PMT(Inputs!$C$61/12,Inputs!$C$62*12,-Inputs!$C$60)-CB59*Inputs!$C$61/12,CB59))),0)</f>
        <v>0</v>
      </c>
      <c r="CC62" s="153">
        <f>IF(CC$3&lt;=Inputs!$C$15*12,IF(OR(CC59=0,CC$3&lt;Inputs!$C$66),0,IF(CC$3-Inputs!$C$66+1&lt;=Inputs!$C$64,0,MIN(PMT(Inputs!$C$61/12,Inputs!$C$62*12,-Inputs!$C$60)-CC59*Inputs!$C$61/12,CC59))),0)</f>
        <v>0</v>
      </c>
      <c r="CD62" s="153">
        <f>IF(CD$3&lt;=Inputs!$C$15*12,IF(OR(CD59=0,CD$3&lt;Inputs!$C$66),0,IF(CD$3-Inputs!$C$66+1&lt;=Inputs!$C$64,0,MIN(PMT(Inputs!$C$61/12,Inputs!$C$62*12,-Inputs!$C$60)-CD59*Inputs!$C$61/12,CD59))),0)</f>
        <v>0</v>
      </c>
      <c r="CE62" s="153">
        <f>IF(CE$3&lt;=Inputs!$C$15*12,IF(OR(CE59=0,CE$3&lt;Inputs!$C$66),0,IF(CE$3-Inputs!$C$66+1&lt;=Inputs!$C$64,0,MIN(PMT(Inputs!$C$61/12,Inputs!$C$62*12,-Inputs!$C$60)-CE59*Inputs!$C$61/12,CE59))),0)</f>
        <v>0</v>
      </c>
      <c r="CF62" s="153">
        <f>IF(CF$3&lt;=Inputs!$C$15*12,IF(OR(CF59=0,CF$3&lt;Inputs!$C$66),0,IF(CF$3-Inputs!$C$66+1&lt;=Inputs!$C$64,0,MIN(PMT(Inputs!$C$61/12,Inputs!$C$62*12,-Inputs!$C$60)-CF59*Inputs!$C$61/12,CF59))),0)</f>
        <v>0</v>
      </c>
      <c r="CG62" s="153">
        <f>IF(CG$3&lt;=Inputs!$C$15*12,IF(OR(CG59=0,CG$3&lt;Inputs!$C$66),0,IF(CG$3-Inputs!$C$66+1&lt;=Inputs!$C$64,0,MIN(PMT(Inputs!$C$61/12,Inputs!$C$62*12,-Inputs!$C$60)-CG59*Inputs!$C$61/12,CG59))),0)</f>
        <v>0</v>
      </c>
      <c r="CH62" s="153">
        <f>IF(CH$3&lt;=Inputs!$C$15*12,IF(OR(CH59=0,CH$3&lt;Inputs!$C$66),0,IF(CH$3-Inputs!$C$66+1&lt;=Inputs!$C$64,0,MIN(PMT(Inputs!$C$61/12,Inputs!$C$62*12,-Inputs!$C$60)-CH59*Inputs!$C$61/12,CH59))),0)</f>
        <v>0</v>
      </c>
      <c r="CI62" s="153">
        <f>IF(CI$3&lt;=Inputs!$C$15*12,IF(OR(CI59=0,CI$3&lt;Inputs!$C$66),0,IF(CI$3-Inputs!$C$66+1&lt;=Inputs!$C$64,0,MIN(PMT(Inputs!$C$61/12,Inputs!$C$62*12,-Inputs!$C$60)-CI59*Inputs!$C$61/12,CI59))),0)</f>
        <v>0</v>
      </c>
      <c r="CJ62" s="153">
        <f>IF(CJ$3&lt;=Inputs!$C$15*12,IF(OR(CJ59=0,CJ$3&lt;Inputs!$C$66),0,IF(CJ$3-Inputs!$C$66+1&lt;=Inputs!$C$64,0,MIN(PMT(Inputs!$C$61/12,Inputs!$C$62*12,-Inputs!$C$60)-CJ59*Inputs!$C$61/12,CJ59))),0)</f>
        <v>0</v>
      </c>
      <c r="CK62" s="153">
        <f>IF(CK$3&lt;=Inputs!$C$15*12,IF(OR(CK59=0,CK$3&lt;Inputs!$C$66),0,IF(CK$3-Inputs!$C$66+1&lt;=Inputs!$C$64,0,MIN(PMT(Inputs!$C$61/12,Inputs!$C$62*12,-Inputs!$C$60)-CK59*Inputs!$C$61/12,CK59))),0)</f>
        <v>0</v>
      </c>
      <c r="CL62" s="153">
        <f>IF(CL$3&lt;=Inputs!$C$15*12,IF(OR(CL59=0,CL$3&lt;Inputs!$C$66),0,IF(CL$3-Inputs!$C$66+1&lt;=Inputs!$C$64,0,MIN(PMT(Inputs!$C$61/12,Inputs!$C$62*12,-Inputs!$C$60)-CL59*Inputs!$C$61/12,CL59))),0)</f>
        <v>0</v>
      </c>
      <c r="CM62" s="153">
        <f>IF(CM$3&lt;=Inputs!$C$15*12,IF(OR(CM59=0,CM$3&lt;Inputs!$C$66),0,IF(CM$3-Inputs!$C$66+1&lt;=Inputs!$C$64,0,MIN(PMT(Inputs!$C$61/12,Inputs!$C$62*12,-Inputs!$C$60)-CM59*Inputs!$C$61/12,CM59))),0)</f>
        <v>0</v>
      </c>
      <c r="CN62" s="153">
        <f>IF(CN$3&lt;=Inputs!$C$15*12,IF(OR(CN59=0,CN$3&lt;Inputs!$C$66),0,IF(CN$3-Inputs!$C$66+1&lt;=Inputs!$C$64,0,MIN(PMT(Inputs!$C$61/12,Inputs!$C$62*12,-Inputs!$C$60)-CN59*Inputs!$C$61/12,CN59))),0)</f>
        <v>0</v>
      </c>
      <c r="CO62" s="153">
        <f>IF(CO$3&lt;=Inputs!$C$15*12,IF(OR(CO59=0,CO$3&lt;Inputs!$C$66),0,IF(CO$3-Inputs!$C$66+1&lt;=Inputs!$C$64,0,MIN(PMT(Inputs!$C$61/12,Inputs!$C$62*12,-Inputs!$C$60)-CO59*Inputs!$C$61/12,CO59))),0)</f>
        <v>0</v>
      </c>
      <c r="CP62" s="153">
        <f>IF(CP$3&lt;=Inputs!$C$15*12,IF(OR(CP59=0,CP$3&lt;Inputs!$C$66),0,IF(CP$3-Inputs!$C$66+1&lt;=Inputs!$C$64,0,MIN(PMT(Inputs!$C$61/12,Inputs!$C$62*12,-Inputs!$C$60)-CP59*Inputs!$C$61/12,CP59))),0)</f>
        <v>0</v>
      </c>
      <c r="CQ62" s="153">
        <f>IF(CQ$3&lt;=Inputs!$C$15*12,IF(OR(CQ59=0,CQ$3&lt;Inputs!$C$66),0,IF(CQ$3-Inputs!$C$66+1&lt;=Inputs!$C$64,0,MIN(PMT(Inputs!$C$61/12,Inputs!$C$62*12,-Inputs!$C$60)-CQ59*Inputs!$C$61/12,CQ59))),0)</f>
        <v>0</v>
      </c>
      <c r="CR62" s="153">
        <f>IF(CR$3&lt;=Inputs!$C$15*12,IF(OR(CR59=0,CR$3&lt;Inputs!$C$66),0,IF(CR$3-Inputs!$C$66+1&lt;=Inputs!$C$64,0,MIN(PMT(Inputs!$C$61/12,Inputs!$C$62*12,-Inputs!$C$60)-CR59*Inputs!$C$61/12,CR59))),0)</f>
        <v>0</v>
      </c>
      <c r="CS62" s="153">
        <f>IF(CS$3&lt;=Inputs!$C$15*12,IF(OR(CS59=0,CS$3&lt;Inputs!$C$66),0,IF(CS$3-Inputs!$C$66+1&lt;=Inputs!$C$64,0,MIN(PMT(Inputs!$C$61/12,Inputs!$C$62*12,-Inputs!$C$60)-CS59*Inputs!$C$61/12,CS59))),0)</f>
        <v>0</v>
      </c>
      <c r="CT62" s="153">
        <f>IF(CT$3&lt;=Inputs!$C$15*12,IF(OR(CT59=0,CT$3&lt;Inputs!$C$66),0,IF(CT$3-Inputs!$C$66+1&lt;=Inputs!$C$64,0,MIN(PMT(Inputs!$C$61/12,Inputs!$C$62*12,-Inputs!$C$60)-CT59*Inputs!$C$61/12,CT59))),0)</f>
        <v>0</v>
      </c>
      <c r="CU62" s="153">
        <f>IF(CU$3&lt;=Inputs!$C$15*12,IF(OR(CU59=0,CU$3&lt;Inputs!$C$66),0,IF(CU$3-Inputs!$C$66+1&lt;=Inputs!$C$64,0,MIN(PMT(Inputs!$C$61/12,Inputs!$C$62*12,-Inputs!$C$60)-CU59*Inputs!$C$61/12,CU59))),0)</f>
        <v>0</v>
      </c>
      <c r="CV62" s="153">
        <f>IF(CV$3&lt;=Inputs!$C$15*12,IF(OR(CV59=0,CV$3&lt;Inputs!$C$66),0,IF(CV$3-Inputs!$C$66+1&lt;=Inputs!$C$64,0,MIN(PMT(Inputs!$C$61/12,Inputs!$C$62*12,-Inputs!$C$60)-CV59*Inputs!$C$61/12,CV59))),0)</f>
        <v>0</v>
      </c>
      <c r="CW62" s="153">
        <f>IF(CW$3&lt;=Inputs!$C$15*12,IF(OR(CW59=0,CW$3&lt;Inputs!$C$66),0,IF(CW$3-Inputs!$C$66+1&lt;=Inputs!$C$64,0,MIN(PMT(Inputs!$C$61/12,Inputs!$C$62*12,-Inputs!$C$60)-CW59*Inputs!$C$61/12,CW59))),0)</f>
        <v>0</v>
      </c>
      <c r="CX62" s="153">
        <f>IF(CX$3&lt;=Inputs!$C$15*12,IF(OR(CX59=0,CX$3&lt;Inputs!$C$66),0,IF(CX$3-Inputs!$C$66+1&lt;=Inputs!$C$64,0,MIN(PMT(Inputs!$C$61/12,Inputs!$C$62*12,-Inputs!$C$60)-CX59*Inputs!$C$61/12,CX59))),0)</f>
        <v>0</v>
      </c>
      <c r="CY62" s="153">
        <f>IF(CY$3&lt;=Inputs!$C$15*12,IF(OR(CY59=0,CY$3&lt;Inputs!$C$66),0,IF(CY$3-Inputs!$C$66+1&lt;=Inputs!$C$64,0,MIN(PMT(Inputs!$C$61/12,Inputs!$C$62*12,-Inputs!$C$60)-CY59*Inputs!$C$61/12,CY59))),0)</f>
        <v>0</v>
      </c>
      <c r="CZ62" s="153">
        <f>IF(CZ$3&lt;=Inputs!$C$15*12,IF(OR(CZ59=0,CZ$3&lt;Inputs!$C$66),0,IF(CZ$3-Inputs!$C$66+1&lt;=Inputs!$C$64,0,MIN(PMT(Inputs!$C$61/12,Inputs!$C$62*12,-Inputs!$C$60)-CZ59*Inputs!$C$61/12,CZ59))),0)</f>
        <v>0</v>
      </c>
      <c r="DA62" s="153">
        <f>IF(DA$3&lt;=Inputs!$C$15*12,IF(OR(DA59=0,DA$3&lt;Inputs!$C$66),0,IF(DA$3-Inputs!$C$66+1&lt;=Inputs!$C$64,0,MIN(PMT(Inputs!$C$61/12,Inputs!$C$62*12,-Inputs!$C$60)-DA59*Inputs!$C$61/12,DA59))),0)</f>
        <v>0</v>
      </c>
      <c r="DB62" s="153">
        <f>IF(DB$3&lt;=Inputs!$C$15*12,IF(OR(DB59=0,DB$3&lt;Inputs!$C$66),0,IF(DB$3-Inputs!$C$66+1&lt;=Inputs!$C$64,0,MIN(PMT(Inputs!$C$61/12,Inputs!$C$62*12,-Inputs!$C$60)-DB59*Inputs!$C$61/12,DB59))),0)</f>
        <v>0</v>
      </c>
      <c r="DC62" s="153">
        <f>IF(DC$3&lt;=Inputs!$C$15*12,IF(OR(DC59=0,DC$3&lt;Inputs!$C$66),0,IF(DC$3-Inputs!$C$66+1&lt;=Inputs!$C$64,0,MIN(PMT(Inputs!$C$61/12,Inputs!$C$62*12,-Inputs!$C$60)-DC59*Inputs!$C$61/12,DC59))),0)</f>
        <v>0</v>
      </c>
      <c r="DD62" s="153">
        <f>IF(DD$3&lt;=Inputs!$C$15*12,IF(OR(DD59=0,DD$3&lt;Inputs!$C$66),0,IF(DD$3-Inputs!$C$66+1&lt;=Inputs!$C$64,0,MIN(PMT(Inputs!$C$61/12,Inputs!$C$62*12,-Inputs!$C$60)-DD59*Inputs!$C$61/12,DD59))),0)</f>
        <v>0</v>
      </c>
      <c r="DE62" s="153">
        <f>IF(DE$3&lt;=Inputs!$C$15*12,IF(OR(DE59=0,DE$3&lt;Inputs!$C$66),0,IF(DE$3-Inputs!$C$66+1&lt;=Inputs!$C$64,0,MIN(PMT(Inputs!$C$61/12,Inputs!$C$62*12,-Inputs!$C$60)-DE59*Inputs!$C$61/12,DE59))),0)</f>
        <v>0</v>
      </c>
      <c r="DF62" s="153">
        <f>IF(DF$3&lt;=Inputs!$C$15*12,IF(OR(DF59=0,DF$3&lt;Inputs!$C$66),0,IF(DF$3-Inputs!$C$66+1&lt;=Inputs!$C$64,0,MIN(PMT(Inputs!$C$61/12,Inputs!$C$62*12,-Inputs!$C$60)-DF59*Inputs!$C$61/12,DF59))),0)</f>
        <v>0</v>
      </c>
      <c r="DG62" s="153">
        <f>IF(DG$3&lt;=Inputs!$C$15*12,IF(OR(DG59=0,DG$3&lt;Inputs!$C$66),0,IF(DG$3-Inputs!$C$66+1&lt;=Inputs!$C$64,0,MIN(PMT(Inputs!$C$61/12,Inputs!$C$62*12,-Inputs!$C$60)-DG59*Inputs!$C$61/12,DG59))),0)</f>
        <v>0</v>
      </c>
      <c r="DH62" s="153">
        <f>IF(DH$3&lt;=Inputs!$C$15*12,IF(OR(DH59=0,DH$3&lt;Inputs!$C$66),0,IF(DH$3-Inputs!$C$66+1&lt;=Inputs!$C$64,0,MIN(PMT(Inputs!$C$61/12,Inputs!$C$62*12,-Inputs!$C$60)-DH59*Inputs!$C$61/12,DH59))),0)</f>
        <v>0</v>
      </c>
      <c r="DI62" s="153">
        <f>IF(DI$3&lt;=Inputs!$C$15*12,IF(OR(DI59=0,DI$3&lt;Inputs!$C$66),0,IF(DI$3-Inputs!$C$66+1&lt;=Inputs!$C$64,0,MIN(PMT(Inputs!$C$61/12,Inputs!$C$62*12,-Inputs!$C$60)-DI59*Inputs!$C$61/12,DI59))),0)</f>
        <v>0</v>
      </c>
      <c r="DJ62" s="153">
        <f>IF(DJ$3&lt;=Inputs!$C$15*12,IF(OR(DJ59=0,DJ$3&lt;Inputs!$C$66),0,IF(DJ$3-Inputs!$C$66+1&lt;=Inputs!$C$64,0,MIN(PMT(Inputs!$C$61/12,Inputs!$C$62*12,-Inputs!$C$60)-DJ59*Inputs!$C$61/12,DJ59))),0)</f>
        <v>0</v>
      </c>
      <c r="DK62" s="153">
        <f>IF(DK$3&lt;=Inputs!$C$15*12,IF(OR(DK59=0,DK$3&lt;Inputs!$C$66),0,IF(DK$3-Inputs!$C$66+1&lt;=Inputs!$C$64,0,MIN(PMT(Inputs!$C$61/12,Inputs!$C$62*12,-Inputs!$C$60)-DK59*Inputs!$C$61/12,DK59))),0)</f>
        <v>0</v>
      </c>
      <c r="DL62" s="153">
        <f>IF(DL$3&lt;=Inputs!$C$15*12,IF(OR(DL59=0,DL$3&lt;Inputs!$C$66),0,IF(DL$3-Inputs!$C$66+1&lt;=Inputs!$C$64,0,MIN(PMT(Inputs!$C$61/12,Inputs!$C$62*12,-Inputs!$C$60)-DL59*Inputs!$C$61/12,DL59))),0)</f>
        <v>0</v>
      </c>
      <c r="DM62" s="153">
        <f>IF(DM$3&lt;=Inputs!$C$15*12,IF(OR(DM59=0,DM$3&lt;Inputs!$C$66),0,IF(DM$3-Inputs!$C$66+1&lt;=Inputs!$C$64,0,MIN(PMT(Inputs!$C$61/12,Inputs!$C$62*12,-Inputs!$C$60)-DM59*Inputs!$C$61/12,DM59))),0)</f>
        <v>0</v>
      </c>
      <c r="DN62" s="153">
        <f>IF(DN$3&lt;=Inputs!$C$15*12,IF(OR(DN59=0,DN$3&lt;Inputs!$C$66),0,IF(DN$3-Inputs!$C$66+1&lt;=Inputs!$C$64,0,MIN(PMT(Inputs!$C$61/12,Inputs!$C$62*12,-Inputs!$C$60)-DN59*Inputs!$C$61/12,DN59))),0)</f>
        <v>0</v>
      </c>
      <c r="DO62" s="153">
        <f>IF(DO$3&lt;=Inputs!$C$15*12,IF(OR(DO59=0,DO$3&lt;Inputs!$C$66),0,IF(DO$3-Inputs!$C$66+1&lt;=Inputs!$C$64,0,MIN(PMT(Inputs!$C$61/12,Inputs!$C$62*12,-Inputs!$C$60)-DO59*Inputs!$C$61/12,DO59))),0)</f>
        <v>0</v>
      </c>
      <c r="DP62" s="153">
        <f>IF(DP$3&lt;=Inputs!$C$15*12,IF(OR(DP59=0,DP$3&lt;Inputs!$C$66),0,IF(DP$3-Inputs!$C$66+1&lt;=Inputs!$C$64,0,MIN(PMT(Inputs!$C$61/12,Inputs!$C$62*12,-Inputs!$C$60)-DP59*Inputs!$C$61/12,DP59))),0)</f>
        <v>0</v>
      </c>
      <c r="DQ62" s="153">
        <f>IF(DQ$3&lt;=Inputs!$C$15*12,IF(OR(DQ59=0,DQ$3&lt;Inputs!$C$66),0,IF(DQ$3-Inputs!$C$66+1&lt;=Inputs!$C$64,0,MIN(PMT(Inputs!$C$61/12,Inputs!$C$62*12,-Inputs!$C$60)-DQ59*Inputs!$C$61/12,DQ59))),0)</f>
        <v>0</v>
      </c>
      <c r="DR62" s="153">
        <f>IF(DR$3&lt;=Inputs!$C$15*12,IF(OR(DR59=0,DR$3&lt;Inputs!$C$66),0,IF(DR$3-Inputs!$C$66+1&lt;=Inputs!$C$64,0,MIN(PMT(Inputs!$C$61/12,Inputs!$C$62*12,-Inputs!$C$60)-DR59*Inputs!$C$61/12,DR59))),0)</f>
        <v>0</v>
      </c>
      <c r="DS62" s="54"/>
    </row>
    <row r="63" ht="15.0" customHeight="1">
      <c r="A63" s="54"/>
      <c r="B63" s="56" t="s">
        <v>327</v>
      </c>
      <c r="C63" s="153">
        <f>IF(C$3&lt;=Inputs!$C$15*12,IF(OR(C$3=Inputs!$C$63*12,C$3=Inputs!$C$15*12),-MAX(C59+C60-C62,0),0),0)</f>
        <v>0</v>
      </c>
      <c r="D63" s="153">
        <f>IF(D$3&lt;=Inputs!$C$15*12,IF(OR(D$3=Inputs!$C$63*12,D$3=Inputs!$C$15*12),-MAX(D59+D60-D62,0),0),0)</f>
        <v>0</v>
      </c>
      <c r="E63" s="153">
        <f>IF(E$3&lt;=Inputs!$C$15*12,IF(OR(E$3=Inputs!$C$63*12,E$3=Inputs!$C$15*12),-MAX(E59+E60-E62,0),0),0)</f>
        <v>0</v>
      </c>
      <c r="F63" s="153">
        <f>IF(F$3&lt;=Inputs!$C$15*12,IF(OR(F$3=Inputs!$C$63*12,F$3=Inputs!$C$15*12),-MAX(F59+F60-F62,0),0),0)</f>
        <v>0</v>
      </c>
      <c r="G63" s="153">
        <f>IF(G$3&lt;=Inputs!$C$15*12,IF(OR(G$3=Inputs!$C$63*12,G$3=Inputs!$C$15*12),-MAX(G59+G60-G62,0),0),0)</f>
        <v>0</v>
      </c>
      <c r="H63" s="153">
        <f>IF(H$3&lt;=Inputs!$C$15*12,IF(OR(H$3=Inputs!$C$63*12,H$3=Inputs!$C$15*12),-MAX(H59+H60-H62,0),0),0)</f>
        <v>0</v>
      </c>
      <c r="I63" s="153">
        <f>IF(I$3&lt;=Inputs!$C$15*12,IF(OR(I$3=Inputs!$C$63*12,I$3=Inputs!$C$15*12),-MAX(I59+I60-I62,0),0),0)</f>
        <v>0</v>
      </c>
      <c r="J63" s="153">
        <f>IF(J$3&lt;=Inputs!$C$15*12,IF(OR(J$3=Inputs!$C$63*12,J$3=Inputs!$C$15*12),-MAX(J59+J60-J62,0),0),0)</f>
        <v>0</v>
      </c>
      <c r="K63" s="153">
        <f>IF(K$3&lt;=Inputs!$C$15*12,IF(OR(K$3=Inputs!$C$63*12,K$3=Inputs!$C$15*12),-MAX(K59+K60-K62,0),0),0)</f>
        <v>0</v>
      </c>
      <c r="L63" s="153">
        <f>IF(L$3&lt;=Inputs!$C$15*12,IF(OR(L$3=Inputs!$C$63*12,L$3=Inputs!$C$15*12),-MAX(L59+L60-L62,0),0),0)</f>
        <v>0</v>
      </c>
      <c r="M63" s="153">
        <f>IF(M$3&lt;=Inputs!$C$15*12,IF(OR(M$3=Inputs!$C$63*12,M$3=Inputs!$C$15*12),-MAX(M59+M60-M62,0),0),0)</f>
        <v>0</v>
      </c>
      <c r="N63" s="153">
        <f>IF(N$3&lt;=Inputs!$C$15*12,IF(OR(N$3=Inputs!$C$63*12,N$3=Inputs!$C$15*12),-MAX(N59+N60-N62,0),0),0)</f>
        <v>0</v>
      </c>
      <c r="O63" s="153">
        <f>IF(O$3&lt;=Inputs!$C$15*12,IF(OR(O$3=Inputs!$C$63*12,O$3=Inputs!$C$15*12),-MAX(O59+O60-O62,0),0),0)</f>
        <v>0</v>
      </c>
      <c r="P63" s="153">
        <f>IF(P$3&lt;=Inputs!$C$15*12,IF(OR(P$3=Inputs!$C$63*12,P$3=Inputs!$C$15*12),-MAX(P59+P60-P62,0),0),0)</f>
        <v>0</v>
      </c>
      <c r="Q63" s="153">
        <f>IF(Q$3&lt;=Inputs!$C$15*12,IF(OR(Q$3=Inputs!$C$63*12,Q$3=Inputs!$C$15*12),-MAX(Q59+Q60-Q62,0),0),0)</f>
        <v>0</v>
      </c>
      <c r="R63" s="153">
        <f>IF(R$3&lt;=Inputs!$C$15*12,IF(OR(R$3=Inputs!$C$63*12,R$3=Inputs!$C$15*12),-MAX(R59+R60-R62,0),0),0)</f>
        <v>0</v>
      </c>
      <c r="S63" s="153">
        <f>IF(S$3&lt;=Inputs!$C$15*12,IF(OR(S$3=Inputs!$C$63*12,S$3=Inputs!$C$15*12),-MAX(S59+S60-S62,0),0),0)</f>
        <v>0</v>
      </c>
      <c r="T63" s="153">
        <f>IF(T$3&lt;=Inputs!$C$15*12,IF(OR(T$3=Inputs!$C$63*12,T$3=Inputs!$C$15*12),-MAX(T59+T60-T62,0),0),0)</f>
        <v>0</v>
      </c>
      <c r="U63" s="153">
        <f>IF(U$3&lt;=Inputs!$C$15*12,IF(OR(U$3=Inputs!$C$63*12,U$3=Inputs!$C$15*12),-MAX(U59+U60-U62,0),0),0)</f>
        <v>0</v>
      </c>
      <c r="V63" s="153">
        <f>IF(V$3&lt;=Inputs!$C$15*12,IF(OR(V$3=Inputs!$C$63*12,V$3=Inputs!$C$15*12),-MAX(V59+V60-V62,0),0),0)</f>
        <v>0</v>
      </c>
      <c r="W63" s="153">
        <f>IF(W$3&lt;=Inputs!$C$15*12,IF(OR(W$3=Inputs!$C$63*12,W$3=Inputs!$C$15*12),-MAX(W59+W60-W62,0),0),0)</f>
        <v>0</v>
      </c>
      <c r="X63" s="153">
        <f>IF(X$3&lt;=Inputs!$C$15*12,IF(OR(X$3=Inputs!$C$63*12,X$3=Inputs!$C$15*12),-MAX(X59+X60-X62,0),0),0)</f>
        <v>0</v>
      </c>
      <c r="Y63" s="153">
        <f>IF(Y$3&lt;=Inputs!$C$15*12,IF(OR(Y$3=Inputs!$C$63*12,Y$3=Inputs!$C$15*12),-MAX(Y59+Y60-Y62,0),0),0)</f>
        <v>0</v>
      </c>
      <c r="Z63" s="153">
        <f>IF(Z$3&lt;=Inputs!$C$15*12,IF(OR(Z$3=Inputs!$C$63*12,Z$3=Inputs!$C$15*12),-MAX(Z59+Z60-Z62,0),0),0)</f>
        <v>0</v>
      </c>
      <c r="AA63" s="153">
        <f>IF(AA$3&lt;=Inputs!$C$15*12,IF(OR(AA$3=Inputs!$C$63*12,AA$3=Inputs!$C$15*12),-MAX(AA59+AA60-AA62,0),0),0)</f>
        <v>0</v>
      </c>
      <c r="AB63" s="153">
        <f>IF(AB$3&lt;=Inputs!$C$15*12,IF(OR(AB$3=Inputs!$C$63*12,AB$3=Inputs!$C$15*12),-MAX(AB59+AB60-AB62,0),0),0)</f>
        <v>0</v>
      </c>
      <c r="AC63" s="153">
        <f>IF(AC$3&lt;=Inputs!$C$15*12,IF(OR(AC$3=Inputs!$C$63*12,AC$3=Inputs!$C$15*12),-MAX(AC59+AC60-AC62,0),0),0)</f>
        <v>0</v>
      </c>
      <c r="AD63" s="153">
        <f>IF(AD$3&lt;=Inputs!$C$15*12,IF(OR(AD$3=Inputs!$C$63*12,AD$3=Inputs!$C$15*12),-MAX(AD59+AD60-AD62,0),0),0)</f>
        <v>0</v>
      </c>
      <c r="AE63" s="153">
        <f>IF(AE$3&lt;=Inputs!$C$15*12,IF(OR(AE$3=Inputs!$C$63*12,AE$3=Inputs!$C$15*12),-MAX(AE59+AE60-AE62,0),0),0)</f>
        <v>0</v>
      </c>
      <c r="AF63" s="153">
        <f>IF(AF$3&lt;=Inputs!$C$15*12,IF(OR(AF$3=Inputs!$C$63*12,AF$3=Inputs!$C$15*12),-MAX(AF59+AF60-AF62,0),0),0)</f>
        <v>0</v>
      </c>
      <c r="AG63" s="153">
        <f>IF(AG$3&lt;=Inputs!$C$15*12,IF(OR(AG$3=Inputs!$C$63*12,AG$3=Inputs!$C$15*12),-MAX(AG59+AG60-AG62,0),0),0)</f>
        <v>0</v>
      </c>
      <c r="AH63" s="153">
        <f>IF(AH$3&lt;=Inputs!$C$15*12,IF(OR(AH$3=Inputs!$C$63*12,AH$3=Inputs!$C$15*12),-MAX(AH59+AH60-AH62,0),0),0)</f>
        <v>0</v>
      </c>
      <c r="AI63" s="153">
        <f>IF(AI$3&lt;=Inputs!$C$15*12,IF(OR(AI$3=Inputs!$C$63*12,AI$3=Inputs!$C$15*12),-MAX(AI59+AI60-AI62,0),0),0)</f>
        <v>0</v>
      </c>
      <c r="AJ63" s="153">
        <f>IF(AJ$3&lt;=Inputs!$C$15*12,IF(OR(AJ$3=Inputs!$C$63*12,AJ$3=Inputs!$C$15*12),-MAX(AJ59+AJ60-AJ62,0),0),0)</f>
        <v>0</v>
      </c>
      <c r="AK63" s="153">
        <f>IF(AK$3&lt;=Inputs!$C$15*12,IF(OR(AK$3=Inputs!$C$63*12,AK$3=Inputs!$C$15*12),-MAX(AK59+AK60-AK62,0),0),0)</f>
        <v>0</v>
      </c>
      <c r="AL63" s="153">
        <f>IF(AL$3&lt;=Inputs!$C$15*12,IF(OR(AL$3=Inputs!$C$63*12,AL$3=Inputs!$C$15*12),-MAX(AL59+AL60-AL62,0),0),0)</f>
        <v>0</v>
      </c>
      <c r="AM63" s="153">
        <f>IF(AM$3&lt;=Inputs!$C$15*12,IF(OR(AM$3=Inputs!$C$63*12,AM$3=Inputs!$C$15*12),-MAX(AM59+AM60-AM62,0),0),0)</f>
        <v>0</v>
      </c>
      <c r="AN63" s="153">
        <f>IF(AN$3&lt;=Inputs!$C$15*12,IF(OR(AN$3=Inputs!$C$63*12,AN$3=Inputs!$C$15*12),-MAX(AN59+AN60-AN62,0),0),0)</f>
        <v>0</v>
      </c>
      <c r="AO63" s="153">
        <f>IF(AO$3&lt;=Inputs!$C$15*12,IF(OR(AO$3=Inputs!$C$63*12,AO$3=Inputs!$C$15*12),-MAX(AO59+AO60-AO62,0),0),0)</f>
        <v>0</v>
      </c>
      <c r="AP63" s="153">
        <f>IF(AP$3&lt;=Inputs!$C$15*12,IF(OR(AP$3=Inputs!$C$63*12,AP$3=Inputs!$C$15*12),-MAX(AP59+AP60-AP62,0),0),0)</f>
        <v>0</v>
      </c>
      <c r="AQ63" s="153">
        <f>IF(AQ$3&lt;=Inputs!$C$15*12,IF(OR(AQ$3=Inputs!$C$63*12,AQ$3=Inputs!$C$15*12),-MAX(AQ59+AQ60-AQ62,0),0),0)</f>
        <v>0</v>
      </c>
      <c r="AR63" s="153">
        <f>IF(AR$3&lt;=Inputs!$C$15*12,IF(OR(AR$3=Inputs!$C$63*12,AR$3=Inputs!$C$15*12),-MAX(AR59+AR60-AR62,0),0),0)</f>
        <v>0</v>
      </c>
      <c r="AS63" s="153">
        <f>IF(AS$3&lt;=Inputs!$C$15*12,IF(OR(AS$3=Inputs!$C$63*12,AS$3=Inputs!$C$15*12),-MAX(AS59+AS60-AS62,0),0),0)</f>
        <v>0</v>
      </c>
      <c r="AT63" s="153">
        <f>IF(AT$3&lt;=Inputs!$C$15*12,IF(OR(AT$3=Inputs!$C$63*12,AT$3=Inputs!$C$15*12),-MAX(AT59+AT60-AT62,0),0),0)</f>
        <v>0</v>
      </c>
      <c r="AU63" s="153">
        <f>IF(AU$3&lt;=Inputs!$C$15*12,IF(OR(AU$3=Inputs!$C$63*12,AU$3=Inputs!$C$15*12),-MAX(AU59+AU60-AU62,0),0),0)</f>
        <v>0</v>
      </c>
      <c r="AV63" s="153">
        <f>IF(AV$3&lt;=Inputs!$C$15*12,IF(OR(AV$3=Inputs!$C$63*12,AV$3=Inputs!$C$15*12),-MAX(AV59+AV60-AV62,0),0),0)</f>
        <v>0</v>
      </c>
      <c r="AW63" s="153">
        <f>IF(AW$3&lt;=Inputs!$C$15*12,IF(OR(AW$3=Inputs!$C$63*12,AW$3=Inputs!$C$15*12),-MAX(AW59+AW60-AW62,0),0),0)</f>
        <v>0</v>
      </c>
      <c r="AX63" s="153">
        <f>IF(AX$3&lt;=Inputs!$C$15*12,IF(OR(AX$3=Inputs!$C$63*12,AX$3=Inputs!$C$15*12),-MAX(AX59+AX60-AX62,0),0),0)</f>
        <v>0</v>
      </c>
      <c r="AY63" s="153">
        <f>IF(AY$3&lt;=Inputs!$C$15*12,IF(OR(AY$3=Inputs!$C$63*12,AY$3=Inputs!$C$15*12),-MAX(AY59+AY60-AY62,0),0),0)</f>
        <v>0</v>
      </c>
      <c r="AZ63" s="153">
        <f>IF(AZ$3&lt;=Inputs!$C$15*12,IF(OR(AZ$3=Inputs!$C$63*12,AZ$3=Inputs!$C$15*12),-MAX(AZ59+AZ60-AZ62,0),0),0)</f>
        <v>0</v>
      </c>
      <c r="BA63" s="153">
        <f>IF(BA$3&lt;=Inputs!$C$15*12,IF(OR(BA$3=Inputs!$C$63*12,BA$3=Inputs!$C$15*12),-MAX(BA59+BA60-BA62,0),0),0)</f>
        <v>0</v>
      </c>
      <c r="BB63" s="153">
        <f>IF(BB$3&lt;=Inputs!$C$15*12,IF(OR(BB$3=Inputs!$C$63*12,BB$3=Inputs!$C$15*12),-MAX(BB59+BB60-BB62,0),0),0)</f>
        <v>0</v>
      </c>
      <c r="BC63" s="153">
        <f>IF(BC$3&lt;=Inputs!$C$15*12,IF(OR(BC$3=Inputs!$C$63*12,BC$3=Inputs!$C$15*12),-MAX(BC59+BC60-BC62,0),0),0)</f>
        <v>0</v>
      </c>
      <c r="BD63" s="153">
        <f>IF(BD$3&lt;=Inputs!$C$15*12,IF(OR(BD$3=Inputs!$C$63*12,BD$3=Inputs!$C$15*12),-MAX(BD59+BD60-BD62,0),0),0)</f>
        <v>0</v>
      </c>
      <c r="BE63" s="153">
        <f>IF(BE$3&lt;=Inputs!$C$15*12,IF(OR(BE$3=Inputs!$C$63*12,BE$3=Inputs!$C$15*12),-MAX(BE59+BE60-BE62,0),0),0)</f>
        <v>0</v>
      </c>
      <c r="BF63" s="153">
        <f>IF(BF$3&lt;=Inputs!$C$15*12,IF(OR(BF$3=Inputs!$C$63*12,BF$3=Inputs!$C$15*12),-MAX(BF59+BF60-BF62,0),0),0)</f>
        <v>0</v>
      </c>
      <c r="BG63" s="153">
        <f>IF(BG$3&lt;=Inputs!$C$15*12,IF(OR(BG$3=Inputs!$C$63*12,BG$3=Inputs!$C$15*12),-MAX(BG59+BG60-BG62,0),0),0)</f>
        <v>0</v>
      </c>
      <c r="BH63" s="153">
        <f>IF(BH$3&lt;=Inputs!$C$15*12,IF(OR(BH$3=Inputs!$C$63*12,BH$3=Inputs!$C$15*12),-MAX(BH59+BH60-BH62,0),0),0)</f>
        <v>0</v>
      </c>
      <c r="BI63" s="153">
        <f>IF(BI$3&lt;=Inputs!$C$15*12,IF(OR(BI$3=Inputs!$C$63*12,BI$3=Inputs!$C$15*12),-MAX(BI59+BI60-BI62,0),0),0)</f>
        <v>0</v>
      </c>
      <c r="BJ63" s="153">
        <f>IF(BJ$3&lt;=Inputs!$C$15*12,IF(OR(BJ$3=Inputs!$C$63*12,BJ$3=Inputs!$C$15*12),-MAX(BJ59+BJ60-BJ62,0),0),0)</f>
        <v>0</v>
      </c>
      <c r="BK63" s="153">
        <f>IF(BK$3&lt;=Inputs!$C$15*12,IF(OR(BK$3=Inputs!$C$63*12,BK$3=Inputs!$C$15*12),-MAX(BK59+BK60-BK62,0),0),0)</f>
        <v>0</v>
      </c>
      <c r="BL63" s="153">
        <f>IF(BL$3&lt;=Inputs!$C$15*12,IF(OR(BL$3=Inputs!$C$63*12,BL$3=Inputs!$C$15*12),-MAX(BL59+BL60-BL62,0),0),0)</f>
        <v>0</v>
      </c>
      <c r="BM63" s="153">
        <f>IF(BM$3&lt;=Inputs!$C$15*12,IF(OR(BM$3=Inputs!$C$63*12,BM$3=Inputs!$C$15*12),-MAX(BM59+BM60-BM62,0),0),0)</f>
        <v>0</v>
      </c>
      <c r="BN63" s="153">
        <f>IF(BN$3&lt;=Inputs!$C$15*12,IF(OR(BN$3=Inputs!$C$63*12,BN$3=Inputs!$C$15*12),-MAX(BN59+BN60-BN62,0),0),0)</f>
        <v>0</v>
      </c>
      <c r="BO63" s="153">
        <f>IF(BO$3&lt;=Inputs!$C$15*12,IF(OR(BO$3=Inputs!$C$63*12,BO$3=Inputs!$C$15*12),-MAX(BO59+BO60-BO62,0),0),0)</f>
        <v>0</v>
      </c>
      <c r="BP63" s="153">
        <f>IF(BP$3&lt;=Inputs!$C$15*12,IF(OR(BP$3=Inputs!$C$63*12,BP$3=Inputs!$C$15*12),-MAX(BP59+BP60-BP62,0),0),0)</f>
        <v>0</v>
      </c>
      <c r="BQ63" s="153">
        <f>IF(BQ$3&lt;=Inputs!$C$15*12,IF(OR(BQ$3=Inputs!$C$63*12,BQ$3=Inputs!$C$15*12),-MAX(BQ59+BQ60-BQ62,0),0),0)</f>
        <v>0</v>
      </c>
      <c r="BR63" s="153">
        <f>IF(BR$3&lt;=Inputs!$C$15*12,IF(OR(BR$3=Inputs!$C$63*12,BR$3=Inputs!$C$15*12),-MAX(BR59+BR60-BR62,0),0),0)</f>
        <v>0</v>
      </c>
      <c r="BS63" s="153">
        <f>IF(BS$3&lt;=Inputs!$C$15*12,IF(OR(BS$3=Inputs!$C$63*12,BS$3=Inputs!$C$15*12),-MAX(BS59+BS60-BS62,0),0),0)</f>
        <v>0</v>
      </c>
      <c r="BT63" s="153">
        <f>IF(BT$3&lt;=Inputs!$C$15*12,IF(OR(BT$3=Inputs!$C$63*12,BT$3=Inputs!$C$15*12),-MAX(BT59+BT60-BT62,0),0),0)</f>
        <v>0</v>
      </c>
      <c r="BU63" s="153">
        <f>IF(BU$3&lt;=Inputs!$C$15*12,IF(OR(BU$3=Inputs!$C$63*12,BU$3=Inputs!$C$15*12),-MAX(BU59+BU60-BU62,0),0),0)</f>
        <v>0</v>
      </c>
      <c r="BV63" s="153">
        <f>IF(BV$3&lt;=Inputs!$C$15*12,IF(OR(BV$3=Inputs!$C$63*12,BV$3=Inputs!$C$15*12),-MAX(BV59+BV60-BV62,0),0),0)</f>
        <v>0</v>
      </c>
      <c r="BW63" s="153">
        <f>IF(BW$3&lt;=Inputs!$C$15*12,IF(OR(BW$3=Inputs!$C$63*12,BW$3=Inputs!$C$15*12),-MAX(BW59+BW60-BW62,0),0),0)</f>
        <v>0</v>
      </c>
      <c r="BX63" s="153">
        <f>IF(BX$3&lt;=Inputs!$C$15*12,IF(OR(BX$3=Inputs!$C$63*12,BX$3=Inputs!$C$15*12),-MAX(BX59+BX60-BX62,0),0),0)</f>
        <v>0</v>
      </c>
      <c r="BY63" s="153">
        <f>IF(BY$3&lt;=Inputs!$C$15*12,IF(OR(BY$3=Inputs!$C$63*12,BY$3=Inputs!$C$15*12),-MAX(BY59+BY60-BY62,0),0),0)</f>
        <v>0</v>
      </c>
      <c r="BZ63" s="153">
        <f>IF(BZ$3&lt;=Inputs!$C$15*12,IF(OR(BZ$3=Inputs!$C$63*12,BZ$3=Inputs!$C$15*12),-MAX(BZ59+BZ60-BZ62,0),0),0)</f>
        <v>0</v>
      </c>
      <c r="CA63" s="153">
        <f>IF(CA$3&lt;=Inputs!$C$15*12,IF(OR(CA$3=Inputs!$C$63*12,CA$3=Inputs!$C$15*12),-MAX(CA59+CA60-CA62,0),0),0)</f>
        <v>0</v>
      </c>
      <c r="CB63" s="153">
        <f>IF(CB$3&lt;=Inputs!$C$15*12,IF(OR(CB$3=Inputs!$C$63*12,CB$3=Inputs!$C$15*12),-MAX(CB59+CB60-CB62,0),0),0)</f>
        <v>0</v>
      </c>
      <c r="CC63" s="153">
        <f>IF(CC$3&lt;=Inputs!$C$15*12,IF(OR(CC$3=Inputs!$C$63*12,CC$3=Inputs!$C$15*12),-MAX(CC59+CC60-CC62,0),0),0)</f>
        <v>0</v>
      </c>
      <c r="CD63" s="153">
        <f>IF(CD$3&lt;=Inputs!$C$15*12,IF(OR(CD$3=Inputs!$C$63*12,CD$3=Inputs!$C$15*12),-MAX(CD59+CD60-CD62,0),0),0)</f>
        <v>0</v>
      </c>
      <c r="CE63" s="153">
        <f>IF(CE$3&lt;=Inputs!$C$15*12,IF(OR(CE$3=Inputs!$C$63*12,CE$3=Inputs!$C$15*12),-MAX(CE59+CE60-CE62,0),0),0)</f>
        <v>0</v>
      </c>
      <c r="CF63" s="153">
        <f>IF(CF$3&lt;=Inputs!$C$15*12,IF(OR(CF$3=Inputs!$C$63*12,CF$3=Inputs!$C$15*12),-MAX(CF59+CF60-CF62,0),0),0)</f>
        <v>0</v>
      </c>
      <c r="CG63" s="153">
        <f>IF(CG$3&lt;=Inputs!$C$15*12,IF(OR(CG$3=Inputs!$C$63*12,CG$3=Inputs!$C$15*12),-MAX(CG59+CG60-CG62,0),0),0)</f>
        <v>0</v>
      </c>
      <c r="CH63" s="153">
        <f>IF(CH$3&lt;=Inputs!$C$15*12,IF(OR(CH$3=Inputs!$C$63*12,CH$3=Inputs!$C$15*12),-MAX(CH59+CH60-CH62,0),0),0)</f>
        <v>0</v>
      </c>
      <c r="CI63" s="153">
        <f>IF(CI$3&lt;=Inputs!$C$15*12,IF(OR(CI$3=Inputs!$C$63*12,CI$3=Inputs!$C$15*12),-MAX(CI59+CI60-CI62,0),0),0)</f>
        <v>0</v>
      </c>
      <c r="CJ63" s="153">
        <f>IF(CJ$3&lt;=Inputs!$C$15*12,IF(OR(CJ$3=Inputs!$C$63*12,CJ$3=Inputs!$C$15*12),-MAX(CJ59+CJ60-CJ62,0),0),0)</f>
        <v>0</v>
      </c>
      <c r="CK63" s="153">
        <f>IF(CK$3&lt;=Inputs!$C$15*12,IF(OR(CK$3=Inputs!$C$63*12,CK$3=Inputs!$C$15*12),-MAX(CK59+CK60-CK62,0),0),0)</f>
        <v>0</v>
      </c>
      <c r="CL63" s="153">
        <f>IF(CL$3&lt;=Inputs!$C$15*12,IF(OR(CL$3=Inputs!$C$63*12,CL$3=Inputs!$C$15*12),-MAX(CL59+CL60-CL62,0),0),0)</f>
        <v>0</v>
      </c>
      <c r="CM63" s="153">
        <f>IF(CM$3&lt;=Inputs!$C$15*12,IF(OR(CM$3=Inputs!$C$63*12,CM$3=Inputs!$C$15*12),-MAX(CM59+CM60-CM62,0),0),0)</f>
        <v>0</v>
      </c>
      <c r="CN63" s="153">
        <f>IF(CN$3&lt;=Inputs!$C$15*12,IF(OR(CN$3=Inputs!$C$63*12,CN$3=Inputs!$C$15*12),-MAX(CN59+CN60-CN62,0),0),0)</f>
        <v>0</v>
      </c>
      <c r="CO63" s="153">
        <f>IF(CO$3&lt;=Inputs!$C$15*12,IF(OR(CO$3=Inputs!$C$63*12,CO$3=Inputs!$C$15*12),-MAX(CO59+CO60-CO62,0),0),0)</f>
        <v>0</v>
      </c>
      <c r="CP63" s="153">
        <f>IF(CP$3&lt;=Inputs!$C$15*12,IF(OR(CP$3=Inputs!$C$63*12,CP$3=Inputs!$C$15*12),-MAX(CP59+CP60-CP62,0),0),0)</f>
        <v>0</v>
      </c>
      <c r="CQ63" s="153">
        <f>IF(CQ$3&lt;=Inputs!$C$15*12,IF(OR(CQ$3=Inputs!$C$63*12,CQ$3=Inputs!$C$15*12),-MAX(CQ59+CQ60-CQ62,0),0),0)</f>
        <v>0</v>
      </c>
      <c r="CR63" s="153">
        <f>IF(CR$3&lt;=Inputs!$C$15*12,IF(OR(CR$3=Inputs!$C$63*12,CR$3=Inputs!$C$15*12),-MAX(CR59+CR60-CR62,0),0),0)</f>
        <v>0</v>
      </c>
      <c r="CS63" s="153">
        <f>IF(CS$3&lt;=Inputs!$C$15*12,IF(OR(CS$3=Inputs!$C$63*12,CS$3=Inputs!$C$15*12),-MAX(CS59+CS60-CS62,0),0),0)</f>
        <v>0</v>
      </c>
      <c r="CT63" s="153">
        <f>IF(CT$3&lt;=Inputs!$C$15*12,IF(OR(CT$3=Inputs!$C$63*12,CT$3=Inputs!$C$15*12),-MAX(CT59+CT60-CT62,0),0),0)</f>
        <v>0</v>
      </c>
      <c r="CU63" s="153">
        <f>IF(CU$3&lt;=Inputs!$C$15*12,IF(OR(CU$3=Inputs!$C$63*12,CU$3=Inputs!$C$15*12),-MAX(CU59+CU60-CU62,0),0),0)</f>
        <v>0</v>
      </c>
      <c r="CV63" s="153">
        <f>IF(CV$3&lt;=Inputs!$C$15*12,IF(OR(CV$3=Inputs!$C$63*12,CV$3=Inputs!$C$15*12),-MAX(CV59+CV60-CV62,0),0),0)</f>
        <v>0</v>
      </c>
      <c r="CW63" s="153">
        <f>IF(CW$3&lt;=Inputs!$C$15*12,IF(OR(CW$3=Inputs!$C$63*12,CW$3=Inputs!$C$15*12),-MAX(CW59+CW60-CW62,0),0),0)</f>
        <v>0</v>
      </c>
      <c r="CX63" s="153">
        <f>IF(CX$3&lt;=Inputs!$C$15*12,IF(OR(CX$3=Inputs!$C$63*12,CX$3=Inputs!$C$15*12),-MAX(CX59+CX60-CX62,0),0),0)</f>
        <v>0</v>
      </c>
      <c r="CY63" s="153">
        <f>IF(CY$3&lt;=Inputs!$C$15*12,IF(OR(CY$3=Inputs!$C$63*12,CY$3=Inputs!$C$15*12),-MAX(CY59+CY60-CY62,0),0),0)</f>
        <v>0</v>
      </c>
      <c r="CZ63" s="153">
        <f>IF(CZ$3&lt;=Inputs!$C$15*12,IF(OR(CZ$3=Inputs!$C$63*12,CZ$3=Inputs!$C$15*12),-MAX(CZ59+CZ60-CZ62,0),0),0)</f>
        <v>0</v>
      </c>
      <c r="DA63" s="153">
        <f>IF(DA$3&lt;=Inputs!$C$15*12,IF(OR(DA$3=Inputs!$C$63*12,DA$3=Inputs!$C$15*12),-MAX(DA59+DA60-DA62,0),0),0)</f>
        <v>0</v>
      </c>
      <c r="DB63" s="153">
        <f>IF(DB$3&lt;=Inputs!$C$15*12,IF(OR(DB$3=Inputs!$C$63*12,DB$3=Inputs!$C$15*12),-MAX(DB59+DB60-DB62,0),0),0)</f>
        <v>0</v>
      </c>
      <c r="DC63" s="153">
        <f>IF(DC$3&lt;=Inputs!$C$15*12,IF(OR(DC$3=Inputs!$C$63*12,DC$3=Inputs!$C$15*12),-MAX(DC59+DC60-DC62,0),0),0)</f>
        <v>0</v>
      </c>
      <c r="DD63" s="153">
        <f>IF(DD$3&lt;=Inputs!$C$15*12,IF(OR(DD$3=Inputs!$C$63*12,DD$3=Inputs!$C$15*12),-MAX(DD59+DD60-DD62,0),0),0)</f>
        <v>0</v>
      </c>
      <c r="DE63" s="153">
        <f>IF(DE$3&lt;=Inputs!$C$15*12,IF(OR(DE$3=Inputs!$C$63*12,DE$3=Inputs!$C$15*12),-MAX(DE59+DE60-DE62,0),0),0)</f>
        <v>0</v>
      </c>
      <c r="DF63" s="153">
        <f>IF(DF$3&lt;=Inputs!$C$15*12,IF(OR(DF$3=Inputs!$C$63*12,DF$3=Inputs!$C$15*12),-MAX(DF59+DF60-DF62,0),0),0)</f>
        <v>0</v>
      </c>
      <c r="DG63" s="153">
        <f>IF(DG$3&lt;=Inputs!$C$15*12,IF(OR(DG$3=Inputs!$C$63*12,DG$3=Inputs!$C$15*12),-MAX(DG59+DG60-DG62,0),0),0)</f>
        <v>0</v>
      </c>
      <c r="DH63" s="153">
        <f>IF(DH$3&lt;=Inputs!$C$15*12,IF(OR(DH$3=Inputs!$C$63*12,DH$3=Inputs!$C$15*12),-MAX(DH59+DH60-DH62,0),0),0)</f>
        <v>0</v>
      </c>
      <c r="DI63" s="153">
        <f>IF(DI$3&lt;=Inputs!$C$15*12,IF(OR(DI$3=Inputs!$C$63*12,DI$3=Inputs!$C$15*12),-MAX(DI59+DI60-DI62,0),0),0)</f>
        <v>0</v>
      </c>
      <c r="DJ63" s="153">
        <f>IF(DJ$3&lt;=Inputs!$C$15*12,IF(OR(DJ$3=Inputs!$C$63*12,DJ$3=Inputs!$C$15*12),-MAX(DJ59+DJ60-DJ62,0),0),0)</f>
        <v>0</v>
      </c>
      <c r="DK63" s="153">
        <f>IF(DK$3&lt;=Inputs!$C$15*12,IF(OR(DK$3=Inputs!$C$63*12,DK$3=Inputs!$C$15*12),-MAX(DK59+DK60-DK62,0),0),0)</f>
        <v>0</v>
      </c>
      <c r="DL63" s="153">
        <f>IF(DL$3&lt;=Inputs!$C$15*12,IF(OR(DL$3=Inputs!$C$63*12,DL$3=Inputs!$C$15*12),-MAX(DL59+DL60-DL62,0),0),0)</f>
        <v>0</v>
      </c>
      <c r="DM63" s="153">
        <f>IF(DM$3&lt;=Inputs!$C$15*12,IF(OR(DM$3=Inputs!$C$63*12,DM$3=Inputs!$C$15*12),-MAX(DM59+DM60-DM62,0),0),0)</f>
        <v>0</v>
      </c>
      <c r="DN63" s="153">
        <f>IF(DN$3&lt;=Inputs!$C$15*12,IF(OR(DN$3=Inputs!$C$63*12,DN$3=Inputs!$C$15*12),-MAX(DN59+DN60-DN62,0),0),0)</f>
        <v>0</v>
      </c>
      <c r="DO63" s="153">
        <f>IF(DO$3&lt;=Inputs!$C$15*12,IF(OR(DO$3=Inputs!$C$63*12,DO$3=Inputs!$C$15*12),-MAX(DO59+DO60-DO62,0),0),0)</f>
        <v>0</v>
      </c>
      <c r="DP63" s="153">
        <f>IF(DP$3&lt;=Inputs!$C$15*12,IF(OR(DP$3=Inputs!$C$63*12,DP$3=Inputs!$C$15*12),-MAX(DP59+DP60-DP62,0),0),0)</f>
        <v>0</v>
      </c>
      <c r="DQ63" s="153">
        <f>IF(DQ$3&lt;=Inputs!$C$15*12,IF(OR(DQ$3=Inputs!$C$63*12,DQ$3=Inputs!$C$15*12),-MAX(DQ59+DQ60-DQ62,0),0),0)</f>
        <v>0</v>
      </c>
      <c r="DR63" s="153">
        <f>IF(DR$3&lt;=Inputs!$C$15*12,IF(OR(DR$3=Inputs!$C$63*12,DR$3=Inputs!$C$15*12),-MAX(DR59+DR60-DR62,0),0),0)</f>
        <v>0</v>
      </c>
      <c r="DS63" s="54"/>
    </row>
    <row r="64" ht="15.75" customHeight="1">
      <c r="A64" s="54"/>
      <c r="B64" s="108" t="s">
        <v>328</v>
      </c>
      <c r="C64" s="175">
        <f>IF(C$3&lt;=Inputs!$C$15*12,MAX(C59+C60-C62+C63,0),0)</f>
        <v>0</v>
      </c>
      <c r="D64" s="175">
        <f>IF(D$3&lt;=Inputs!$C$15*12,MAX(D59+D60-D62+D63,0),0)</f>
        <v>0</v>
      </c>
      <c r="E64" s="175">
        <f>IF(E$3&lt;=Inputs!$C$15*12,MAX(E59+E60-E62+E63,0),0)</f>
        <v>0</v>
      </c>
      <c r="F64" s="175">
        <f>IF(F$3&lt;=Inputs!$C$15*12,MAX(F59+F60-F62+F63,0),0)</f>
        <v>0</v>
      </c>
      <c r="G64" s="175">
        <f>IF(G$3&lt;=Inputs!$C$15*12,MAX(G59+G60-G62+G63,0),0)</f>
        <v>0</v>
      </c>
      <c r="H64" s="175">
        <f>IF(H$3&lt;=Inputs!$C$15*12,MAX(H59+H60-H62+H63,0),0)</f>
        <v>0</v>
      </c>
      <c r="I64" s="175">
        <f>IF(I$3&lt;=Inputs!$C$15*12,MAX(I59+I60-I62+I63,0),0)</f>
        <v>0</v>
      </c>
      <c r="J64" s="175">
        <f>IF(J$3&lt;=Inputs!$C$15*12,MAX(J59+J60-J62+J63,0),0)</f>
        <v>0</v>
      </c>
      <c r="K64" s="175">
        <f>IF(K$3&lt;=Inputs!$C$15*12,MAX(K59+K60-K62+K63,0),0)</f>
        <v>0</v>
      </c>
      <c r="L64" s="175">
        <f>IF(L$3&lt;=Inputs!$C$15*12,MAX(L59+L60-L62+L63,0),0)</f>
        <v>0</v>
      </c>
      <c r="M64" s="175">
        <f>IF(M$3&lt;=Inputs!$C$15*12,MAX(M59+M60-M62+M63,0),0)</f>
        <v>0</v>
      </c>
      <c r="N64" s="175">
        <f>IF(N$3&lt;=Inputs!$C$15*12,MAX(N59+N60-N62+N63,0),0)</f>
        <v>0</v>
      </c>
      <c r="O64" s="175">
        <f>IF(O$3&lt;=Inputs!$C$15*12,MAX(O59+O60-O62+O63,0),0)</f>
        <v>0</v>
      </c>
      <c r="P64" s="175">
        <f>IF(P$3&lt;=Inputs!$C$15*12,MAX(P59+P60-P62+P63,0),0)</f>
        <v>0</v>
      </c>
      <c r="Q64" s="175">
        <f>IF(Q$3&lt;=Inputs!$C$15*12,MAX(Q59+Q60-Q62+Q63,0),0)</f>
        <v>0</v>
      </c>
      <c r="R64" s="175">
        <f>IF(R$3&lt;=Inputs!$C$15*12,MAX(R59+R60-R62+R63,0),0)</f>
        <v>0</v>
      </c>
      <c r="S64" s="175">
        <f>IF(S$3&lt;=Inputs!$C$15*12,MAX(S59+S60-S62+S63,0),0)</f>
        <v>0</v>
      </c>
      <c r="T64" s="175">
        <f>IF(T$3&lt;=Inputs!$C$15*12,MAX(T59+T60-T62+T63,0),0)</f>
        <v>0</v>
      </c>
      <c r="U64" s="175">
        <f>IF(U$3&lt;=Inputs!$C$15*12,MAX(U59+U60-U62+U63,0),0)</f>
        <v>0</v>
      </c>
      <c r="V64" s="175">
        <f>IF(V$3&lt;=Inputs!$C$15*12,MAX(V59+V60-V62+V63,0),0)</f>
        <v>0</v>
      </c>
      <c r="W64" s="175">
        <f>IF(W$3&lt;=Inputs!$C$15*12,MAX(W59+W60-W62+W63,0),0)</f>
        <v>0</v>
      </c>
      <c r="X64" s="175">
        <f>IF(X$3&lt;=Inputs!$C$15*12,MAX(X59+X60-X62+X63,0),0)</f>
        <v>0</v>
      </c>
      <c r="Y64" s="175">
        <f>IF(Y$3&lt;=Inputs!$C$15*12,MAX(Y59+Y60-Y62+Y63,0),0)</f>
        <v>0</v>
      </c>
      <c r="Z64" s="175">
        <f>IF(Z$3&lt;=Inputs!$C$15*12,MAX(Z59+Z60-Z62+Z63,0),0)</f>
        <v>0</v>
      </c>
      <c r="AA64" s="175">
        <f>IF(AA$3&lt;=Inputs!$C$15*12,MAX(AA59+AA60-AA62+AA63,0),0)</f>
        <v>0</v>
      </c>
      <c r="AB64" s="175">
        <f>IF(AB$3&lt;=Inputs!$C$15*12,MAX(AB59+AB60-AB62+AB63,0),0)</f>
        <v>0</v>
      </c>
      <c r="AC64" s="175">
        <f>IF(AC$3&lt;=Inputs!$C$15*12,MAX(AC59+AC60-AC62+AC63,0),0)</f>
        <v>0</v>
      </c>
      <c r="AD64" s="175">
        <f>IF(AD$3&lt;=Inputs!$C$15*12,MAX(AD59+AD60-AD62+AD63,0),0)</f>
        <v>0</v>
      </c>
      <c r="AE64" s="175">
        <f>IF(AE$3&lt;=Inputs!$C$15*12,MAX(AE59+AE60-AE62+AE63,0),0)</f>
        <v>0</v>
      </c>
      <c r="AF64" s="175">
        <f>IF(AF$3&lt;=Inputs!$C$15*12,MAX(AF59+AF60-AF62+AF63,0),0)</f>
        <v>0</v>
      </c>
      <c r="AG64" s="175">
        <f>IF(AG$3&lt;=Inputs!$C$15*12,MAX(AG59+AG60-AG62+AG63,0),0)</f>
        <v>0</v>
      </c>
      <c r="AH64" s="175">
        <f>IF(AH$3&lt;=Inputs!$C$15*12,MAX(AH59+AH60-AH62+AH63,0),0)</f>
        <v>0</v>
      </c>
      <c r="AI64" s="175">
        <f>IF(AI$3&lt;=Inputs!$C$15*12,MAX(AI59+AI60-AI62+AI63,0),0)</f>
        <v>0</v>
      </c>
      <c r="AJ64" s="175">
        <f>IF(AJ$3&lt;=Inputs!$C$15*12,MAX(AJ59+AJ60-AJ62+AJ63,0),0)</f>
        <v>0</v>
      </c>
      <c r="AK64" s="175">
        <f>IF(AK$3&lt;=Inputs!$C$15*12,MAX(AK59+AK60-AK62+AK63,0),0)</f>
        <v>0</v>
      </c>
      <c r="AL64" s="175">
        <f>IF(AL$3&lt;=Inputs!$C$15*12,MAX(AL59+AL60-AL62+AL63,0),0)</f>
        <v>0</v>
      </c>
      <c r="AM64" s="175">
        <f>IF(AM$3&lt;=Inputs!$C$15*12,MAX(AM59+AM60-AM62+AM63,0),0)</f>
        <v>0</v>
      </c>
      <c r="AN64" s="175">
        <f>IF(AN$3&lt;=Inputs!$C$15*12,MAX(AN59+AN60-AN62+AN63,0),0)</f>
        <v>0</v>
      </c>
      <c r="AO64" s="175">
        <f>IF(AO$3&lt;=Inputs!$C$15*12,MAX(AO59+AO60-AO62+AO63,0),0)</f>
        <v>0</v>
      </c>
      <c r="AP64" s="175">
        <f>IF(AP$3&lt;=Inputs!$C$15*12,MAX(AP59+AP60-AP62+AP63,0),0)</f>
        <v>0</v>
      </c>
      <c r="AQ64" s="175">
        <f>IF(AQ$3&lt;=Inputs!$C$15*12,MAX(AQ59+AQ60-AQ62+AQ63,0),0)</f>
        <v>0</v>
      </c>
      <c r="AR64" s="175">
        <f>IF(AR$3&lt;=Inputs!$C$15*12,MAX(AR59+AR60-AR62+AR63,0),0)</f>
        <v>0</v>
      </c>
      <c r="AS64" s="175">
        <f>IF(AS$3&lt;=Inputs!$C$15*12,MAX(AS59+AS60-AS62+AS63,0),0)</f>
        <v>0</v>
      </c>
      <c r="AT64" s="175">
        <f>IF(AT$3&lt;=Inputs!$C$15*12,MAX(AT59+AT60-AT62+AT63,0),0)</f>
        <v>0</v>
      </c>
      <c r="AU64" s="175">
        <f>IF(AU$3&lt;=Inputs!$C$15*12,MAX(AU59+AU60-AU62+AU63,0),0)</f>
        <v>0</v>
      </c>
      <c r="AV64" s="175">
        <f>IF(AV$3&lt;=Inputs!$C$15*12,MAX(AV59+AV60-AV62+AV63,0),0)</f>
        <v>0</v>
      </c>
      <c r="AW64" s="175">
        <f>IF(AW$3&lt;=Inputs!$C$15*12,MAX(AW59+AW60-AW62+AW63,0),0)</f>
        <v>0</v>
      </c>
      <c r="AX64" s="175">
        <f>IF(AX$3&lt;=Inputs!$C$15*12,MAX(AX59+AX60-AX62+AX63,0),0)</f>
        <v>0</v>
      </c>
      <c r="AY64" s="175">
        <f>IF(AY$3&lt;=Inputs!$C$15*12,MAX(AY59+AY60-AY62+AY63,0),0)</f>
        <v>0</v>
      </c>
      <c r="AZ64" s="175">
        <f>IF(AZ$3&lt;=Inputs!$C$15*12,MAX(AZ59+AZ60-AZ62+AZ63,0),0)</f>
        <v>0</v>
      </c>
      <c r="BA64" s="175">
        <f>IF(BA$3&lt;=Inputs!$C$15*12,MAX(BA59+BA60-BA62+BA63,0),0)</f>
        <v>0</v>
      </c>
      <c r="BB64" s="175">
        <f>IF(BB$3&lt;=Inputs!$C$15*12,MAX(BB59+BB60-BB62+BB63,0),0)</f>
        <v>0</v>
      </c>
      <c r="BC64" s="175">
        <f>IF(BC$3&lt;=Inputs!$C$15*12,MAX(BC59+BC60-BC62+BC63,0),0)</f>
        <v>0</v>
      </c>
      <c r="BD64" s="175">
        <f>IF(BD$3&lt;=Inputs!$C$15*12,MAX(BD59+BD60-BD62+BD63,0),0)</f>
        <v>0</v>
      </c>
      <c r="BE64" s="175">
        <f>IF(BE$3&lt;=Inputs!$C$15*12,MAX(BE59+BE60-BE62+BE63,0),0)</f>
        <v>0</v>
      </c>
      <c r="BF64" s="175">
        <f>IF(BF$3&lt;=Inputs!$C$15*12,MAX(BF59+BF60-BF62+BF63,0),0)</f>
        <v>0</v>
      </c>
      <c r="BG64" s="175">
        <f>IF(BG$3&lt;=Inputs!$C$15*12,MAX(BG59+BG60-BG62+BG63,0),0)</f>
        <v>0</v>
      </c>
      <c r="BH64" s="175">
        <f>IF(BH$3&lt;=Inputs!$C$15*12,MAX(BH59+BH60-BH62+BH63,0),0)</f>
        <v>0</v>
      </c>
      <c r="BI64" s="175">
        <f>IF(BI$3&lt;=Inputs!$C$15*12,MAX(BI59+BI60-BI62+BI63,0),0)</f>
        <v>0</v>
      </c>
      <c r="BJ64" s="175">
        <f>IF(BJ$3&lt;=Inputs!$C$15*12,MAX(BJ59+BJ60-BJ62+BJ63,0),0)</f>
        <v>0</v>
      </c>
      <c r="BK64" s="175">
        <f>IF(BK$3&lt;=Inputs!$C$15*12,MAX(BK59+BK60-BK62+BK63,0),0)</f>
        <v>0</v>
      </c>
      <c r="BL64" s="175">
        <f>IF(BL$3&lt;=Inputs!$C$15*12,MAX(BL59+BL60-BL62+BL63,0),0)</f>
        <v>0</v>
      </c>
      <c r="BM64" s="175">
        <f>IF(BM$3&lt;=Inputs!$C$15*12,MAX(BM59+BM60-BM62+BM63,0),0)</f>
        <v>0</v>
      </c>
      <c r="BN64" s="175">
        <f>IF(BN$3&lt;=Inputs!$C$15*12,MAX(BN59+BN60-BN62+BN63,0),0)</f>
        <v>0</v>
      </c>
      <c r="BO64" s="175">
        <f>IF(BO$3&lt;=Inputs!$C$15*12,MAX(BO59+BO60-BO62+BO63,0),0)</f>
        <v>0</v>
      </c>
      <c r="BP64" s="175">
        <f>IF(BP$3&lt;=Inputs!$C$15*12,MAX(BP59+BP60-BP62+BP63,0),0)</f>
        <v>0</v>
      </c>
      <c r="BQ64" s="175">
        <f>IF(BQ$3&lt;=Inputs!$C$15*12,MAX(BQ59+BQ60-BQ62+BQ63,0),0)</f>
        <v>0</v>
      </c>
      <c r="BR64" s="175">
        <f>IF(BR$3&lt;=Inputs!$C$15*12,MAX(BR59+BR60-BR62+BR63,0),0)</f>
        <v>0</v>
      </c>
      <c r="BS64" s="175">
        <f>IF(BS$3&lt;=Inputs!$C$15*12,MAX(BS59+BS60-BS62+BS63,0),0)</f>
        <v>0</v>
      </c>
      <c r="BT64" s="175">
        <f>IF(BT$3&lt;=Inputs!$C$15*12,MAX(BT59+BT60-BT62+BT63,0),0)</f>
        <v>0</v>
      </c>
      <c r="BU64" s="175">
        <f>IF(BU$3&lt;=Inputs!$C$15*12,MAX(BU59+BU60-BU62+BU63,0),0)</f>
        <v>0</v>
      </c>
      <c r="BV64" s="175">
        <f>IF(BV$3&lt;=Inputs!$C$15*12,MAX(BV59+BV60-BV62+BV63,0),0)</f>
        <v>0</v>
      </c>
      <c r="BW64" s="175">
        <f>IF(BW$3&lt;=Inputs!$C$15*12,MAX(BW59+BW60-BW62+BW63,0),0)</f>
        <v>0</v>
      </c>
      <c r="BX64" s="175">
        <f>IF(BX$3&lt;=Inputs!$C$15*12,MAX(BX59+BX60-BX62+BX63,0),0)</f>
        <v>0</v>
      </c>
      <c r="BY64" s="175">
        <f>IF(BY$3&lt;=Inputs!$C$15*12,MAX(BY59+BY60-BY62+BY63,0),0)</f>
        <v>0</v>
      </c>
      <c r="BZ64" s="175">
        <f>IF(BZ$3&lt;=Inputs!$C$15*12,MAX(BZ59+BZ60-BZ62+BZ63,0),0)</f>
        <v>0</v>
      </c>
      <c r="CA64" s="175">
        <f>IF(CA$3&lt;=Inputs!$C$15*12,MAX(CA59+CA60-CA62+CA63,0),0)</f>
        <v>0</v>
      </c>
      <c r="CB64" s="175">
        <f>IF(CB$3&lt;=Inputs!$C$15*12,MAX(CB59+CB60-CB62+CB63,0),0)</f>
        <v>0</v>
      </c>
      <c r="CC64" s="175">
        <f>IF(CC$3&lt;=Inputs!$C$15*12,MAX(CC59+CC60-CC62+CC63,0),0)</f>
        <v>0</v>
      </c>
      <c r="CD64" s="175">
        <f>IF(CD$3&lt;=Inputs!$C$15*12,MAX(CD59+CD60-CD62+CD63,0),0)</f>
        <v>0</v>
      </c>
      <c r="CE64" s="175">
        <f>IF(CE$3&lt;=Inputs!$C$15*12,MAX(CE59+CE60-CE62+CE63,0),0)</f>
        <v>0</v>
      </c>
      <c r="CF64" s="175">
        <f>IF(CF$3&lt;=Inputs!$C$15*12,MAX(CF59+CF60-CF62+CF63,0),0)</f>
        <v>0</v>
      </c>
      <c r="CG64" s="175">
        <f>IF(CG$3&lt;=Inputs!$C$15*12,MAX(CG59+CG60-CG62+CG63,0),0)</f>
        <v>0</v>
      </c>
      <c r="CH64" s="175">
        <f>IF(CH$3&lt;=Inputs!$C$15*12,MAX(CH59+CH60-CH62+CH63,0),0)</f>
        <v>0</v>
      </c>
      <c r="CI64" s="175">
        <f>IF(CI$3&lt;=Inputs!$C$15*12,MAX(CI59+CI60-CI62+CI63,0),0)</f>
        <v>0</v>
      </c>
      <c r="CJ64" s="175">
        <f>IF(CJ$3&lt;=Inputs!$C$15*12,MAX(CJ59+CJ60-CJ62+CJ63,0),0)</f>
        <v>0</v>
      </c>
      <c r="CK64" s="175">
        <f>IF(CK$3&lt;=Inputs!$C$15*12,MAX(CK59+CK60-CK62+CK63,0),0)</f>
        <v>0</v>
      </c>
      <c r="CL64" s="175">
        <f>IF(CL$3&lt;=Inputs!$C$15*12,MAX(CL59+CL60-CL62+CL63,0),0)</f>
        <v>0</v>
      </c>
      <c r="CM64" s="175">
        <f>IF(CM$3&lt;=Inputs!$C$15*12,MAX(CM59+CM60-CM62+CM63,0),0)</f>
        <v>0</v>
      </c>
      <c r="CN64" s="175">
        <f>IF(CN$3&lt;=Inputs!$C$15*12,MAX(CN59+CN60-CN62+CN63,0),0)</f>
        <v>0</v>
      </c>
      <c r="CO64" s="175">
        <f>IF(CO$3&lt;=Inputs!$C$15*12,MAX(CO59+CO60-CO62+CO63,0),0)</f>
        <v>0</v>
      </c>
      <c r="CP64" s="175">
        <f>IF(CP$3&lt;=Inputs!$C$15*12,MAX(CP59+CP60-CP62+CP63,0),0)</f>
        <v>0</v>
      </c>
      <c r="CQ64" s="175">
        <f>IF(CQ$3&lt;=Inputs!$C$15*12,MAX(CQ59+CQ60-CQ62+CQ63,0),0)</f>
        <v>0</v>
      </c>
      <c r="CR64" s="175">
        <f>IF(CR$3&lt;=Inputs!$C$15*12,MAX(CR59+CR60-CR62+CR63,0),0)</f>
        <v>0</v>
      </c>
      <c r="CS64" s="175">
        <f>IF(CS$3&lt;=Inputs!$C$15*12,MAX(CS59+CS60-CS62+CS63,0),0)</f>
        <v>0</v>
      </c>
      <c r="CT64" s="175">
        <f>IF(CT$3&lt;=Inputs!$C$15*12,MAX(CT59+CT60-CT62+CT63,0),0)</f>
        <v>0</v>
      </c>
      <c r="CU64" s="175">
        <f>IF(CU$3&lt;=Inputs!$C$15*12,MAX(CU59+CU60-CU62+CU63,0),0)</f>
        <v>0</v>
      </c>
      <c r="CV64" s="175">
        <f>IF(CV$3&lt;=Inputs!$C$15*12,MAX(CV59+CV60-CV62+CV63,0),0)</f>
        <v>0</v>
      </c>
      <c r="CW64" s="175">
        <f>IF(CW$3&lt;=Inputs!$C$15*12,MAX(CW59+CW60-CW62+CW63,0),0)</f>
        <v>0</v>
      </c>
      <c r="CX64" s="175">
        <f>IF(CX$3&lt;=Inputs!$C$15*12,MAX(CX59+CX60-CX62+CX63,0),0)</f>
        <v>0</v>
      </c>
      <c r="CY64" s="175">
        <f>IF(CY$3&lt;=Inputs!$C$15*12,MAX(CY59+CY60-CY62+CY63,0),0)</f>
        <v>0</v>
      </c>
      <c r="CZ64" s="175">
        <f>IF(CZ$3&lt;=Inputs!$C$15*12,MAX(CZ59+CZ60-CZ62+CZ63,0),0)</f>
        <v>0</v>
      </c>
      <c r="DA64" s="175">
        <f>IF(DA$3&lt;=Inputs!$C$15*12,MAX(DA59+DA60-DA62+DA63,0),0)</f>
        <v>0</v>
      </c>
      <c r="DB64" s="175">
        <f>IF(DB$3&lt;=Inputs!$C$15*12,MAX(DB59+DB60-DB62+DB63,0),0)</f>
        <v>0</v>
      </c>
      <c r="DC64" s="175">
        <f>IF(DC$3&lt;=Inputs!$C$15*12,MAX(DC59+DC60-DC62+DC63,0),0)</f>
        <v>0</v>
      </c>
      <c r="DD64" s="175">
        <f>IF(DD$3&lt;=Inputs!$C$15*12,MAX(DD59+DD60-DD62+DD63,0),0)</f>
        <v>0</v>
      </c>
      <c r="DE64" s="175">
        <f>IF(DE$3&lt;=Inputs!$C$15*12,MAX(DE59+DE60-DE62+DE63,0),0)</f>
        <v>0</v>
      </c>
      <c r="DF64" s="175">
        <f>IF(DF$3&lt;=Inputs!$C$15*12,MAX(DF59+DF60-DF62+DF63,0),0)</f>
        <v>0</v>
      </c>
      <c r="DG64" s="175">
        <f>IF(DG$3&lt;=Inputs!$C$15*12,MAX(DG59+DG60-DG62+DG63,0),0)</f>
        <v>0</v>
      </c>
      <c r="DH64" s="175">
        <f>IF(DH$3&lt;=Inputs!$C$15*12,MAX(DH59+DH60-DH62+DH63,0),0)</f>
        <v>0</v>
      </c>
      <c r="DI64" s="175">
        <f>IF(DI$3&lt;=Inputs!$C$15*12,MAX(DI59+DI60-DI62+DI63,0),0)</f>
        <v>0</v>
      </c>
      <c r="DJ64" s="175">
        <f>IF(DJ$3&lt;=Inputs!$C$15*12,MAX(DJ59+DJ60-DJ62+DJ63,0),0)</f>
        <v>0</v>
      </c>
      <c r="DK64" s="175">
        <f>IF(DK$3&lt;=Inputs!$C$15*12,MAX(DK59+DK60-DK62+DK63,0),0)</f>
        <v>0</v>
      </c>
      <c r="DL64" s="175">
        <f>IF(DL$3&lt;=Inputs!$C$15*12,MAX(DL59+DL60-DL62+DL63,0),0)</f>
        <v>0</v>
      </c>
      <c r="DM64" s="175">
        <f>IF(DM$3&lt;=Inputs!$C$15*12,MAX(DM59+DM60-DM62+DM63,0),0)</f>
        <v>0</v>
      </c>
      <c r="DN64" s="175">
        <f>IF(DN$3&lt;=Inputs!$C$15*12,MAX(DN59+DN60-DN62+DN63,0),0)</f>
        <v>0</v>
      </c>
      <c r="DO64" s="175">
        <f>IF(DO$3&lt;=Inputs!$C$15*12,MAX(DO59+DO60-DO62+DO63,0),0)</f>
        <v>0</v>
      </c>
      <c r="DP64" s="175">
        <f>IF(DP$3&lt;=Inputs!$C$15*12,MAX(DP59+DP60-DP62+DP63,0),0)</f>
        <v>0</v>
      </c>
      <c r="DQ64" s="175">
        <f>IF(DQ$3&lt;=Inputs!$C$15*12,MAX(DQ59+DQ60-DQ62+DQ63,0),0)</f>
        <v>0</v>
      </c>
      <c r="DR64" s="175">
        <f>IF(DR$3&lt;=Inputs!$C$15*12,MAX(DR59+DR60-DR62+DR63,0),0)</f>
        <v>0</v>
      </c>
      <c r="DS64" s="54"/>
    </row>
    <row r="65" ht="15.0" customHeight="1">
      <c r="A65" s="54"/>
      <c r="B65" s="56" t="s">
        <v>329</v>
      </c>
      <c r="C65" s="153">
        <f>IF(C$3&lt;=Inputs!$C$15*12,C61-C62+C63,0)</f>
        <v>0</v>
      </c>
      <c r="D65" s="153">
        <f>IF(D$3&lt;=Inputs!$C$15*12,D61-D62+D63,0)</f>
        <v>0</v>
      </c>
      <c r="E65" s="153">
        <f>IF(E$3&lt;=Inputs!$C$15*12,E61-E62+E63,0)</f>
        <v>0</v>
      </c>
      <c r="F65" s="153">
        <f>IF(F$3&lt;=Inputs!$C$15*12,F61-F62+F63,0)</f>
        <v>0</v>
      </c>
      <c r="G65" s="153">
        <f>IF(G$3&lt;=Inputs!$C$15*12,G61-G62+G63,0)</f>
        <v>0</v>
      </c>
      <c r="H65" s="153">
        <f>IF(H$3&lt;=Inputs!$C$15*12,H61-H62+H63,0)</f>
        <v>0</v>
      </c>
      <c r="I65" s="153">
        <f>IF(I$3&lt;=Inputs!$C$15*12,I61-I62+I63,0)</f>
        <v>0</v>
      </c>
      <c r="J65" s="153">
        <f>IF(J$3&lt;=Inputs!$C$15*12,J61-J62+J63,0)</f>
        <v>0</v>
      </c>
      <c r="K65" s="153">
        <f>IF(K$3&lt;=Inputs!$C$15*12,K61-K62+K63,0)</f>
        <v>0</v>
      </c>
      <c r="L65" s="153">
        <f>IF(L$3&lt;=Inputs!$C$15*12,L61-L62+L63,0)</f>
        <v>0</v>
      </c>
      <c r="M65" s="153">
        <f>IF(M$3&lt;=Inputs!$C$15*12,M61-M62+M63,0)</f>
        <v>0</v>
      </c>
      <c r="N65" s="153">
        <f>IF(N$3&lt;=Inputs!$C$15*12,N61-N62+N63,0)</f>
        <v>0</v>
      </c>
      <c r="O65" s="153">
        <f>IF(O$3&lt;=Inputs!$C$15*12,O61-O62+O63,0)</f>
        <v>0</v>
      </c>
      <c r="P65" s="153">
        <f>IF(P$3&lt;=Inputs!$C$15*12,P61-P62+P63,0)</f>
        <v>0</v>
      </c>
      <c r="Q65" s="153">
        <f>IF(Q$3&lt;=Inputs!$C$15*12,Q61-Q62+Q63,0)</f>
        <v>0</v>
      </c>
      <c r="R65" s="153">
        <f>IF(R$3&lt;=Inputs!$C$15*12,R61-R62+R63,0)</f>
        <v>0</v>
      </c>
      <c r="S65" s="153">
        <f>IF(S$3&lt;=Inputs!$C$15*12,S61-S62+S63,0)</f>
        <v>0</v>
      </c>
      <c r="T65" s="153">
        <f>IF(T$3&lt;=Inputs!$C$15*12,T61-T62+T63,0)</f>
        <v>0</v>
      </c>
      <c r="U65" s="153">
        <f>IF(U$3&lt;=Inputs!$C$15*12,U61-U62+U63,0)</f>
        <v>0</v>
      </c>
      <c r="V65" s="153">
        <f>IF(V$3&lt;=Inputs!$C$15*12,V61-V62+V63,0)</f>
        <v>0</v>
      </c>
      <c r="W65" s="153">
        <f>IF(W$3&lt;=Inputs!$C$15*12,W61-W62+W63,0)</f>
        <v>0</v>
      </c>
      <c r="X65" s="153">
        <f>IF(X$3&lt;=Inputs!$C$15*12,X61-X62+X63,0)</f>
        <v>0</v>
      </c>
      <c r="Y65" s="153">
        <f>IF(Y$3&lt;=Inputs!$C$15*12,Y61-Y62+Y63,0)</f>
        <v>0</v>
      </c>
      <c r="Z65" s="153">
        <f>IF(Z$3&lt;=Inputs!$C$15*12,Z61-Z62+Z63,0)</f>
        <v>0</v>
      </c>
      <c r="AA65" s="153">
        <f>IF(AA$3&lt;=Inputs!$C$15*12,AA61-AA62+AA63,0)</f>
        <v>0</v>
      </c>
      <c r="AB65" s="153">
        <f>IF(AB$3&lt;=Inputs!$C$15*12,AB61-AB62+AB63,0)</f>
        <v>0</v>
      </c>
      <c r="AC65" s="153">
        <f>IF(AC$3&lt;=Inputs!$C$15*12,AC61-AC62+AC63,0)</f>
        <v>0</v>
      </c>
      <c r="AD65" s="153">
        <f>IF(AD$3&lt;=Inputs!$C$15*12,AD61-AD62+AD63,0)</f>
        <v>0</v>
      </c>
      <c r="AE65" s="153">
        <f>IF(AE$3&lt;=Inputs!$C$15*12,AE61-AE62+AE63,0)</f>
        <v>0</v>
      </c>
      <c r="AF65" s="153">
        <f>IF(AF$3&lt;=Inputs!$C$15*12,AF61-AF62+AF63,0)</f>
        <v>0</v>
      </c>
      <c r="AG65" s="153">
        <f>IF(AG$3&lt;=Inputs!$C$15*12,AG61-AG62+AG63,0)</f>
        <v>0</v>
      </c>
      <c r="AH65" s="153">
        <f>IF(AH$3&lt;=Inputs!$C$15*12,AH61-AH62+AH63,0)</f>
        <v>0</v>
      </c>
      <c r="AI65" s="153">
        <f>IF(AI$3&lt;=Inputs!$C$15*12,AI61-AI62+AI63,0)</f>
        <v>0</v>
      </c>
      <c r="AJ65" s="153">
        <f>IF(AJ$3&lt;=Inputs!$C$15*12,AJ61-AJ62+AJ63,0)</f>
        <v>0</v>
      </c>
      <c r="AK65" s="153">
        <f>IF(AK$3&lt;=Inputs!$C$15*12,AK61-AK62+AK63,0)</f>
        <v>0</v>
      </c>
      <c r="AL65" s="153">
        <f>IF(AL$3&lt;=Inputs!$C$15*12,AL61-AL62+AL63,0)</f>
        <v>0</v>
      </c>
      <c r="AM65" s="153">
        <f>IF(AM$3&lt;=Inputs!$C$15*12,AM61-AM62+AM63,0)</f>
        <v>0</v>
      </c>
      <c r="AN65" s="153">
        <f>IF(AN$3&lt;=Inputs!$C$15*12,AN61-AN62+AN63,0)</f>
        <v>0</v>
      </c>
      <c r="AO65" s="153">
        <f>IF(AO$3&lt;=Inputs!$C$15*12,AO61-AO62+AO63,0)</f>
        <v>0</v>
      </c>
      <c r="AP65" s="153">
        <f>IF(AP$3&lt;=Inputs!$C$15*12,AP61-AP62+AP63,0)</f>
        <v>0</v>
      </c>
      <c r="AQ65" s="153">
        <f>IF(AQ$3&lt;=Inputs!$C$15*12,AQ61-AQ62+AQ63,0)</f>
        <v>0</v>
      </c>
      <c r="AR65" s="153">
        <f>IF(AR$3&lt;=Inputs!$C$15*12,AR61-AR62+AR63,0)</f>
        <v>0</v>
      </c>
      <c r="AS65" s="153">
        <f>IF(AS$3&lt;=Inputs!$C$15*12,AS61-AS62+AS63,0)</f>
        <v>0</v>
      </c>
      <c r="AT65" s="153">
        <f>IF(AT$3&lt;=Inputs!$C$15*12,AT61-AT62+AT63,0)</f>
        <v>0</v>
      </c>
      <c r="AU65" s="153">
        <f>IF(AU$3&lt;=Inputs!$C$15*12,AU61-AU62+AU63,0)</f>
        <v>0</v>
      </c>
      <c r="AV65" s="153">
        <f>IF(AV$3&lt;=Inputs!$C$15*12,AV61-AV62+AV63,0)</f>
        <v>0</v>
      </c>
      <c r="AW65" s="153">
        <f>IF(AW$3&lt;=Inputs!$C$15*12,AW61-AW62+AW63,0)</f>
        <v>0</v>
      </c>
      <c r="AX65" s="153">
        <f>IF(AX$3&lt;=Inputs!$C$15*12,AX61-AX62+AX63,0)</f>
        <v>0</v>
      </c>
      <c r="AY65" s="153">
        <f>IF(AY$3&lt;=Inputs!$C$15*12,AY61-AY62+AY63,0)</f>
        <v>0</v>
      </c>
      <c r="AZ65" s="153">
        <f>IF(AZ$3&lt;=Inputs!$C$15*12,AZ61-AZ62+AZ63,0)</f>
        <v>0</v>
      </c>
      <c r="BA65" s="153">
        <f>IF(BA$3&lt;=Inputs!$C$15*12,BA61-BA62+BA63,0)</f>
        <v>0</v>
      </c>
      <c r="BB65" s="153">
        <f>IF(BB$3&lt;=Inputs!$C$15*12,BB61-BB62+BB63,0)</f>
        <v>0</v>
      </c>
      <c r="BC65" s="153">
        <f>IF(BC$3&lt;=Inputs!$C$15*12,BC61-BC62+BC63,0)</f>
        <v>0</v>
      </c>
      <c r="BD65" s="153">
        <f>IF(BD$3&lt;=Inputs!$C$15*12,BD61-BD62+BD63,0)</f>
        <v>0</v>
      </c>
      <c r="BE65" s="153">
        <f>IF(BE$3&lt;=Inputs!$C$15*12,BE61-BE62+BE63,0)</f>
        <v>0</v>
      </c>
      <c r="BF65" s="153">
        <f>IF(BF$3&lt;=Inputs!$C$15*12,BF61-BF62+BF63,0)</f>
        <v>0</v>
      </c>
      <c r="BG65" s="153">
        <f>IF(BG$3&lt;=Inputs!$C$15*12,BG61-BG62+BG63,0)</f>
        <v>0</v>
      </c>
      <c r="BH65" s="153">
        <f>IF(BH$3&lt;=Inputs!$C$15*12,BH61-BH62+BH63,0)</f>
        <v>0</v>
      </c>
      <c r="BI65" s="153">
        <f>IF(BI$3&lt;=Inputs!$C$15*12,BI61-BI62+BI63,0)</f>
        <v>0</v>
      </c>
      <c r="BJ65" s="153">
        <f>IF(BJ$3&lt;=Inputs!$C$15*12,BJ61-BJ62+BJ63,0)</f>
        <v>0</v>
      </c>
      <c r="BK65" s="153">
        <f>IF(BK$3&lt;=Inputs!$C$15*12,BK61-BK62+BK63,0)</f>
        <v>0</v>
      </c>
      <c r="BL65" s="153">
        <f>IF(BL$3&lt;=Inputs!$C$15*12,BL61-BL62+BL63,0)</f>
        <v>0</v>
      </c>
      <c r="BM65" s="153">
        <f>IF(BM$3&lt;=Inputs!$C$15*12,BM61-BM62+BM63,0)</f>
        <v>0</v>
      </c>
      <c r="BN65" s="153">
        <f>IF(BN$3&lt;=Inputs!$C$15*12,BN61-BN62+BN63,0)</f>
        <v>0</v>
      </c>
      <c r="BO65" s="153">
        <f>IF(BO$3&lt;=Inputs!$C$15*12,BO61-BO62+BO63,0)</f>
        <v>0</v>
      </c>
      <c r="BP65" s="153">
        <f>IF(BP$3&lt;=Inputs!$C$15*12,BP61-BP62+BP63,0)</f>
        <v>0</v>
      </c>
      <c r="BQ65" s="153">
        <f>IF(BQ$3&lt;=Inputs!$C$15*12,BQ61-BQ62+BQ63,0)</f>
        <v>0</v>
      </c>
      <c r="BR65" s="153">
        <f>IF(BR$3&lt;=Inputs!$C$15*12,BR61-BR62+BR63,0)</f>
        <v>0</v>
      </c>
      <c r="BS65" s="153">
        <f>IF(BS$3&lt;=Inputs!$C$15*12,BS61-BS62+BS63,0)</f>
        <v>0</v>
      </c>
      <c r="BT65" s="153">
        <f>IF(BT$3&lt;=Inputs!$C$15*12,BT61-BT62+BT63,0)</f>
        <v>0</v>
      </c>
      <c r="BU65" s="153">
        <f>IF(BU$3&lt;=Inputs!$C$15*12,BU61-BU62+BU63,0)</f>
        <v>0</v>
      </c>
      <c r="BV65" s="153">
        <f>IF(BV$3&lt;=Inputs!$C$15*12,BV61-BV62+BV63,0)</f>
        <v>0</v>
      </c>
      <c r="BW65" s="153">
        <f>IF(BW$3&lt;=Inputs!$C$15*12,BW61-BW62+BW63,0)</f>
        <v>0</v>
      </c>
      <c r="BX65" s="153">
        <f>IF(BX$3&lt;=Inputs!$C$15*12,BX61-BX62+BX63,0)</f>
        <v>0</v>
      </c>
      <c r="BY65" s="153">
        <f>IF(BY$3&lt;=Inputs!$C$15*12,BY61-BY62+BY63,0)</f>
        <v>0</v>
      </c>
      <c r="BZ65" s="153">
        <f>IF(BZ$3&lt;=Inputs!$C$15*12,BZ61-BZ62+BZ63,0)</f>
        <v>0</v>
      </c>
      <c r="CA65" s="153">
        <f>IF(CA$3&lt;=Inputs!$C$15*12,CA61-CA62+CA63,0)</f>
        <v>0</v>
      </c>
      <c r="CB65" s="153">
        <f>IF(CB$3&lt;=Inputs!$C$15*12,CB61-CB62+CB63,0)</f>
        <v>0</v>
      </c>
      <c r="CC65" s="153">
        <f>IF(CC$3&lt;=Inputs!$C$15*12,CC61-CC62+CC63,0)</f>
        <v>0</v>
      </c>
      <c r="CD65" s="153">
        <f>IF(CD$3&lt;=Inputs!$C$15*12,CD61-CD62+CD63,0)</f>
        <v>0</v>
      </c>
      <c r="CE65" s="153">
        <f>IF(CE$3&lt;=Inputs!$C$15*12,CE61-CE62+CE63,0)</f>
        <v>0</v>
      </c>
      <c r="CF65" s="153">
        <f>IF(CF$3&lt;=Inputs!$C$15*12,CF61-CF62+CF63,0)</f>
        <v>0</v>
      </c>
      <c r="CG65" s="153">
        <f>IF(CG$3&lt;=Inputs!$C$15*12,CG61-CG62+CG63,0)</f>
        <v>0</v>
      </c>
      <c r="CH65" s="153">
        <f>IF(CH$3&lt;=Inputs!$C$15*12,CH61-CH62+CH63,0)</f>
        <v>0</v>
      </c>
      <c r="CI65" s="153">
        <f>IF(CI$3&lt;=Inputs!$C$15*12,CI61-CI62+CI63,0)</f>
        <v>0</v>
      </c>
      <c r="CJ65" s="153">
        <f>IF(CJ$3&lt;=Inputs!$C$15*12,CJ61-CJ62+CJ63,0)</f>
        <v>0</v>
      </c>
      <c r="CK65" s="153">
        <f>IF(CK$3&lt;=Inputs!$C$15*12,CK61-CK62+CK63,0)</f>
        <v>0</v>
      </c>
      <c r="CL65" s="153">
        <f>IF(CL$3&lt;=Inputs!$C$15*12,CL61-CL62+CL63,0)</f>
        <v>0</v>
      </c>
      <c r="CM65" s="153">
        <f>IF(CM$3&lt;=Inputs!$C$15*12,CM61-CM62+CM63,0)</f>
        <v>0</v>
      </c>
      <c r="CN65" s="153">
        <f>IF(CN$3&lt;=Inputs!$C$15*12,CN61-CN62+CN63,0)</f>
        <v>0</v>
      </c>
      <c r="CO65" s="153">
        <f>IF(CO$3&lt;=Inputs!$C$15*12,CO61-CO62+CO63,0)</f>
        <v>0</v>
      </c>
      <c r="CP65" s="153">
        <f>IF(CP$3&lt;=Inputs!$C$15*12,CP61-CP62+CP63,0)</f>
        <v>0</v>
      </c>
      <c r="CQ65" s="153">
        <f>IF(CQ$3&lt;=Inputs!$C$15*12,CQ61-CQ62+CQ63,0)</f>
        <v>0</v>
      </c>
      <c r="CR65" s="153">
        <f>IF(CR$3&lt;=Inputs!$C$15*12,CR61-CR62+CR63,0)</f>
        <v>0</v>
      </c>
      <c r="CS65" s="153">
        <f>IF(CS$3&lt;=Inputs!$C$15*12,CS61-CS62+CS63,0)</f>
        <v>0</v>
      </c>
      <c r="CT65" s="153">
        <f>IF(CT$3&lt;=Inputs!$C$15*12,CT61-CT62+CT63,0)</f>
        <v>0</v>
      </c>
      <c r="CU65" s="153">
        <f>IF(CU$3&lt;=Inputs!$C$15*12,CU61-CU62+CU63,0)</f>
        <v>0</v>
      </c>
      <c r="CV65" s="153">
        <f>IF(CV$3&lt;=Inputs!$C$15*12,CV61-CV62+CV63,0)</f>
        <v>0</v>
      </c>
      <c r="CW65" s="153">
        <f>IF(CW$3&lt;=Inputs!$C$15*12,CW61-CW62+CW63,0)</f>
        <v>0</v>
      </c>
      <c r="CX65" s="153">
        <f>IF(CX$3&lt;=Inputs!$C$15*12,CX61-CX62+CX63,0)</f>
        <v>0</v>
      </c>
      <c r="CY65" s="153">
        <f>IF(CY$3&lt;=Inputs!$C$15*12,CY61-CY62+CY63,0)</f>
        <v>0</v>
      </c>
      <c r="CZ65" s="153">
        <f>IF(CZ$3&lt;=Inputs!$C$15*12,CZ61-CZ62+CZ63,0)</f>
        <v>0</v>
      </c>
      <c r="DA65" s="153">
        <f>IF(DA$3&lt;=Inputs!$C$15*12,DA61-DA62+DA63,0)</f>
        <v>0</v>
      </c>
      <c r="DB65" s="153">
        <f>IF(DB$3&lt;=Inputs!$C$15*12,DB61-DB62+DB63,0)</f>
        <v>0</v>
      </c>
      <c r="DC65" s="153">
        <f>IF(DC$3&lt;=Inputs!$C$15*12,DC61-DC62+DC63,0)</f>
        <v>0</v>
      </c>
      <c r="DD65" s="153">
        <f>IF(DD$3&lt;=Inputs!$C$15*12,DD61-DD62+DD63,0)</f>
        <v>0</v>
      </c>
      <c r="DE65" s="153">
        <f>IF(DE$3&lt;=Inputs!$C$15*12,DE61-DE62+DE63,0)</f>
        <v>0</v>
      </c>
      <c r="DF65" s="153">
        <f>IF(DF$3&lt;=Inputs!$C$15*12,DF61-DF62+DF63,0)</f>
        <v>0</v>
      </c>
      <c r="DG65" s="153">
        <f>IF(DG$3&lt;=Inputs!$C$15*12,DG61-DG62+DG63,0)</f>
        <v>0</v>
      </c>
      <c r="DH65" s="153">
        <f>IF(DH$3&lt;=Inputs!$C$15*12,DH61-DH62+DH63,0)</f>
        <v>0</v>
      </c>
      <c r="DI65" s="153">
        <f>IF(DI$3&lt;=Inputs!$C$15*12,DI61-DI62+DI63,0)</f>
        <v>0</v>
      </c>
      <c r="DJ65" s="153">
        <f>IF(DJ$3&lt;=Inputs!$C$15*12,DJ61-DJ62+DJ63,0)</f>
        <v>0</v>
      </c>
      <c r="DK65" s="153">
        <f>IF(DK$3&lt;=Inputs!$C$15*12,DK61-DK62+DK63,0)</f>
        <v>0</v>
      </c>
      <c r="DL65" s="153">
        <f>IF(DL$3&lt;=Inputs!$C$15*12,DL61-DL62+DL63,0)</f>
        <v>0</v>
      </c>
      <c r="DM65" s="153">
        <f>IF(DM$3&lt;=Inputs!$C$15*12,DM61-DM62+DM63,0)</f>
        <v>0</v>
      </c>
      <c r="DN65" s="153">
        <f>IF(DN$3&lt;=Inputs!$C$15*12,DN61-DN62+DN63,0)</f>
        <v>0</v>
      </c>
      <c r="DO65" s="153">
        <f>IF(DO$3&lt;=Inputs!$C$15*12,DO61-DO62+DO63,0)</f>
        <v>0</v>
      </c>
      <c r="DP65" s="153">
        <f>IF(DP$3&lt;=Inputs!$C$15*12,DP61-DP62+DP63,0)</f>
        <v>0</v>
      </c>
      <c r="DQ65" s="153">
        <f>IF(DQ$3&lt;=Inputs!$C$15*12,DQ61-DQ62+DQ63,0)</f>
        <v>0</v>
      </c>
      <c r="DR65" s="153">
        <f>IF(DR$3&lt;=Inputs!$C$15*12,DR61-DR62+DR63,0)</f>
        <v>0</v>
      </c>
      <c r="DS65" s="54"/>
    </row>
    <row r="66" ht="15.75" customHeight="1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  <c r="DO66" s="54"/>
      <c r="DP66" s="54"/>
      <c r="DQ66" s="54"/>
      <c r="DR66" s="54"/>
      <c r="DS66" s="54"/>
    </row>
    <row r="67" ht="16.5" customHeight="1">
      <c r="A67" s="54"/>
      <c r="B67" s="55" t="s">
        <v>330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3"/>
      <c r="DS67" s="54"/>
    </row>
    <row r="68" ht="15.0" customHeight="1">
      <c r="A68" s="54"/>
      <c r="B68" s="56" t="s">
        <v>323</v>
      </c>
      <c r="C68" s="153">
        <f>IF(C$3&lt;=Inputs!$C$15*12,0,0)</f>
        <v>0</v>
      </c>
      <c r="D68" s="153">
        <f>IF(D$3&lt;=Inputs!$C$15*12,IF(D$3&lt;=Inputs!$C$74,0,C73),0)</f>
        <v>750000</v>
      </c>
      <c r="E68" s="153">
        <f>IF(E$3&lt;=Inputs!$C$15*12,IF(E$3&lt;=Inputs!$C$74,0,D73),0)</f>
        <v>748740.5747</v>
      </c>
      <c r="F68" s="153">
        <f>IF(F$3&lt;=Inputs!$C$15*12,IF(F$3&lt;=Inputs!$C$74,0,E73),0)</f>
        <v>747475.9018</v>
      </c>
      <c r="G68" s="153">
        <f>IF(G$3&lt;=Inputs!$C$15*12,IF(G$3&lt;=Inputs!$C$74,0,F73),0)</f>
        <v>746205.9594</v>
      </c>
      <c r="H68" s="153">
        <f>IF(H$3&lt;=Inputs!$C$15*12,IF(H$3&lt;=Inputs!$C$74,0,G73),0)</f>
        <v>744930.7256</v>
      </c>
      <c r="I68" s="153">
        <f>IF(I$3&lt;=Inputs!$C$15*12,IF(I$3&lt;=Inputs!$C$74,0,H73),0)</f>
        <v>743650.1783</v>
      </c>
      <c r="J68" s="153">
        <f>IF(J$3&lt;=Inputs!$C$15*12,IF(J$3&lt;=Inputs!$C$74,0,I73),0)</f>
        <v>742364.2954</v>
      </c>
      <c r="K68" s="153">
        <f>IF(K$3&lt;=Inputs!$C$15*12,IF(K$3&lt;=Inputs!$C$74,0,J73),0)</f>
        <v>741073.0546</v>
      </c>
      <c r="L68" s="153">
        <f>IF(L$3&lt;=Inputs!$C$15*12,IF(L$3&lt;=Inputs!$C$74,0,K73),0)</f>
        <v>739776.4337</v>
      </c>
      <c r="M68" s="153">
        <f>IF(M$3&lt;=Inputs!$C$15*12,IF(M$3&lt;=Inputs!$C$74,0,L73),0)</f>
        <v>738474.4102</v>
      </c>
      <c r="N68" s="153">
        <f>IF(N$3&lt;=Inputs!$C$15*12,IF(N$3&lt;=Inputs!$C$74,0,M73),0)</f>
        <v>737166.9616</v>
      </c>
      <c r="O68" s="153">
        <f>IF(O$3&lt;=Inputs!$C$15*12,IF(O$3&lt;=Inputs!$C$74,0,N73),0)</f>
        <v>735854.0653</v>
      </c>
      <c r="P68" s="153">
        <f>IF(P$3&lt;=Inputs!$C$15*12,IF(P$3&lt;=Inputs!$C$74,0,O73),0)</f>
        <v>734535.6986</v>
      </c>
      <c r="Q68" s="153">
        <f>IF(Q$3&lt;=Inputs!$C$15*12,IF(Q$3&lt;=Inputs!$C$74,0,P73),0)</f>
        <v>733211.8387</v>
      </c>
      <c r="R68" s="153">
        <f>IF(R$3&lt;=Inputs!$C$15*12,IF(R$3&lt;=Inputs!$C$74,0,Q73),0)</f>
        <v>731882.4627</v>
      </c>
      <c r="S68" s="153">
        <f>IF(S$3&lt;=Inputs!$C$15*12,IF(S$3&lt;=Inputs!$C$74,0,R73),0)</f>
        <v>730547.5477</v>
      </c>
      <c r="T68" s="153">
        <f>IF(T$3&lt;=Inputs!$C$15*12,IF(T$3&lt;=Inputs!$C$74,0,S73),0)</f>
        <v>729207.0705</v>
      </c>
      <c r="U68" s="153">
        <f>IF(U$3&lt;=Inputs!$C$15*12,IF(U$3&lt;=Inputs!$C$74,0,T73),0)</f>
        <v>727861.008</v>
      </c>
      <c r="V68" s="153">
        <f>IF(V$3&lt;=Inputs!$C$15*12,IF(V$3&lt;=Inputs!$C$74,0,U73),0)</f>
        <v>726509.3368</v>
      </c>
      <c r="W68" s="153">
        <f>IF(W$3&lt;=Inputs!$C$15*12,IF(W$3&lt;=Inputs!$C$74,0,V73),0)</f>
        <v>725152.0338</v>
      </c>
      <c r="X68" s="153">
        <f>IF(X$3&lt;=Inputs!$C$15*12,IF(X$3&lt;=Inputs!$C$74,0,W73),0)</f>
        <v>723789.0753</v>
      </c>
      <c r="Y68" s="153">
        <f>IF(Y$3&lt;=Inputs!$C$15*12,IF(Y$3&lt;=Inputs!$C$74,0,X73),0)</f>
        <v>722420.4378</v>
      </c>
      <c r="Z68" s="153">
        <f>IF(Z$3&lt;=Inputs!$C$15*12,IF(Z$3&lt;=Inputs!$C$74,0,Y73),0)</f>
        <v>721046.0976</v>
      </c>
      <c r="AA68" s="153">
        <f>IF(AA$3&lt;=Inputs!$C$15*12,IF(AA$3&lt;=Inputs!$C$74,0,Z73),0)</f>
        <v>719666.031</v>
      </c>
      <c r="AB68" s="153">
        <f>IF(AB$3&lt;=Inputs!$C$15*12,IF(AB$3&lt;=Inputs!$C$74,0,AA73),0)</f>
        <v>718280.2142</v>
      </c>
      <c r="AC68" s="153">
        <f>IF(AC$3&lt;=Inputs!$C$15*12,IF(AC$3&lt;=Inputs!$C$74,0,AB73),0)</f>
        <v>716888.6231</v>
      </c>
      <c r="AD68" s="153">
        <f>IF(AD$3&lt;=Inputs!$C$15*12,IF(AD$3&lt;=Inputs!$C$74,0,AC73),0)</f>
        <v>715491.2337</v>
      </c>
      <c r="AE68" s="153">
        <f>IF(AE$3&lt;=Inputs!$C$15*12,IF(AE$3&lt;=Inputs!$C$74,0,AD73),0)</f>
        <v>714088.0219</v>
      </c>
      <c r="AF68" s="153">
        <f>IF(AF$3&lt;=Inputs!$C$15*12,IF(AF$3&lt;=Inputs!$C$74,0,AE73),0)</f>
        <v>712678.9633</v>
      </c>
      <c r="AG68" s="153">
        <f>IF(AG$3&lt;=Inputs!$C$15*12,IF(AG$3&lt;=Inputs!$C$74,0,AF73),0)</f>
        <v>711264.0337</v>
      </c>
      <c r="AH68" s="153">
        <f>IF(AH$3&lt;=Inputs!$C$15*12,IF(AH$3&lt;=Inputs!$C$74,0,AG73),0)</f>
        <v>709843.2085</v>
      </c>
      <c r="AI68" s="153">
        <f>IF(AI$3&lt;=Inputs!$C$15*12,IF(AI$3&lt;=Inputs!$C$74,0,AH73),0)</f>
        <v>708416.4633</v>
      </c>
      <c r="AJ68" s="153">
        <f>IF(AJ$3&lt;=Inputs!$C$15*12,IF(AJ$3&lt;=Inputs!$C$74,0,AI73),0)</f>
        <v>706983.7732</v>
      </c>
      <c r="AK68" s="153">
        <f>IF(AK$3&lt;=Inputs!$C$15*12,IF(AK$3&lt;=Inputs!$C$74,0,AJ73),0)</f>
        <v>705545.1136</v>
      </c>
      <c r="AL68" s="153">
        <f>IF(AL$3&lt;=Inputs!$C$15*12,IF(AL$3&lt;=Inputs!$C$74,0,AK73),0)</f>
        <v>704100.4596</v>
      </c>
      <c r="AM68" s="153">
        <f>IF(AM$3&lt;=Inputs!$C$15*12,IF(AM$3&lt;=Inputs!$C$74,0,AL73),0)</f>
        <v>702649.7862</v>
      </c>
      <c r="AN68" s="153">
        <f>IF(AN$3&lt;=Inputs!$C$15*12,IF(AN$3&lt;=Inputs!$C$74,0,AM73),0)</f>
        <v>701193.0683</v>
      </c>
      <c r="AO68" s="153">
        <f>IF(AO$3&lt;=Inputs!$C$15*12,IF(AO$3&lt;=Inputs!$C$74,0,AN73),0)</f>
        <v>699730.2808</v>
      </c>
      <c r="AP68" s="153">
        <f>IF(AP$3&lt;=Inputs!$C$15*12,IF(AP$3&lt;=Inputs!$C$74,0,AO73),0)</f>
        <v>698261.3983</v>
      </c>
      <c r="AQ68" s="153">
        <f>IF(AQ$3&lt;=Inputs!$C$15*12,IF(AQ$3&lt;=Inputs!$C$74,0,AP73),0)</f>
        <v>696786.3955</v>
      </c>
      <c r="AR68" s="153">
        <f>IF(AR$3&lt;=Inputs!$C$15*12,IF(AR$3&lt;=Inputs!$C$74,0,AQ73),0)</f>
        <v>695305.2469</v>
      </c>
      <c r="AS68" s="153">
        <f>IF(AS$3&lt;=Inputs!$C$15*12,IF(AS$3&lt;=Inputs!$C$74,0,AR73),0)</f>
        <v>693817.9267</v>
      </c>
      <c r="AT68" s="153">
        <f>IF(AT$3&lt;=Inputs!$C$15*12,IF(AT$3&lt;=Inputs!$C$74,0,AS73),0)</f>
        <v>692324.4095</v>
      </c>
      <c r="AU68" s="153">
        <f>IF(AU$3&lt;=Inputs!$C$15*12,IF(AU$3&lt;=Inputs!$C$74,0,AT73),0)</f>
        <v>690824.6692</v>
      </c>
      <c r="AV68" s="153">
        <f>IF(AV$3&lt;=Inputs!$C$15*12,IF(AV$3&lt;=Inputs!$C$74,0,AU73),0)</f>
        <v>689318.68</v>
      </c>
      <c r="AW68" s="153">
        <f>IF(AW$3&lt;=Inputs!$C$15*12,IF(AW$3&lt;=Inputs!$C$74,0,AV73),0)</f>
        <v>687806.4159</v>
      </c>
      <c r="AX68" s="153">
        <f>IF(AX$3&lt;=Inputs!$C$15*12,IF(AX$3&lt;=Inputs!$C$74,0,AW73),0)</f>
        <v>686287.8506</v>
      </c>
      <c r="AY68" s="153">
        <f>IF(AY$3&lt;=Inputs!$C$15*12,IF(AY$3&lt;=Inputs!$C$74,0,AX73),0)</f>
        <v>684762.958</v>
      </c>
      <c r="AZ68" s="153">
        <f>IF(AZ$3&lt;=Inputs!$C$15*12,IF(AZ$3&lt;=Inputs!$C$74,0,AY73),0)</f>
        <v>683231.7117</v>
      </c>
      <c r="BA68" s="153">
        <f>IF(BA$3&lt;=Inputs!$C$15*12,IF(BA$3&lt;=Inputs!$C$74,0,AZ73),0)</f>
        <v>681694.0852</v>
      </c>
      <c r="BB68" s="153">
        <f>IF(BB$3&lt;=Inputs!$C$15*12,IF(BB$3&lt;=Inputs!$C$74,0,BA73),0)</f>
        <v>680150.0519</v>
      </c>
      <c r="BC68" s="153">
        <f>IF(BC$3&lt;=Inputs!$C$15*12,IF(BC$3&lt;=Inputs!$C$74,0,BB73),0)</f>
        <v>678599.5851</v>
      </c>
      <c r="BD68" s="153">
        <f>IF(BD$3&lt;=Inputs!$C$15*12,IF(BD$3&lt;=Inputs!$C$74,0,BC73),0)</f>
        <v>677042.6581</v>
      </c>
      <c r="BE68" s="153">
        <f>IF(BE$3&lt;=Inputs!$C$15*12,IF(BE$3&lt;=Inputs!$C$74,0,BD73),0)</f>
        <v>675479.2439</v>
      </c>
      <c r="BF68" s="153">
        <f>IF(BF$3&lt;=Inputs!$C$15*12,IF(BF$3&lt;=Inputs!$C$74,0,BE73),0)</f>
        <v>673909.3154</v>
      </c>
      <c r="BG68" s="153">
        <f>IF(BG$3&lt;=Inputs!$C$15*12,IF(BG$3&lt;=Inputs!$C$74,0,BF73),0)</f>
        <v>672332.8456</v>
      </c>
      <c r="BH68" s="153">
        <f>IF(BH$3&lt;=Inputs!$C$15*12,IF(BH$3&lt;=Inputs!$C$74,0,BG73),0)</f>
        <v>670749.8071</v>
      </c>
      <c r="BI68" s="153">
        <f>IF(BI$3&lt;=Inputs!$C$15*12,IF(BI$3&lt;=Inputs!$C$74,0,BH73),0)</f>
        <v>669160.1727</v>
      </c>
      <c r="BJ68" s="153">
        <f>IF(BJ$3&lt;=Inputs!$C$15*12,IF(BJ$3&lt;=Inputs!$C$74,0,BI73),0)</f>
        <v>667563.9147</v>
      </c>
      <c r="BK68" s="153">
        <f>IF(BK$3&lt;=Inputs!$C$15*12,IF(BK$3&lt;=Inputs!$C$74,0,BJ73),0)</f>
        <v>0</v>
      </c>
      <c r="BL68" s="153">
        <f>IF(BL$3&lt;=Inputs!$C$15*12,IF(BL$3&lt;=Inputs!$C$74,0,BK73),0)</f>
        <v>0</v>
      </c>
      <c r="BM68" s="153">
        <f>IF(BM$3&lt;=Inputs!$C$15*12,IF(BM$3&lt;=Inputs!$C$74,0,BL73),0)</f>
        <v>0</v>
      </c>
      <c r="BN68" s="153">
        <f>IF(BN$3&lt;=Inputs!$C$15*12,IF(BN$3&lt;=Inputs!$C$74,0,BM73),0)</f>
        <v>0</v>
      </c>
      <c r="BO68" s="153">
        <f>IF(BO$3&lt;=Inputs!$C$15*12,IF(BO$3&lt;=Inputs!$C$74,0,BN73),0)</f>
        <v>0</v>
      </c>
      <c r="BP68" s="153">
        <f>IF(BP$3&lt;=Inputs!$C$15*12,IF(BP$3&lt;=Inputs!$C$74,0,BO73),0)</f>
        <v>0</v>
      </c>
      <c r="BQ68" s="153">
        <f>IF(BQ$3&lt;=Inputs!$C$15*12,IF(BQ$3&lt;=Inputs!$C$74,0,BP73),0)</f>
        <v>0</v>
      </c>
      <c r="BR68" s="153">
        <f>IF(BR$3&lt;=Inputs!$C$15*12,IF(BR$3&lt;=Inputs!$C$74,0,BQ73),0)</f>
        <v>0</v>
      </c>
      <c r="BS68" s="153">
        <f>IF(BS$3&lt;=Inputs!$C$15*12,IF(BS$3&lt;=Inputs!$C$74,0,BR73),0)</f>
        <v>0</v>
      </c>
      <c r="BT68" s="153">
        <f>IF(BT$3&lt;=Inputs!$C$15*12,IF(BT$3&lt;=Inputs!$C$74,0,BS73),0)</f>
        <v>0</v>
      </c>
      <c r="BU68" s="153">
        <f>IF(BU$3&lt;=Inputs!$C$15*12,IF(BU$3&lt;=Inputs!$C$74,0,BT73),0)</f>
        <v>0</v>
      </c>
      <c r="BV68" s="153">
        <f>IF(BV$3&lt;=Inputs!$C$15*12,IF(BV$3&lt;=Inputs!$C$74,0,BU73),0)</f>
        <v>0</v>
      </c>
      <c r="BW68" s="153">
        <f>IF(BW$3&lt;=Inputs!$C$15*12,IF(BW$3&lt;=Inputs!$C$74,0,BV73),0)</f>
        <v>0</v>
      </c>
      <c r="BX68" s="153">
        <f>IF(BX$3&lt;=Inputs!$C$15*12,IF(BX$3&lt;=Inputs!$C$74,0,BW73),0)</f>
        <v>0</v>
      </c>
      <c r="BY68" s="153">
        <f>IF(BY$3&lt;=Inputs!$C$15*12,IF(BY$3&lt;=Inputs!$C$74,0,BX73),0)</f>
        <v>0</v>
      </c>
      <c r="BZ68" s="153">
        <f>IF(BZ$3&lt;=Inputs!$C$15*12,IF(BZ$3&lt;=Inputs!$C$74,0,BY73),0)</f>
        <v>0</v>
      </c>
      <c r="CA68" s="153">
        <f>IF(CA$3&lt;=Inputs!$C$15*12,IF(CA$3&lt;=Inputs!$C$74,0,BZ73),0)</f>
        <v>0</v>
      </c>
      <c r="CB68" s="153">
        <f>IF(CB$3&lt;=Inputs!$C$15*12,IF(CB$3&lt;=Inputs!$C$74,0,CA73),0)</f>
        <v>0</v>
      </c>
      <c r="CC68" s="153">
        <f>IF(CC$3&lt;=Inputs!$C$15*12,IF(CC$3&lt;=Inputs!$C$74,0,CB73),0)</f>
        <v>0</v>
      </c>
      <c r="CD68" s="153">
        <f>IF(CD$3&lt;=Inputs!$C$15*12,IF(CD$3&lt;=Inputs!$C$74,0,CC73),0)</f>
        <v>0</v>
      </c>
      <c r="CE68" s="153">
        <f>IF(CE$3&lt;=Inputs!$C$15*12,IF(CE$3&lt;=Inputs!$C$74,0,CD73),0)</f>
        <v>0</v>
      </c>
      <c r="CF68" s="153">
        <f>IF(CF$3&lt;=Inputs!$C$15*12,IF(CF$3&lt;=Inputs!$C$74,0,CE73),0)</f>
        <v>0</v>
      </c>
      <c r="CG68" s="153">
        <f>IF(CG$3&lt;=Inputs!$C$15*12,IF(CG$3&lt;=Inputs!$C$74,0,CF73),0)</f>
        <v>0</v>
      </c>
      <c r="CH68" s="153">
        <f>IF(CH$3&lt;=Inputs!$C$15*12,IF(CH$3&lt;=Inputs!$C$74,0,CG73),0)</f>
        <v>0</v>
      </c>
      <c r="CI68" s="153">
        <f>IF(CI$3&lt;=Inputs!$C$15*12,IF(CI$3&lt;=Inputs!$C$74,0,CH73),0)</f>
        <v>0</v>
      </c>
      <c r="CJ68" s="153">
        <f>IF(CJ$3&lt;=Inputs!$C$15*12,IF(CJ$3&lt;=Inputs!$C$74,0,CI73),0)</f>
        <v>0</v>
      </c>
      <c r="CK68" s="153">
        <f>IF(CK$3&lt;=Inputs!$C$15*12,IF(CK$3&lt;=Inputs!$C$74,0,CJ73),0)</f>
        <v>0</v>
      </c>
      <c r="CL68" s="153">
        <f>IF(CL$3&lt;=Inputs!$C$15*12,IF(CL$3&lt;=Inputs!$C$74,0,CK73),0)</f>
        <v>0</v>
      </c>
      <c r="CM68" s="153">
        <f>IF(CM$3&lt;=Inputs!$C$15*12,IF(CM$3&lt;=Inputs!$C$74,0,CL73),0)</f>
        <v>0</v>
      </c>
      <c r="CN68" s="153">
        <f>IF(CN$3&lt;=Inputs!$C$15*12,IF(CN$3&lt;=Inputs!$C$74,0,CM73),0)</f>
        <v>0</v>
      </c>
      <c r="CO68" s="153">
        <f>IF(CO$3&lt;=Inputs!$C$15*12,IF(CO$3&lt;=Inputs!$C$74,0,CN73),0)</f>
        <v>0</v>
      </c>
      <c r="CP68" s="153">
        <f>IF(CP$3&lt;=Inputs!$C$15*12,IF(CP$3&lt;=Inputs!$C$74,0,CO73),0)</f>
        <v>0</v>
      </c>
      <c r="CQ68" s="153">
        <f>IF(CQ$3&lt;=Inputs!$C$15*12,IF(CQ$3&lt;=Inputs!$C$74,0,CP73),0)</f>
        <v>0</v>
      </c>
      <c r="CR68" s="153">
        <f>IF(CR$3&lt;=Inputs!$C$15*12,IF(CR$3&lt;=Inputs!$C$74,0,CQ73),0)</f>
        <v>0</v>
      </c>
      <c r="CS68" s="153">
        <f>IF(CS$3&lt;=Inputs!$C$15*12,IF(CS$3&lt;=Inputs!$C$74,0,CR73),0)</f>
        <v>0</v>
      </c>
      <c r="CT68" s="153">
        <f>IF(CT$3&lt;=Inputs!$C$15*12,IF(CT$3&lt;=Inputs!$C$74,0,CS73),0)</f>
        <v>0</v>
      </c>
      <c r="CU68" s="153">
        <f>IF(CU$3&lt;=Inputs!$C$15*12,IF(CU$3&lt;=Inputs!$C$74,0,CT73),0)</f>
        <v>0</v>
      </c>
      <c r="CV68" s="153">
        <f>IF(CV$3&lt;=Inputs!$C$15*12,IF(CV$3&lt;=Inputs!$C$74,0,CU73),0)</f>
        <v>0</v>
      </c>
      <c r="CW68" s="153">
        <f>IF(CW$3&lt;=Inputs!$C$15*12,IF(CW$3&lt;=Inputs!$C$74,0,CV73),0)</f>
        <v>0</v>
      </c>
      <c r="CX68" s="153">
        <f>IF(CX$3&lt;=Inputs!$C$15*12,IF(CX$3&lt;=Inputs!$C$74,0,CW73),0)</f>
        <v>0</v>
      </c>
      <c r="CY68" s="153">
        <f>IF(CY$3&lt;=Inputs!$C$15*12,IF(CY$3&lt;=Inputs!$C$74,0,CX73),0)</f>
        <v>0</v>
      </c>
      <c r="CZ68" s="153">
        <f>IF(CZ$3&lt;=Inputs!$C$15*12,IF(CZ$3&lt;=Inputs!$C$74,0,CY73),0)</f>
        <v>0</v>
      </c>
      <c r="DA68" s="153">
        <f>IF(DA$3&lt;=Inputs!$C$15*12,IF(DA$3&lt;=Inputs!$C$74,0,CZ73),0)</f>
        <v>0</v>
      </c>
      <c r="DB68" s="153">
        <f>IF(DB$3&lt;=Inputs!$C$15*12,IF(DB$3&lt;=Inputs!$C$74,0,DA73),0)</f>
        <v>0</v>
      </c>
      <c r="DC68" s="153">
        <f>IF(DC$3&lt;=Inputs!$C$15*12,IF(DC$3&lt;=Inputs!$C$74,0,DB73),0)</f>
        <v>0</v>
      </c>
      <c r="DD68" s="153">
        <f>IF(DD$3&lt;=Inputs!$C$15*12,IF(DD$3&lt;=Inputs!$C$74,0,DC73),0)</f>
        <v>0</v>
      </c>
      <c r="DE68" s="153">
        <f>IF(DE$3&lt;=Inputs!$C$15*12,IF(DE$3&lt;=Inputs!$C$74,0,DD73),0)</f>
        <v>0</v>
      </c>
      <c r="DF68" s="153">
        <f>IF(DF$3&lt;=Inputs!$C$15*12,IF(DF$3&lt;=Inputs!$C$74,0,DE73),0)</f>
        <v>0</v>
      </c>
      <c r="DG68" s="153">
        <f>IF(DG$3&lt;=Inputs!$C$15*12,IF(DG$3&lt;=Inputs!$C$74,0,DF73),0)</f>
        <v>0</v>
      </c>
      <c r="DH68" s="153">
        <f>IF(DH$3&lt;=Inputs!$C$15*12,IF(DH$3&lt;=Inputs!$C$74,0,DG73),0)</f>
        <v>0</v>
      </c>
      <c r="DI68" s="153">
        <f>IF(DI$3&lt;=Inputs!$C$15*12,IF(DI$3&lt;=Inputs!$C$74,0,DH73),0)</f>
        <v>0</v>
      </c>
      <c r="DJ68" s="153">
        <f>IF(DJ$3&lt;=Inputs!$C$15*12,IF(DJ$3&lt;=Inputs!$C$74,0,DI73),0)</f>
        <v>0</v>
      </c>
      <c r="DK68" s="153">
        <f>IF(DK$3&lt;=Inputs!$C$15*12,IF(DK$3&lt;=Inputs!$C$74,0,DJ73),0)</f>
        <v>0</v>
      </c>
      <c r="DL68" s="153">
        <f>IF(DL$3&lt;=Inputs!$C$15*12,IF(DL$3&lt;=Inputs!$C$74,0,DK73),0)</f>
        <v>0</v>
      </c>
      <c r="DM68" s="153">
        <f>IF(DM$3&lt;=Inputs!$C$15*12,IF(DM$3&lt;=Inputs!$C$74,0,DL73),0)</f>
        <v>0</v>
      </c>
      <c r="DN68" s="153">
        <f>IF(DN$3&lt;=Inputs!$C$15*12,IF(DN$3&lt;=Inputs!$C$74,0,DM73),0)</f>
        <v>0</v>
      </c>
      <c r="DO68" s="153">
        <f>IF(DO$3&lt;=Inputs!$C$15*12,IF(DO$3&lt;=Inputs!$C$74,0,DN73),0)</f>
        <v>0</v>
      </c>
      <c r="DP68" s="153">
        <f>IF(DP$3&lt;=Inputs!$C$15*12,IF(DP$3&lt;=Inputs!$C$74,0,DO73),0)</f>
        <v>0</v>
      </c>
      <c r="DQ68" s="153">
        <f>IF(DQ$3&lt;=Inputs!$C$15*12,IF(DQ$3&lt;=Inputs!$C$74,0,DP73),0)</f>
        <v>0</v>
      </c>
      <c r="DR68" s="153">
        <f>IF(DR$3&lt;=Inputs!$C$15*12,IF(DR$3&lt;=Inputs!$C$74,0,DQ73),0)</f>
        <v>0</v>
      </c>
      <c r="DS68" s="54"/>
    </row>
    <row r="69" ht="15.0" customHeight="1">
      <c r="A69" s="54"/>
      <c r="B69" s="56" t="s">
        <v>324</v>
      </c>
      <c r="C69" s="153">
        <f>IF(C$3&lt;=Inputs!$C$15*12,IF(C$3=Inputs!$C$74,Inputs!$C$69,0),0)</f>
        <v>750000</v>
      </c>
      <c r="D69" s="153">
        <f>IF(D$3&lt;=Inputs!$C$15*12,IF(D$3=Inputs!$C$74,Inputs!$C$69,0),0)</f>
        <v>0</v>
      </c>
      <c r="E69" s="153">
        <f>IF(E$3&lt;=Inputs!$C$15*12,IF(E$3=Inputs!$C$74,Inputs!$C$69,0),0)</f>
        <v>0</v>
      </c>
      <c r="F69" s="153">
        <f>IF(F$3&lt;=Inputs!$C$15*12,IF(F$3=Inputs!$C$74,Inputs!$C$69,0),0)</f>
        <v>0</v>
      </c>
      <c r="G69" s="153">
        <f>IF(G$3&lt;=Inputs!$C$15*12,IF(G$3=Inputs!$C$74,Inputs!$C$69,0),0)</f>
        <v>0</v>
      </c>
      <c r="H69" s="153">
        <f>IF(H$3&lt;=Inputs!$C$15*12,IF(H$3=Inputs!$C$74,Inputs!$C$69,0),0)</f>
        <v>0</v>
      </c>
      <c r="I69" s="153">
        <f>IF(I$3&lt;=Inputs!$C$15*12,IF(I$3=Inputs!$C$74,Inputs!$C$69,0),0)</f>
        <v>0</v>
      </c>
      <c r="J69" s="153">
        <f>IF(J$3&lt;=Inputs!$C$15*12,IF(J$3=Inputs!$C$74,Inputs!$C$69,0),0)</f>
        <v>0</v>
      </c>
      <c r="K69" s="153">
        <f>IF(K$3&lt;=Inputs!$C$15*12,IF(K$3=Inputs!$C$74,Inputs!$C$69,0),0)</f>
        <v>0</v>
      </c>
      <c r="L69" s="153">
        <f>IF(L$3&lt;=Inputs!$C$15*12,IF(L$3=Inputs!$C$74,Inputs!$C$69,0),0)</f>
        <v>0</v>
      </c>
      <c r="M69" s="153">
        <f>IF(M$3&lt;=Inputs!$C$15*12,IF(M$3=Inputs!$C$74,Inputs!$C$69,0),0)</f>
        <v>0</v>
      </c>
      <c r="N69" s="153">
        <f>IF(N$3&lt;=Inputs!$C$15*12,IF(N$3=Inputs!$C$74,Inputs!$C$69,0),0)</f>
        <v>0</v>
      </c>
      <c r="O69" s="153">
        <f>IF(O$3&lt;=Inputs!$C$15*12,IF(O$3=Inputs!$C$74,Inputs!$C$69,0),0)</f>
        <v>0</v>
      </c>
      <c r="P69" s="153">
        <f>IF(P$3&lt;=Inputs!$C$15*12,IF(P$3=Inputs!$C$74,Inputs!$C$69,0),0)</f>
        <v>0</v>
      </c>
      <c r="Q69" s="153">
        <f>IF(Q$3&lt;=Inputs!$C$15*12,IF(Q$3=Inputs!$C$74,Inputs!$C$69,0),0)</f>
        <v>0</v>
      </c>
      <c r="R69" s="153">
        <f>IF(R$3&lt;=Inputs!$C$15*12,IF(R$3=Inputs!$C$74,Inputs!$C$69,0),0)</f>
        <v>0</v>
      </c>
      <c r="S69" s="153">
        <f>IF(S$3&lt;=Inputs!$C$15*12,IF(S$3=Inputs!$C$74,Inputs!$C$69,0),0)</f>
        <v>0</v>
      </c>
      <c r="T69" s="153">
        <f>IF(T$3&lt;=Inputs!$C$15*12,IF(T$3=Inputs!$C$74,Inputs!$C$69,0),0)</f>
        <v>0</v>
      </c>
      <c r="U69" s="153">
        <f>IF(U$3&lt;=Inputs!$C$15*12,IF(U$3=Inputs!$C$74,Inputs!$C$69,0),0)</f>
        <v>0</v>
      </c>
      <c r="V69" s="153">
        <f>IF(V$3&lt;=Inputs!$C$15*12,IF(V$3=Inputs!$C$74,Inputs!$C$69,0),0)</f>
        <v>0</v>
      </c>
      <c r="W69" s="153">
        <f>IF(W$3&lt;=Inputs!$C$15*12,IF(W$3=Inputs!$C$74,Inputs!$C$69,0),0)</f>
        <v>0</v>
      </c>
      <c r="X69" s="153">
        <f>IF(X$3&lt;=Inputs!$C$15*12,IF(X$3=Inputs!$C$74,Inputs!$C$69,0),0)</f>
        <v>0</v>
      </c>
      <c r="Y69" s="153">
        <f>IF(Y$3&lt;=Inputs!$C$15*12,IF(Y$3=Inputs!$C$74,Inputs!$C$69,0),0)</f>
        <v>0</v>
      </c>
      <c r="Z69" s="153">
        <f>IF(Z$3&lt;=Inputs!$C$15*12,IF(Z$3=Inputs!$C$74,Inputs!$C$69,0),0)</f>
        <v>0</v>
      </c>
      <c r="AA69" s="153">
        <f>IF(AA$3&lt;=Inputs!$C$15*12,IF(AA$3=Inputs!$C$74,Inputs!$C$69,0),0)</f>
        <v>0</v>
      </c>
      <c r="AB69" s="153">
        <f>IF(AB$3&lt;=Inputs!$C$15*12,IF(AB$3=Inputs!$C$74,Inputs!$C$69,0),0)</f>
        <v>0</v>
      </c>
      <c r="AC69" s="153">
        <f>IF(AC$3&lt;=Inputs!$C$15*12,IF(AC$3=Inputs!$C$74,Inputs!$C$69,0),0)</f>
        <v>0</v>
      </c>
      <c r="AD69" s="153">
        <f>IF(AD$3&lt;=Inputs!$C$15*12,IF(AD$3=Inputs!$C$74,Inputs!$C$69,0),0)</f>
        <v>0</v>
      </c>
      <c r="AE69" s="153">
        <f>IF(AE$3&lt;=Inputs!$C$15*12,IF(AE$3=Inputs!$C$74,Inputs!$C$69,0),0)</f>
        <v>0</v>
      </c>
      <c r="AF69" s="153">
        <f>IF(AF$3&lt;=Inputs!$C$15*12,IF(AF$3=Inputs!$C$74,Inputs!$C$69,0),0)</f>
        <v>0</v>
      </c>
      <c r="AG69" s="153">
        <f>IF(AG$3&lt;=Inputs!$C$15*12,IF(AG$3=Inputs!$C$74,Inputs!$C$69,0),0)</f>
        <v>0</v>
      </c>
      <c r="AH69" s="153">
        <f>IF(AH$3&lt;=Inputs!$C$15*12,IF(AH$3=Inputs!$C$74,Inputs!$C$69,0),0)</f>
        <v>0</v>
      </c>
      <c r="AI69" s="153">
        <f>IF(AI$3&lt;=Inputs!$C$15*12,IF(AI$3=Inputs!$C$74,Inputs!$C$69,0),0)</f>
        <v>0</v>
      </c>
      <c r="AJ69" s="153">
        <f>IF(AJ$3&lt;=Inputs!$C$15*12,IF(AJ$3=Inputs!$C$74,Inputs!$C$69,0),0)</f>
        <v>0</v>
      </c>
      <c r="AK69" s="153">
        <f>IF(AK$3&lt;=Inputs!$C$15*12,IF(AK$3=Inputs!$C$74,Inputs!$C$69,0),0)</f>
        <v>0</v>
      </c>
      <c r="AL69" s="153">
        <f>IF(AL$3&lt;=Inputs!$C$15*12,IF(AL$3=Inputs!$C$74,Inputs!$C$69,0),0)</f>
        <v>0</v>
      </c>
      <c r="AM69" s="153">
        <f>IF(AM$3&lt;=Inputs!$C$15*12,IF(AM$3=Inputs!$C$74,Inputs!$C$69,0),0)</f>
        <v>0</v>
      </c>
      <c r="AN69" s="153">
        <f>IF(AN$3&lt;=Inputs!$C$15*12,IF(AN$3=Inputs!$C$74,Inputs!$C$69,0),0)</f>
        <v>0</v>
      </c>
      <c r="AO69" s="153">
        <f>IF(AO$3&lt;=Inputs!$C$15*12,IF(AO$3=Inputs!$C$74,Inputs!$C$69,0),0)</f>
        <v>0</v>
      </c>
      <c r="AP69" s="153">
        <f>IF(AP$3&lt;=Inputs!$C$15*12,IF(AP$3=Inputs!$C$74,Inputs!$C$69,0),0)</f>
        <v>0</v>
      </c>
      <c r="AQ69" s="153">
        <f>IF(AQ$3&lt;=Inputs!$C$15*12,IF(AQ$3=Inputs!$C$74,Inputs!$C$69,0),0)</f>
        <v>0</v>
      </c>
      <c r="AR69" s="153">
        <f>IF(AR$3&lt;=Inputs!$C$15*12,IF(AR$3=Inputs!$C$74,Inputs!$C$69,0),0)</f>
        <v>0</v>
      </c>
      <c r="AS69" s="153">
        <f>IF(AS$3&lt;=Inputs!$C$15*12,IF(AS$3=Inputs!$C$74,Inputs!$C$69,0),0)</f>
        <v>0</v>
      </c>
      <c r="AT69" s="153">
        <f>IF(AT$3&lt;=Inputs!$C$15*12,IF(AT$3=Inputs!$C$74,Inputs!$C$69,0),0)</f>
        <v>0</v>
      </c>
      <c r="AU69" s="153">
        <f>IF(AU$3&lt;=Inputs!$C$15*12,IF(AU$3=Inputs!$C$74,Inputs!$C$69,0),0)</f>
        <v>0</v>
      </c>
      <c r="AV69" s="153">
        <f>IF(AV$3&lt;=Inputs!$C$15*12,IF(AV$3=Inputs!$C$74,Inputs!$C$69,0),0)</f>
        <v>0</v>
      </c>
      <c r="AW69" s="153">
        <f>IF(AW$3&lt;=Inputs!$C$15*12,IF(AW$3=Inputs!$C$74,Inputs!$C$69,0),0)</f>
        <v>0</v>
      </c>
      <c r="AX69" s="153">
        <f>IF(AX$3&lt;=Inputs!$C$15*12,IF(AX$3=Inputs!$C$74,Inputs!$C$69,0),0)</f>
        <v>0</v>
      </c>
      <c r="AY69" s="153">
        <f>IF(AY$3&lt;=Inputs!$C$15*12,IF(AY$3=Inputs!$C$74,Inputs!$C$69,0),0)</f>
        <v>0</v>
      </c>
      <c r="AZ69" s="153">
        <f>IF(AZ$3&lt;=Inputs!$C$15*12,IF(AZ$3=Inputs!$C$74,Inputs!$C$69,0),0)</f>
        <v>0</v>
      </c>
      <c r="BA69" s="153">
        <f>IF(BA$3&lt;=Inputs!$C$15*12,IF(BA$3=Inputs!$C$74,Inputs!$C$69,0),0)</f>
        <v>0</v>
      </c>
      <c r="BB69" s="153">
        <f>IF(BB$3&lt;=Inputs!$C$15*12,IF(BB$3=Inputs!$C$74,Inputs!$C$69,0),0)</f>
        <v>0</v>
      </c>
      <c r="BC69" s="153">
        <f>IF(BC$3&lt;=Inputs!$C$15*12,IF(BC$3=Inputs!$C$74,Inputs!$C$69,0),0)</f>
        <v>0</v>
      </c>
      <c r="BD69" s="153">
        <f>IF(BD$3&lt;=Inputs!$C$15*12,IF(BD$3=Inputs!$C$74,Inputs!$C$69,0),0)</f>
        <v>0</v>
      </c>
      <c r="BE69" s="153">
        <f>IF(BE$3&lt;=Inputs!$C$15*12,IF(BE$3=Inputs!$C$74,Inputs!$C$69,0),0)</f>
        <v>0</v>
      </c>
      <c r="BF69" s="153">
        <f>IF(BF$3&lt;=Inputs!$C$15*12,IF(BF$3=Inputs!$C$74,Inputs!$C$69,0),0)</f>
        <v>0</v>
      </c>
      <c r="BG69" s="153">
        <f>IF(BG$3&lt;=Inputs!$C$15*12,IF(BG$3=Inputs!$C$74,Inputs!$C$69,0),0)</f>
        <v>0</v>
      </c>
      <c r="BH69" s="153">
        <f>IF(BH$3&lt;=Inputs!$C$15*12,IF(BH$3=Inputs!$C$74,Inputs!$C$69,0),0)</f>
        <v>0</v>
      </c>
      <c r="BI69" s="153">
        <f>IF(BI$3&lt;=Inputs!$C$15*12,IF(BI$3=Inputs!$C$74,Inputs!$C$69,0),0)</f>
        <v>0</v>
      </c>
      <c r="BJ69" s="153">
        <f>IF(BJ$3&lt;=Inputs!$C$15*12,IF(BJ$3=Inputs!$C$74,Inputs!$C$69,0),0)</f>
        <v>0</v>
      </c>
      <c r="BK69" s="153">
        <f>IF(BK$3&lt;=Inputs!$C$15*12,IF(BK$3=Inputs!$C$74,Inputs!$C$69,0),0)</f>
        <v>0</v>
      </c>
      <c r="BL69" s="153">
        <f>IF(BL$3&lt;=Inputs!$C$15*12,IF(BL$3=Inputs!$C$74,Inputs!$C$69,0),0)</f>
        <v>0</v>
      </c>
      <c r="BM69" s="153">
        <f>IF(BM$3&lt;=Inputs!$C$15*12,IF(BM$3=Inputs!$C$74,Inputs!$C$69,0),0)</f>
        <v>0</v>
      </c>
      <c r="BN69" s="153">
        <f>IF(BN$3&lt;=Inputs!$C$15*12,IF(BN$3=Inputs!$C$74,Inputs!$C$69,0),0)</f>
        <v>0</v>
      </c>
      <c r="BO69" s="153">
        <f>IF(BO$3&lt;=Inputs!$C$15*12,IF(BO$3=Inputs!$C$74,Inputs!$C$69,0),0)</f>
        <v>0</v>
      </c>
      <c r="BP69" s="153">
        <f>IF(BP$3&lt;=Inputs!$C$15*12,IF(BP$3=Inputs!$C$74,Inputs!$C$69,0),0)</f>
        <v>0</v>
      </c>
      <c r="BQ69" s="153">
        <f>IF(BQ$3&lt;=Inputs!$C$15*12,IF(BQ$3=Inputs!$C$74,Inputs!$C$69,0),0)</f>
        <v>0</v>
      </c>
      <c r="BR69" s="153">
        <f>IF(BR$3&lt;=Inputs!$C$15*12,IF(BR$3=Inputs!$C$74,Inputs!$C$69,0),0)</f>
        <v>0</v>
      </c>
      <c r="BS69" s="153">
        <f>IF(BS$3&lt;=Inputs!$C$15*12,IF(BS$3=Inputs!$C$74,Inputs!$C$69,0),0)</f>
        <v>0</v>
      </c>
      <c r="BT69" s="153">
        <f>IF(BT$3&lt;=Inputs!$C$15*12,IF(BT$3=Inputs!$C$74,Inputs!$C$69,0),0)</f>
        <v>0</v>
      </c>
      <c r="BU69" s="153">
        <f>IF(BU$3&lt;=Inputs!$C$15*12,IF(BU$3=Inputs!$C$74,Inputs!$C$69,0),0)</f>
        <v>0</v>
      </c>
      <c r="BV69" s="153">
        <f>IF(BV$3&lt;=Inputs!$C$15*12,IF(BV$3=Inputs!$C$74,Inputs!$C$69,0),0)</f>
        <v>0</v>
      </c>
      <c r="BW69" s="153">
        <f>IF(BW$3&lt;=Inputs!$C$15*12,IF(BW$3=Inputs!$C$74,Inputs!$C$69,0),0)</f>
        <v>0</v>
      </c>
      <c r="BX69" s="153">
        <f>IF(BX$3&lt;=Inputs!$C$15*12,IF(BX$3=Inputs!$C$74,Inputs!$C$69,0),0)</f>
        <v>0</v>
      </c>
      <c r="BY69" s="153">
        <f>IF(BY$3&lt;=Inputs!$C$15*12,IF(BY$3=Inputs!$C$74,Inputs!$C$69,0),0)</f>
        <v>0</v>
      </c>
      <c r="BZ69" s="153">
        <f>IF(BZ$3&lt;=Inputs!$C$15*12,IF(BZ$3=Inputs!$C$74,Inputs!$C$69,0),0)</f>
        <v>0</v>
      </c>
      <c r="CA69" s="153">
        <f>IF(CA$3&lt;=Inputs!$C$15*12,IF(CA$3=Inputs!$C$74,Inputs!$C$69,0),0)</f>
        <v>0</v>
      </c>
      <c r="CB69" s="153">
        <f>IF(CB$3&lt;=Inputs!$C$15*12,IF(CB$3=Inputs!$C$74,Inputs!$C$69,0),0)</f>
        <v>0</v>
      </c>
      <c r="CC69" s="153">
        <f>IF(CC$3&lt;=Inputs!$C$15*12,IF(CC$3=Inputs!$C$74,Inputs!$C$69,0),0)</f>
        <v>0</v>
      </c>
      <c r="CD69" s="153">
        <f>IF(CD$3&lt;=Inputs!$C$15*12,IF(CD$3=Inputs!$C$74,Inputs!$C$69,0),0)</f>
        <v>0</v>
      </c>
      <c r="CE69" s="153">
        <f>IF(CE$3&lt;=Inputs!$C$15*12,IF(CE$3=Inputs!$C$74,Inputs!$C$69,0),0)</f>
        <v>0</v>
      </c>
      <c r="CF69" s="153">
        <f>IF(CF$3&lt;=Inputs!$C$15*12,IF(CF$3=Inputs!$C$74,Inputs!$C$69,0),0)</f>
        <v>0</v>
      </c>
      <c r="CG69" s="153">
        <f>IF(CG$3&lt;=Inputs!$C$15*12,IF(CG$3=Inputs!$C$74,Inputs!$C$69,0),0)</f>
        <v>0</v>
      </c>
      <c r="CH69" s="153">
        <f>IF(CH$3&lt;=Inputs!$C$15*12,IF(CH$3=Inputs!$C$74,Inputs!$C$69,0),0)</f>
        <v>0</v>
      </c>
      <c r="CI69" s="153">
        <f>IF(CI$3&lt;=Inputs!$C$15*12,IF(CI$3=Inputs!$C$74,Inputs!$C$69,0),0)</f>
        <v>0</v>
      </c>
      <c r="CJ69" s="153">
        <f>IF(CJ$3&lt;=Inputs!$C$15*12,IF(CJ$3=Inputs!$C$74,Inputs!$C$69,0),0)</f>
        <v>0</v>
      </c>
      <c r="CK69" s="153">
        <f>IF(CK$3&lt;=Inputs!$C$15*12,IF(CK$3=Inputs!$C$74,Inputs!$C$69,0),0)</f>
        <v>0</v>
      </c>
      <c r="CL69" s="153">
        <f>IF(CL$3&lt;=Inputs!$C$15*12,IF(CL$3=Inputs!$C$74,Inputs!$C$69,0),0)</f>
        <v>0</v>
      </c>
      <c r="CM69" s="153">
        <f>IF(CM$3&lt;=Inputs!$C$15*12,IF(CM$3=Inputs!$C$74,Inputs!$C$69,0),0)</f>
        <v>0</v>
      </c>
      <c r="CN69" s="153">
        <f>IF(CN$3&lt;=Inputs!$C$15*12,IF(CN$3=Inputs!$C$74,Inputs!$C$69,0),0)</f>
        <v>0</v>
      </c>
      <c r="CO69" s="153">
        <f>IF(CO$3&lt;=Inputs!$C$15*12,IF(CO$3=Inputs!$C$74,Inputs!$C$69,0),0)</f>
        <v>0</v>
      </c>
      <c r="CP69" s="153">
        <f>IF(CP$3&lt;=Inputs!$C$15*12,IF(CP$3=Inputs!$C$74,Inputs!$C$69,0),0)</f>
        <v>0</v>
      </c>
      <c r="CQ69" s="153">
        <f>IF(CQ$3&lt;=Inputs!$C$15*12,IF(CQ$3=Inputs!$C$74,Inputs!$C$69,0),0)</f>
        <v>0</v>
      </c>
      <c r="CR69" s="153">
        <f>IF(CR$3&lt;=Inputs!$C$15*12,IF(CR$3=Inputs!$C$74,Inputs!$C$69,0),0)</f>
        <v>0</v>
      </c>
      <c r="CS69" s="153">
        <f>IF(CS$3&lt;=Inputs!$C$15*12,IF(CS$3=Inputs!$C$74,Inputs!$C$69,0),0)</f>
        <v>0</v>
      </c>
      <c r="CT69" s="153">
        <f>IF(CT$3&lt;=Inputs!$C$15*12,IF(CT$3=Inputs!$C$74,Inputs!$C$69,0),0)</f>
        <v>0</v>
      </c>
      <c r="CU69" s="153">
        <f>IF(CU$3&lt;=Inputs!$C$15*12,IF(CU$3=Inputs!$C$74,Inputs!$C$69,0),0)</f>
        <v>0</v>
      </c>
      <c r="CV69" s="153">
        <f>IF(CV$3&lt;=Inputs!$C$15*12,IF(CV$3=Inputs!$C$74,Inputs!$C$69,0),0)</f>
        <v>0</v>
      </c>
      <c r="CW69" s="153">
        <f>IF(CW$3&lt;=Inputs!$C$15*12,IF(CW$3=Inputs!$C$74,Inputs!$C$69,0),0)</f>
        <v>0</v>
      </c>
      <c r="CX69" s="153">
        <f>IF(CX$3&lt;=Inputs!$C$15*12,IF(CX$3=Inputs!$C$74,Inputs!$C$69,0),0)</f>
        <v>0</v>
      </c>
      <c r="CY69" s="153">
        <f>IF(CY$3&lt;=Inputs!$C$15*12,IF(CY$3=Inputs!$C$74,Inputs!$C$69,0),0)</f>
        <v>0</v>
      </c>
      <c r="CZ69" s="153">
        <f>IF(CZ$3&lt;=Inputs!$C$15*12,IF(CZ$3=Inputs!$C$74,Inputs!$C$69,0),0)</f>
        <v>0</v>
      </c>
      <c r="DA69" s="153">
        <f>IF(DA$3&lt;=Inputs!$C$15*12,IF(DA$3=Inputs!$C$74,Inputs!$C$69,0),0)</f>
        <v>0</v>
      </c>
      <c r="DB69" s="153">
        <f>IF(DB$3&lt;=Inputs!$C$15*12,IF(DB$3=Inputs!$C$74,Inputs!$C$69,0),0)</f>
        <v>0</v>
      </c>
      <c r="DC69" s="153">
        <f>IF(DC$3&lt;=Inputs!$C$15*12,IF(DC$3=Inputs!$C$74,Inputs!$C$69,0),0)</f>
        <v>0</v>
      </c>
      <c r="DD69" s="153">
        <f>IF(DD$3&lt;=Inputs!$C$15*12,IF(DD$3=Inputs!$C$74,Inputs!$C$69,0),0)</f>
        <v>0</v>
      </c>
      <c r="DE69" s="153">
        <f>IF(DE$3&lt;=Inputs!$C$15*12,IF(DE$3=Inputs!$C$74,Inputs!$C$69,0),0)</f>
        <v>0</v>
      </c>
      <c r="DF69" s="153">
        <f>IF(DF$3&lt;=Inputs!$C$15*12,IF(DF$3=Inputs!$C$74,Inputs!$C$69,0),0)</f>
        <v>0</v>
      </c>
      <c r="DG69" s="153">
        <f>IF(DG$3&lt;=Inputs!$C$15*12,IF(DG$3=Inputs!$C$74,Inputs!$C$69,0),0)</f>
        <v>0</v>
      </c>
      <c r="DH69" s="153">
        <f>IF(DH$3&lt;=Inputs!$C$15*12,IF(DH$3=Inputs!$C$74,Inputs!$C$69,0),0)</f>
        <v>0</v>
      </c>
      <c r="DI69" s="153">
        <f>IF(DI$3&lt;=Inputs!$C$15*12,IF(DI$3=Inputs!$C$74,Inputs!$C$69,0),0)</f>
        <v>0</v>
      </c>
      <c r="DJ69" s="153">
        <f>IF(DJ$3&lt;=Inputs!$C$15*12,IF(DJ$3=Inputs!$C$74,Inputs!$C$69,0),0)</f>
        <v>0</v>
      </c>
      <c r="DK69" s="153">
        <f>IF(DK$3&lt;=Inputs!$C$15*12,IF(DK$3=Inputs!$C$74,Inputs!$C$69,0),0)</f>
        <v>0</v>
      </c>
      <c r="DL69" s="153">
        <f>IF(DL$3&lt;=Inputs!$C$15*12,IF(DL$3=Inputs!$C$74,Inputs!$C$69,0),0)</f>
        <v>0</v>
      </c>
      <c r="DM69" s="153">
        <f>IF(DM$3&lt;=Inputs!$C$15*12,IF(DM$3=Inputs!$C$74,Inputs!$C$69,0),0)</f>
        <v>0</v>
      </c>
      <c r="DN69" s="153">
        <f>IF(DN$3&lt;=Inputs!$C$15*12,IF(DN$3=Inputs!$C$74,Inputs!$C$69,0),0)</f>
        <v>0</v>
      </c>
      <c r="DO69" s="153">
        <f>IF(DO$3&lt;=Inputs!$C$15*12,IF(DO$3=Inputs!$C$74,Inputs!$C$69,0),0)</f>
        <v>0</v>
      </c>
      <c r="DP69" s="153">
        <f>IF(DP$3&lt;=Inputs!$C$15*12,IF(DP$3=Inputs!$C$74,Inputs!$C$69,0),0)</f>
        <v>0</v>
      </c>
      <c r="DQ69" s="153">
        <f>IF(DQ$3&lt;=Inputs!$C$15*12,IF(DQ$3=Inputs!$C$74,Inputs!$C$69,0),0)</f>
        <v>0</v>
      </c>
      <c r="DR69" s="153">
        <f>IF(DR$3&lt;=Inputs!$C$15*12,IF(DR$3=Inputs!$C$74,Inputs!$C$69,0),0)</f>
        <v>0</v>
      </c>
      <c r="DS69" s="54"/>
    </row>
    <row r="70" ht="15.0" customHeight="1">
      <c r="A70" s="54"/>
      <c r="B70" s="56" t="s">
        <v>325</v>
      </c>
      <c r="C70" s="153">
        <f>IF(C$3&lt;=Inputs!$C$15*12,IF(OR(C68=0,C$3&lt;Inputs!$C$75),0,-C68*Inputs!$C$70/12),0)</f>
        <v>0</v>
      </c>
      <c r="D70" s="153">
        <f>IF(D$3&lt;=Inputs!$C$15*12,IF(OR(D68=0,D$3&lt;Inputs!$C$75),0,-D68*Inputs!$C$70/12),0)</f>
        <v>-3125</v>
      </c>
      <c r="E70" s="153">
        <f>IF(E$3&lt;=Inputs!$C$15*12,IF(OR(E68=0,E$3&lt;Inputs!$C$75),0,-E68*Inputs!$C$70/12),0)</f>
        <v>-3119.752395</v>
      </c>
      <c r="F70" s="153">
        <f>IF(F$3&lt;=Inputs!$C$15*12,IF(OR(F68=0,F$3&lt;Inputs!$C$75),0,-F68*Inputs!$C$70/12),0)</f>
        <v>-3114.482924</v>
      </c>
      <c r="G70" s="153">
        <f>IF(G$3&lt;=Inputs!$C$15*12,IF(OR(G68=0,G$3&lt;Inputs!$C$75),0,-G68*Inputs!$C$70/12),0)</f>
        <v>-3109.191497</v>
      </c>
      <c r="H70" s="153">
        <f>IF(H$3&lt;=Inputs!$C$15*12,IF(OR(H68=0,H$3&lt;Inputs!$C$75),0,-H68*Inputs!$C$70/12),0)</f>
        <v>-3103.878023</v>
      </c>
      <c r="I70" s="153">
        <f>IF(I$3&lt;=Inputs!$C$15*12,IF(OR(I68=0,I$3&lt;Inputs!$C$75),0,-I68*Inputs!$C$70/12),0)</f>
        <v>-3098.54241</v>
      </c>
      <c r="J70" s="153">
        <f>IF(J$3&lt;=Inputs!$C$15*12,IF(OR(J68=0,J$3&lt;Inputs!$C$75),0,-J68*Inputs!$C$70/12),0)</f>
        <v>-3093.184564</v>
      </c>
      <c r="K70" s="153">
        <f>IF(K$3&lt;=Inputs!$C$15*12,IF(OR(K68=0,K$3&lt;Inputs!$C$75),0,-K68*Inputs!$C$70/12),0)</f>
        <v>-3087.804394</v>
      </c>
      <c r="L70" s="153">
        <f>IF(L$3&lt;=Inputs!$C$15*12,IF(OR(L68=0,L$3&lt;Inputs!$C$75),0,-L68*Inputs!$C$70/12),0)</f>
        <v>-3082.401807</v>
      </c>
      <c r="M70" s="153">
        <f>IF(M$3&lt;=Inputs!$C$15*12,IF(OR(M68=0,M$3&lt;Inputs!$C$75),0,-M68*Inputs!$C$70/12),0)</f>
        <v>-3076.976709</v>
      </c>
      <c r="N70" s="153">
        <f>IF(N$3&lt;=Inputs!$C$15*12,IF(OR(N68=0,N$3&lt;Inputs!$C$75),0,-N68*Inputs!$C$70/12),0)</f>
        <v>-3071.529007</v>
      </c>
      <c r="O70" s="153">
        <f>IF(O$3&lt;=Inputs!$C$15*12,IF(OR(O68=0,O$3&lt;Inputs!$C$75),0,-O68*Inputs!$C$70/12),0)</f>
        <v>-3066.058605</v>
      </c>
      <c r="P70" s="153">
        <f>IF(P$3&lt;=Inputs!$C$15*12,IF(OR(P68=0,P$3&lt;Inputs!$C$75),0,-P68*Inputs!$C$70/12),0)</f>
        <v>-3060.565411</v>
      </c>
      <c r="Q70" s="153">
        <f>IF(Q$3&lt;=Inputs!$C$15*12,IF(OR(Q68=0,Q$3&lt;Inputs!$C$75),0,-Q68*Inputs!$C$70/12),0)</f>
        <v>-3055.049328</v>
      </c>
      <c r="R70" s="153">
        <f>IF(R$3&lt;=Inputs!$C$15*12,IF(OR(R68=0,R$3&lt;Inputs!$C$75),0,-R68*Inputs!$C$70/12),0)</f>
        <v>-3049.510261</v>
      </c>
      <c r="S70" s="153">
        <f>IF(S$3&lt;=Inputs!$C$15*12,IF(OR(S68=0,S$3&lt;Inputs!$C$75),0,-S68*Inputs!$C$70/12),0)</f>
        <v>-3043.948115</v>
      </c>
      <c r="T70" s="153">
        <f>IF(T$3&lt;=Inputs!$C$15*12,IF(OR(T68=0,T$3&lt;Inputs!$C$75),0,-T68*Inputs!$C$70/12),0)</f>
        <v>-3038.362794</v>
      </c>
      <c r="U70" s="153">
        <f>IF(U$3&lt;=Inputs!$C$15*12,IF(OR(U68=0,U$3&lt;Inputs!$C$75),0,-U68*Inputs!$C$70/12),0)</f>
        <v>-3032.7542</v>
      </c>
      <c r="V70" s="153">
        <f>IF(V$3&lt;=Inputs!$C$15*12,IF(OR(V68=0,V$3&lt;Inputs!$C$75),0,-V68*Inputs!$C$70/12),0)</f>
        <v>-3027.122237</v>
      </c>
      <c r="W70" s="153">
        <f>IF(W$3&lt;=Inputs!$C$15*12,IF(OR(W68=0,W$3&lt;Inputs!$C$75),0,-W68*Inputs!$C$70/12),0)</f>
        <v>-3021.466807</v>
      </c>
      <c r="X70" s="153">
        <f>IF(X$3&lt;=Inputs!$C$15*12,IF(OR(X68=0,X$3&lt;Inputs!$C$75),0,-X68*Inputs!$C$70/12),0)</f>
        <v>-3015.787814</v>
      </c>
      <c r="Y70" s="153">
        <f>IF(Y$3&lt;=Inputs!$C$15*12,IF(OR(Y68=0,Y$3&lt;Inputs!$C$75),0,-Y68*Inputs!$C$70/12),0)</f>
        <v>-3010.085157</v>
      </c>
      <c r="Z70" s="153">
        <f>IF(Z$3&lt;=Inputs!$C$15*12,IF(OR(Z68=0,Z$3&lt;Inputs!$C$75),0,-Z68*Inputs!$C$70/12),0)</f>
        <v>-3004.35874</v>
      </c>
      <c r="AA70" s="153">
        <f>IF(AA$3&lt;=Inputs!$C$15*12,IF(OR(AA68=0,AA$3&lt;Inputs!$C$75),0,-AA68*Inputs!$C$70/12),0)</f>
        <v>-2998.608463</v>
      </c>
      <c r="AB70" s="153">
        <f>IF(AB$3&lt;=Inputs!$C$15*12,IF(OR(AB68=0,AB$3&lt;Inputs!$C$75),0,-AB68*Inputs!$C$70/12),0)</f>
        <v>-2992.834226</v>
      </c>
      <c r="AC70" s="153">
        <f>IF(AC$3&lt;=Inputs!$C$15*12,IF(OR(AC68=0,AC$3&lt;Inputs!$C$75),0,-AC68*Inputs!$C$70/12),0)</f>
        <v>-2987.03593</v>
      </c>
      <c r="AD70" s="153">
        <f>IF(AD$3&lt;=Inputs!$C$15*12,IF(OR(AD68=0,AD$3&lt;Inputs!$C$75),0,-AD68*Inputs!$C$70/12),0)</f>
        <v>-2981.213474</v>
      </c>
      <c r="AE70" s="153">
        <f>IF(AE$3&lt;=Inputs!$C$15*12,IF(OR(AE68=0,AE$3&lt;Inputs!$C$75),0,-AE68*Inputs!$C$70/12),0)</f>
        <v>-2975.366758</v>
      </c>
      <c r="AF70" s="153">
        <f>IF(AF$3&lt;=Inputs!$C$15*12,IF(OR(AF68=0,AF$3&lt;Inputs!$C$75),0,-AF68*Inputs!$C$70/12),0)</f>
        <v>-2969.495681</v>
      </c>
      <c r="AG70" s="153">
        <f>IF(AG$3&lt;=Inputs!$C$15*12,IF(OR(AG68=0,AG$3&lt;Inputs!$C$75),0,-AG68*Inputs!$C$70/12),0)</f>
        <v>-2963.60014</v>
      </c>
      <c r="AH70" s="153">
        <f>IF(AH$3&lt;=Inputs!$C$15*12,IF(OR(AH68=0,AH$3&lt;Inputs!$C$75),0,-AH68*Inputs!$C$70/12),0)</f>
        <v>-2957.680036</v>
      </c>
      <c r="AI70" s="153">
        <f>IF(AI$3&lt;=Inputs!$C$15*12,IF(OR(AI68=0,AI$3&lt;Inputs!$C$75),0,-AI68*Inputs!$C$70/12),0)</f>
        <v>-2951.735264</v>
      </c>
      <c r="AJ70" s="153">
        <f>IF(AJ$3&lt;=Inputs!$C$15*12,IF(OR(AJ68=0,AJ$3&lt;Inputs!$C$75),0,-AJ68*Inputs!$C$70/12),0)</f>
        <v>-2945.765722</v>
      </c>
      <c r="AK70" s="153">
        <f>IF(AK$3&lt;=Inputs!$C$15*12,IF(OR(AK68=0,AK$3&lt;Inputs!$C$75),0,-AK68*Inputs!$C$70/12),0)</f>
        <v>-2939.771307</v>
      </c>
      <c r="AL70" s="153">
        <f>IF(AL$3&lt;=Inputs!$C$15*12,IF(OR(AL68=0,AL$3&lt;Inputs!$C$75),0,-AL68*Inputs!$C$70/12),0)</f>
        <v>-2933.751915</v>
      </c>
      <c r="AM70" s="153">
        <f>IF(AM$3&lt;=Inputs!$C$15*12,IF(OR(AM68=0,AM$3&lt;Inputs!$C$75),0,-AM68*Inputs!$C$70/12),0)</f>
        <v>-2927.707443</v>
      </c>
      <c r="AN70" s="153">
        <f>IF(AN$3&lt;=Inputs!$C$15*12,IF(OR(AN68=0,AN$3&lt;Inputs!$C$75),0,-AN68*Inputs!$C$70/12),0)</f>
        <v>-2921.637785</v>
      </c>
      <c r="AO70" s="153">
        <f>IF(AO$3&lt;=Inputs!$C$15*12,IF(OR(AO68=0,AO$3&lt;Inputs!$C$75),0,-AO68*Inputs!$C$70/12),0)</f>
        <v>-2915.542837</v>
      </c>
      <c r="AP70" s="153">
        <f>IF(AP$3&lt;=Inputs!$C$15*12,IF(OR(AP68=0,AP$3&lt;Inputs!$C$75),0,-AP68*Inputs!$C$70/12),0)</f>
        <v>-2909.422493</v>
      </c>
      <c r="AQ70" s="153">
        <f>IF(AQ$3&lt;=Inputs!$C$15*12,IF(OR(AQ68=0,AQ$3&lt;Inputs!$C$75),0,-AQ68*Inputs!$C$70/12),0)</f>
        <v>-2903.276648</v>
      </c>
      <c r="AR70" s="153">
        <f>IF(AR$3&lt;=Inputs!$C$15*12,IF(OR(AR68=0,AR$3&lt;Inputs!$C$75),0,-AR68*Inputs!$C$70/12),0)</f>
        <v>-2897.105195</v>
      </c>
      <c r="AS70" s="153">
        <f>IF(AS$3&lt;=Inputs!$C$15*12,IF(OR(AS68=0,AS$3&lt;Inputs!$C$75),0,-AS68*Inputs!$C$70/12),0)</f>
        <v>-2890.908028</v>
      </c>
      <c r="AT70" s="153">
        <f>IF(AT$3&lt;=Inputs!$C$15*12,IF(OR(AT68=0,AT$3&lt;Inputs!$C$75),0,-AT68*Inputs!$C$70/12),0)</f>
        <v>-2884.685039</v>
      </c>
      <c r="AU70" s="153">
        <f>IF(AU$3&lt;=Inputs!$C$15*12,IF(OR(AU68=0,AU$3&lt;Inputs!$C$75),0,-AU68*Inputs!$C$70/12),0)</f>
        <v>-2878.436122</v>
      </c>
      <c r="AV70" s="153">
        <f>IF(AV$3&lt;=Inputs!$C$15*12,IF(OR(AV68=0,AV$3&lt;Inputs!$C$75),0,-AV68*Inputs!$C$70/12),0)</f>
        <v>-2872.161167</v>
      </c>
      <c r="AW70" s="153">
        <f>IF(AW$3&lt;=Inputs!$C$15*12,IF(OR(AW68=0,AW$3&lt;Inputs!$C$75),0,-AW68*Inputs!$C$70/12),0)</f>
        <v>-2865.860066</v>
      </c>
      <c r="AX70" s="153">
        <f>IF(AX$3&lt;=Inputs!$C$15*12,IF(OR(AX68=0,AX$3&lt;Inputs!$C$75),0,-AX68*Inputs!$C$70/12),0)</f>
        <v>-2859.532711</v>
      </c>
      <c r="AY70" s="153">
        <f>IF(AY$3&lt;=Inputs!$C$15*12,IF(OR(AY68=0,AY$3&lt;Inputs!$C$75),0,-AY68*Inputs!$C$70/12),0)</f>
        <v>-2853.178992</v>
      </c>
      <c r="AZ70" s="153">
        <f>IF(AZ$3&lt;=Inputs!$C$15*12,IF(OR(AZ68=0,AZ$3&lt;Inputs!$C$75),0,-AZ68*Inputs!$C$70/12),0)</f>
        <v>-2846.798799</v>
      </c>
      <c r="BA70" s="153">
        <f>IF(BA$3&lt;=Inputs!$C$15*12,IF(OR(BA68=0,BA$3&lt;Inputs!$C$75),0,-BA68*Inputs!$C$70/12),0)</f>
        <v>-2840.392022</v>
      </c>
      <c r="BB70" s="153">
        <f>IF(BB$3&lt;=Inputs!$C$15*12,IF(OR(BB68=0,BB$3&lt;Inputs!$C$75),0,-BB68*Inputs!$C$70/12),0)</f>
        <v>-2833.95855</v>
      </c>
      <c r="BC70" s="153">
        <f>IF(BC$3&lt;=Inputs!$C$15*12,IF(OR(BC68=0,BC$3&lt;Inputs!$C$75),0,-BC68*Inputs!$C$70/12),0)</f>
        <v>-2827.498271</v>
      </c>
      <c r="BD70" s="153">
        <f>IF(BD$3&lt;=Inputs!$C$15*12,IF(OR(BD68=0,BD$3&lt;Inputs!$C$75),0,-BD68*Inputs!$C$70/12),0)</f>
        <v>-2821.011075</v>
      </c>
      <c r="BE70" s="153">
        <f>IF(BE$3&lt;=Inputs!$C$15*12,IF(OR(BE68=0,BE$3&lt;Inputs!$C$75),0,-BE68*Inputs!$C$70/12),0)</f>
        <v>-2814.496849</v>
      </c>
      <c r="BF70" s="153">
        <f>IF(BF$3&lt;=Inputs!$C$15*12,IF(OR(BF68=0,BF$3&lt;Inputs!$C$75),0,-BF68*Inputs!$C$70/12),0)</f>
        <v>-2807.955481</v>
      </c>
      <c r="BG70" s="153">
        <f>IF(BG$3&lt;=Inputs!$C$15*12,IF(OR(BG68=0,BG$3&lt;Inputs!$C$75),0,-BG68*Inputs!$C$70/12),0)</f>
        <v>-2801.386857</v>
      </c>
      <c r="BH70" s="153">
        <f>IF(BH$3&lt;=Inputs!$C$15*12,IF(OR(BH68=0,BH$3&lt;Inputs!$C$75),0,-BH68*Inputs!$C$70/12),0)</f>
        <v>-2794.790863</v>
      </c>
      <c r="BI70" s="153">
        <f>IF(BI$3&lt;=Inputs!$C$15*12,IF(OR(BI68=0,BI$3&lt;Inputs!$C$75),0,-BI68*Inputs!$C$70/12),0)</f>
        <v>-2788.167386</v>
      </c>
      <c r="BJ70" s="153">
        <f>IF(BJ$3&lt;=Inputs!$C$15*12,IF(OR(BJ68=0,BJ$3&lt;Inputs!$C$75),0,-BJ68*Inputs!$C$70/12),0)</f>
        <v>-2781.516311</v>
      </c>
      <c r="BK70" s="153">
        <f>IF(BK$3&lt;=Inputs!$C$15*12,IF(OR(BK68=0,BK$3&lt;Inputs!$C$75),0,-BK68*Inputs!$C$70/12),0)</f>
        <v>0</v>
      </c>
      <c r="BL70" s="153">
        <f>IF(BL$3&lt;=Inputs!$C$15*12,IF(OR(BL68=0,BL$3&lt;Inputs!$C$75),0,-BL68*Inputs!$C$70/12),0)</f>
        <v>0</v>
      </c>
      <c r="BM70" s="153">
        <f>IF(BM$3&lt;=Inputs!$C$15*12,IF(OR(BM68=0,BM$3&lt;Inputs!$C$75),0,-BM68*Inputs!$C$70/12),0)</f>
        <v>0</v>
      </c>
      <c r="BN70" s="153">
        <f>IF(BN$3&lt;=Inputs!$C$15*12,IF(OR(BN68=0,BN$3&lt;Inputs!$C$75),0,-BN68*Inputs!$C$70/12),0)</f>
        <v>0</v>
      </c>
      <c r="BO70" s="153">
        <f>IF(BO$3&lt;=Inputs!$C$15*12,IF(OR(BO68=0,BO$3&lt;Inputs!$C$75),0,-BO68*Inputs!$C$70/12),0)</f>
        <v>0</v>
      </c>
      <c r="BP70" s="153">
        <f>IF(BP$3&lt;=Inputs!$C$15*12,IF(OR(BP68=0,BP$3&lt;Inputs!$C$75),0,-BP68*Inputs!$C$70/12),0)</f>
        <v>0</v>
      </c>
      <c r="BQ70" s="153">
        <f>IF(BQ$3&lt;=Inputs!$C$15*12,IF(OR(BQ68=0,BQ$3&lt;Inputs!$C$75),0,-BQ68*Inputs!$C$70/12),0)</f>
        <v>0</v>
      </c>
      <c r="BR70" s="153">
        <f>IF(BR$3&lt;=Inputs!$C$15*12,IF(OR(BR68=0,BR$3&lt;Inputs!$C$75),0,-BR68*Inputs!$C$70/12),0)</f>
        <v>0</v>
      </c>
      <c r="BS70" s="153">
        <f>IF(BS$3&lt;=Inputs!$C$15*12,IF(OR(BS68=0,BS$3&lt;Inputs!$C$75),0,-BS68*Inputs!$C$70/12),0)</f>
        <v>0</v>
      </c>
      <c r="BT70" s="153">
        <f>IF(BT$3&lt;=Inputs!$C$15*12,IF(OR(BT68=0,BT$3&lt;Inputs!$C$75),0,-BT68*Inputs!$C$70/12),0)</f>
        <v>0</v>
      </c>
      <c r="BU70" s="153">
        <f>IF(BU$3&lt;=Inputs!$C$15*12,IF(OR(BU68=0,BU$3&lt;Inputs!$C$75),0,-BU68*Inputs!$C$70/12),0)</f>
        <v>0</v>
      </c>
      <c r="BV70" s="153">
        <f>IF(BV$3&lt;=Inputs!$C$15*12,IF(OR(BV68=0,BV$3&lt;Inputs!$C$75),0,-BV68*Inputs!$C$70/12),0)</f>
        <v>0</v>
      </c>
      <c r="BW70" s="153">
        <f>IF(BW$3&lt;=Inputs!$C$15*12,IF(OR(BW68=0,BW$3&lt;Inputs!$C$75),0,-BW68*Inputs!$C$70/12),0)</f>
        <v>0</v>
      </c>
      <c r="BX70" s="153">
        <f>IF(BX$3&lt;=Inputs!$C$15*12,IF(OR(BX68=0,BX$3&lt;Inputs!$C$75),0,-BX68*Inputs!$C$70/12),0)</f>
        <v>0</v>
      </c>
      <c r="BY70" s="153">
        <f>IF(BY$3&lt;=Inputs!$C$15*12,IF(OR(BY68=0,BY$3&lt;Inputs!$C$75),0,-BY68*Inputs!$C$70/12),0)</f>
        <v>0</v>
      </c>
      <c r="BZ70" s="153">
        <f>IF(BZ$3&lt;=Inputs!$C$15*12,IF(OR(BZ68=0,BZ$3&lt;Inputs!$C$75),0,-BZ68*Inputs!$C$70/12),0)</f>
        <v>0</v>
      </c>
      <c r="CA70" s="153">
        <f>IF(CA$3&lt;=Inputs!$C$15*12,IF(OR(CA68=0,CA$3&lt;Inputs!$C$75),0,-CA68*Inputs!$C$70/12),0)</f>
        <v>0</v>
      </c>
      <c r="CB70" s="153">
        <f>IF(CB$3&lt;=Inputs!$C$15*12,IF(OR(CB68=0,CB$3&lt;Inputs!$C$75),0,-CB68*Inputs!$C$70/12),0)</f>
        <v>0</v>
      </c>
      <c r="CC70" s="153">
        <f>IF(CC$3&lt;=Inputs!$C$15*12,IF(OR(CC68=0,CC$3&lt;Inputs!$C$75),0,-CC68*Inputs!$C$70/12),0)</f>
        <v>0</v>
      </c>
      <c r="CD70" s="153">
        <f>IF(CD$3&lt;=Inputs!$C$15*12,IF(OR(CD68=0,CD$3&lt;Inputs!$C$75),0,-CD68*Inputs!$C$70/12),0)</f>
        <v>0</v>
      </c>
      <c r="CE70" s="153">
        <f>IF(CE$3&lt;=Inputs!$C$15*12,IF(OR(CE68=0,CE$3&lt;Inputs!$C$75),0,-CE68*Inputs!$C$70/12),0)</f>
        <v>0</v>
      </c>
      <c r="CF70" s="153">
        <f>IF(CF$3&lt;=Inputs!$C$15*12,IF(OR(CF68=0,CF$3&lt;Inputs!$C$75),0,-CF68*Inputs!$C$70/12),0)</f>
        <v>0</v>
      </c>
      <c r="CG70" s="153">
        <f>IF(CG$3&lt;=Inputs!$C$15*12,IF(OR(CG68=0,CG$3&lt;Inputs!$C$75),0,-CG68*Inputs!$C$70/12),0)</f>
        <v>0</v>
      </c>
      <c r="CH70" s="153">
        <f>IF(CH$3&lt;=Inputs!$C$15*12,IF(OR(CH68=0,CH$3&lt;Inputs!$C$75),0,-CH68*Inputs!$C$70/12),0)</f>
        <v>0</v>
      </c>
      <c r="CI70" s="153">
        <f>IF(CI$3&lt;=Inputs!$C$15*12,IF(OR(CI68=0,CI$3&lt;Inputs!$C$75),0,-CI68*Inputs!$C$70/12),0)</f>
        <v>0</v>
      </c>
      <c r="CJ70" s="153">
        <f>IF(CJ$3&lt;=Inputs!$C$15*12,IF(OR(CJ68=0,CJ$3&lt;Inputs!$C$75),0,-CJ68*Inputs!$C$70/12),0)</f>
        <v>0</v>
      </c>
      <c r="CK70" s="153">
        <f>IF(CK$3&lt;=Inputs!$C$15*12,IF(OR(CK68=0,CK$3&lt;Inputs!$C$75),0,-CK68*Inputs!$C$70/12),0)</f>
        <v>0</v>
      </c>
      <c r="CL70" s="153">
        <f>IF(CL$3&lt;=Inputs!$C$15*12,IF(OR(CL68=0,CL$3&lt;Inputs!$C$75),0,-CL68*Inputs!$C$70/12),0)</f>
        <v>0</v>
      </c>
      <c r="CM70" s="153">
        <f>IF(CM$3&lt;=Inputs!$C$15*12,IF(OR(CM68=0,CM$3&lt;Inputs!$C$75),0,-CM68*Inputs!$C$70/12),0)</f>
        <v>0</v>
      </c>
      <c r="CN70" s="153">
        <f>IF(CN$3&lt;=Inputs!$C$15*12,IF(OR(CN68=0,CN$3&lt;Inputs!$C$75),0,-CN68*Inputs!$C$70/12),0)</f>
        <v>0</v>
      </c>
      <c r="CO70" s="153">
        <f>IF(CO$3&lt;=Inputs!$C$15*12,IF(OR(CO68=0,CO$3&lt;Inputs!$C$75),0,-CO68*Inputs!$C$70/12),0)</f>
        <v>0</v>
      </c>
      <c r="CP70" s="153">
        <f>IF(CP$3&lt;=Inputs!$C$15*12,IF(OR(CP68=0,CP$3&lt;Inputs!$C$75),0,-CP68*Inputs!$C$70/12),0)</f>
        <v>0</v>
      </c>
      <c r="CQ70" s="153">
        <f>IF(CQ$3&lt;=Inputs!$C$15*12,IF(OR(CQ68=0,CQ$3&lt;Inputs!$C$75),0,-CQ68*Inputs!$C$70/12),0)</f>
        <v>0</v>
      </c>
      <c r="CR70" s="153">
        <f>IF(CR$3&lt;=Inputs!$C$15*12,IF(OR(CR68=0,CR$3&lt;Inputs!$C$75),0,-CR68*Inputs!$C$70/12),0)</f>
        <v>0</v>
      </c>
      <c r="CS70" s="153">
        <f>IF(CS$3&lt;=Inputs!$C$15*12,IF(OR(CS68=0,CS$3&lt;Inputs!$C$75),0,-CS68*Inputs!$C$70/12),0)</f>
        <v>0</v>
      </c>
      <c r="CT70" s="153">
        <f>IF(CT$3&lt;=Inputs!$C$15*12,IF(OR(CT68=0,CT$3&lt;Inputs!$C$75),0,-CT68*Inputs!$C$70/12),0)</f>
        <v>0</v>
      </c>
      <c r="CU70" s="153">
        <f>IF(CU$3&lt;=Inputs!$C$15*12,IF(OR(CU68=0,CU$3&lt;Inputs!$C$75),0,-CU68*Inputs!$C$70/12),0)</f>
        <v>0</v>
      </c>
      <c r="CV70" s="153">
        <f>IF(CV$3&lt;=Inputs!$C$15*12,IF(OR(CV68=0,CV$3&lt;Inputs!$C$75),0,-CV68*Inputs!$C$70/12),0)</f>
        <v>0</v>
      </c>
      <c r="CW70" s="153">
        <f>IF(CW$3&lt;=Inputs!$C$15*12,IF(OR(CW68=0,CW$3&lt;Inputs!$C$75),0,-CW68*Inputs!$C$70/12),0)</f>
        <v>0</v>
      </c>
      <c r="CX70" s="153">
        <f>IF(CX$3&lt;=Inputs!$C$15*12,IF(OR(CX68=0,CX$3&lt;Inputs!$C$75),0,-CX68*Inputs!$C$70/12),0)</f>
        <v>0</v>
      </c>
      <c r="CY70" s="153">
        <f>IF(CY$3&lt;=Inputs!$C$15*12,IF(OR(CY68=0,CY$3&lt;Inputs!$C$75),0,-CY68*Inputs!$C$70/12),0)</f>
        <v>0</v>
      </c>
      <c r="CZ70" s="153">
        <f>IF(CZ$3&lt;=Inputs!$C$15*12,IF(OR(CZ68=0,CZ$3&lt;Inputs!$C$75),0,-CZ68*Inputs!$C$70/12),0)</f>
        <v>0</v>
      </c>
      <c r="DA70" s="153">
        <f>IF(DA$3&lt;=Inputs!$C$15*12,IF(OR(DA68=0,DA$3&lt;Inputs!$C$75),0,-DA68*Inputs!$C$70/12),0)</f>
        <v>0</v>
      </c>
      <c r="DB70" s="153">
        <f>IF(DB$3&lt;=Inputs!$C$15*12,IF(OR(DB68=0,DB$3&lt;Inputs!$C$75),0,-DB68*Inputs!$C$70/12),0)</f>
        <v>0</v>
      </c>
      <c r="DC70" s="153">
        <f>IF(DC$3&lt;=Inputs!$C$15*12,IF(OR(DC68=0,DC$3&lt;Inputs!$C$75),0,-DC68*Inputs!$C$70/12),0)</f>
        <v>0</v>
      </c>
      <c r="DD70" s="153">
        <f>IF(DD$3&lt;=Inputs!$C$15*12,IF(OR(DD68=0,DD$3&lt;Inputs!$C$75),0,-DD68*Inputs!$C$70/12),0)</f>
        <v>0</v>
      </c>
      <c r="DE70" s="153">
        <f>IF(DE$3&lt;=Inputs!$C$15*12,IF(OR(DE68=0,DE$3&lt;Inputs!$C$75),0,-DE68*Inputs!$C$70/12),0)</f>
        <v>0</v>
      </c>
      <c r="DF70" s="153">
        <f>IF(DF$3&lt;=Inputs!$C$15*12,IF(OR(DF68=0,DF$3&lt;Inputs!$C$75),0,-DF68*Inputs!$C$70/12),0)</f>
        <v>0</v>
      </c>
      <c r="DG70" s="153">
        <f>IF(DG$3&lt;=Inputs!$C$15*12,IF(OR(DG68=0,DG$3&lt;Inputs!$C$75),0,-DG68*Inputs!$C$70/12),0)</f>
        <v>0</v>
      </c>
      <c r="DH70" s="153">
        <f>IF(DH$3&lt;=Inputs!$C$15*12,IF(OR(DH68=0,DH$3&lt;Inputs!$C$75),0,-DH68*Inputs!$C$70/12),0)</f>
        <v>0</v>
      </c>
      <c r="DI70" s="153">
        <f>IF(DI$3&lt;=Inputs!$C$15*12,IF(OR(DI68=0,DI$3&lt;Inputs!$C$75),0,-DI68*Inputs!$C$70/12),0)</f>
        <v>0</v>
      </c>
      <c r="DJ70" s="153">
        <f>IF(DJ$3&lt;=Inputs!$C$15*12,IF(OR(DJ68=0,DJ$3&lt;Inputs!$C$75),0,-DJ68*Inputs!$C$70/12),0)</f>
        <v>0</v>
      </c>
      <c r="DK70" s="153">
        <f>IF(DK$3&lt;=Inputs!$C$15*12,IF(OR(DK68=0,DK$3&lt;Inputs!$C$75),0,-DK68*Inputs!$C$70/12),0)</f>
        <v>0</v>
      </c>
      <c r="DL70" s="153">
        <f>IF(DL$3&lt;=Inputs!$C$15*12,IF(OR(DL68=0,DL$3&lt;Inputs!$C$75),0,-DL68*Inputs!$C$70/12),0)</f>
        <v>0</v>
      </c>
      <c r="DM70" s="153">
        <f>IF(DM$3&lt;=Inputs!$C$15*12,IF(OR(DM68=0,DM$3&lt;Inputs!$C$75),0,-DM68*Inputs!$C$70/12),0)</f>
        <v>0</v>
      </c>
      <c r="DN70" s="153">
        <f>IF(DN$3&lt;=Inputs!$C$15*12,IF(OR(DN68=0,DN$3&lt;Inputs!$C$75),0,-DN68*Inputs!$C$70/12),0)</f>
        <v>0</v>
      </c>
      <c r="DO70" s="153">
        <f>IF(DO$3&lt;=Inputs!$C$15*12,IF(OR(DO68=0,DO$3&lt;Inputs!$C$75),0,-DO68*Inputs!$C$70/12),0)</f>
        <v>0</v>
      </c>
      <c r="DP70" s="153">
        <f>IF(DP$3&lt;=Inputs!$C$15*12,IF(OR(DP68=0,DP$3&lt;Inputs!$C$75),0,-DP68*Inputs!$C$70/12),0)</f>
        <v>0</v>
      </c>
      <c r="DQ70" s="153">
        <f>IF(DQ$3&lt;=Inputs!$C$15*12,IF(OR(DQ68=0,DQ$3&lt;Inputs!$C$75),0,-DQ68*Inputs!$C$70/12),0)</f>
        <v>0</v>
      </c>
      <c r="DR70" s="153">
        <f>IF(DR$3&lt;=Inputs!$C$15*12,IF(OR(DR68=0,DR$3&lt;Inputs!$C$75),0,-DR68*Inputs!$C$70/12),0)</f>
        <v>0</v>
      </c>
      <c r="DS70" s="54"/>
    </row>
    <row r="71" ht="15.0" customHeight="1">
      <c r="A71" s="54"/>
      <c r="B71" s="56" t="s">
        <v>326</v>
      </c>
      <c r="C71" s="153">
        <f>IF(C$3&lt;=Inputs!$C$15*12,IF(OR(C68=0,C$3&lt;Inputs!$C$75),0,IF(C$3-Inputs!$C$75+1&lt;=Inputs!$C$73,0,MIN(PMT(Inputs!$C$70/12,Inputs!$C$71*12,-Inputs!$C$69)-C68*Inputs!$C$70/12,C68))),0)</f>
        <v>0</v>
      </c>
      <c r="D71" s="153">
        <f>IF(D$3&lt;=Inputs!$C$15*12,IF(OR(D68=0,D$3&lt;Inputs!$C$75),0,IF(D$3-Inputs!$C$75+1&lt;=Inputs!$C$73,0,MIN(PMT(Inputs!$C$70/12,Inputs!$C$71*12,-Inputs!$C$69)-D68*Inputs!$C$70/12,D68))),0)</f>
        <v>1259.425311</v>
      </c>
      <c r="E71" s="153">
        <f>IF(E$3&lt;=Inputs!$C$15*12,IF(OR(E68=0,E$3&lt;Inputs!$C$75),0,IF(E$3-Inputs!$C$75+1&lt;=Inputs!$C$73,0,MIN(PMT(Inputs!$C$70/12,Inputs!$C$71*12,-Inputs!$C$69)-E68*Inputs!$C$70/12,E68))),0)</f>
        <v>1264.672917</v>
      </c>
      <c r="F71" s="153">
        <f>IF(F$3&lt;=Inputs!$C$15*12,IF(OR(F68=0,F$3&lt;Inputs!$C$75),0,IF(F$3-Inputs!$C$75+1&lt;=Inputs!$C$73,0,MIN(PMT(Inputs!$C$70/12,Inputs!$C$71*12,-Inputs!$C$69)-F68*Inputs!$C$70/12,F68))),0)</f>
        <v>1269.942387</v>
      </c>
      <c r="G71" s="153">
        <f>IF(G$3&lt;=Inputs!$C$15*12,IF(OR(G68=0,G$3&lt;Inputs!$C$75),0,IF(G$3-Inputs!$C$75+1&lt;=Inputs!$C$73,0,MIN(PMT(Inputs!$C$70/12,Inputs!$C$71*12,-Inputs!$C$69)-G68*Inputs!$C$70/12,G68))),0)</f>
        <v>1275.233814</v>
      </c>
      <c r="H71" s="153">
        <f>IF(H$3&lt;=Inputs!$C$15*12,IF(OR(H68=0,H$3&lt;Inputs!$C$75),0,IF(H$3-Inputs!$C$75+1&lt;=Inputs!$C$73,0,MIN(PMT(Inputs!$C$70/12,Inputs!$C$71*12,-Inputs!$C$69)-H68*Inputs!$C$70/12,H68))),0)</f>
        <v>1280.547288</v>
      </c>
      <c r="I71" s="153">
        <f>IF(I$3&lt;=Inputs!$C$15*12,IF(OR(I68=0,I$3&lt;Inputs!$C$75),0,IF(I$3-Inputs!$C$75+1&lt;=Inputs!$C$73,0,MIN(PMT(Inputs!$C$70/12,Inputs!$C$71*12,-Inputs!$C$69)-I68*Inputs!$C$70/12,I68))),0)</f>
        <v>1285.882902</v>
      </c>
      <c r="J71" s="153">
        <f>IF(J$3&lt;=Inputs!$C$15*12,IF(OR(J68=0,J$3&lt;Inputs!$C$75),0,IF(J$3-Inputs!$C$75+1&lt;=Inputs!$C$73,0,MIN(PMT(Inputs!$C$70/12,Inputs!$C$71*12,-Inputs!$C$69)-J68*Inputs!$C$70/12,J68))),0)</f>
        <v>1291.240747</v>
      </c>
      <c r="K71" s="153">
        <f>IF(K$3&lt;=Inputs!$C$15*12,IF(OR(K68=0,K$3&lt;Inputs!$C$75),0,IF(K$3-Inputs!$C$75+1&lt;=Inputs!$C$73,0,MIN(PMT(Inputs!$C$70/12,Inputs!$C$71*12,-Inputs!$C$69)-K68*Inputs!$C$70/12,K68))),0)</f>
        <v>1296.620917</v>
      </c>
      <c r="L71" s="153">
        <f>IF(L$3&lt;=Inputs!$C$15*12,IF(OR(L68=0,L$3&lt;Inputs!$C$75),0,IF(L$3-Inputs!$C$75+1&lt;=Inputs!$C$73,0,MIN(PMT(Inputs!$C$70/12,Inputs!$C$71*12,-Inputs!$C$69)-L68*Inputs!$C$70/12,L68))),0)</f>
        <v>1302.023504</v>
      </c>
      <c r="M71" s="153">
        <f>IF(M$3&lt;=Inputs!$C$15*12,IF(OR(M68=0,M$3&lt;Inputs!$C$75),0,IF(M$3-Inputs!$C$75+1&lt;=Inputs!$C$73,0,MIN(PMT(Inputs!$C$70/12,Inputs!$C$71*12,-Inputs!$C$69)-M68*Inputs!$C$70/12,M68))),0)</f>
        <v>1307.448602</v>
      </c>
      <c r="N71" s="153">
        <f>IF(N$3&lt;=Inputs!$C$15*12,IF(OR(N68=0,N$3&lt;Inputs!$C$75),0,IF(N$3-Inputs!$C$75+1&lt;=Inputs!$C$73,0,MIN(PMT(Inputs!$C$70/12,Inputs!$C$71*12,-Inputs!$C$69)-N68*Inputs!$C$70/12,N68))),0)</f>
        <v>1312.896305</v>
      </c>
      <c r="O71" s="153">
        <f>IF(O$3&lt;=Inputs!$C$15*12,IF(OR(O68=0,O$3&lt;Inputs!$C$75),0,IF(O$3-Inputs!$C$75+1&lt;=Inputs!$C$73,0,MIN(PMT(Inputs!$C$70/12,Inputs!$C$71*12,-Inputs!$C$69)-O68*Inputs!$C$70/12,O68))),0)</f>
        <v>1318.366706</v>
      </c>
      <c r="P71" s="153">
        <f>IF(P$3&lt;=Inputs!$C$15*12,IF(OR(P68=0,P$3&lt;Inputs!$C$75),0,IF(P$3-Inputs!$C$75+1&lt;=Inputs!$C$73,0,MIN(PMT(Inputs!$C$70/12,Inputs!$C$71*12,-Inputs!$C$69)-P68*Inputs!$C$70/12,P68))),0)</f>
        <v>1323.8599</v>
      </c>
      <c r="Q71" s="153">
        <f>IF(Q$3&lt;=Inputs!$C$15*12,IF(OR(Q68=0,Q$3&lt;Inputs!$C$75),0,IF(Q$3-Inputs!$C$75+1&lt;=Inputs!$C$73,0,MIN(PMT(Inputs!$C$70/12,Inputs!$C$71*12,-Inputs!$C$69)-Q68*Inputs!$C$70/12,Q68))),0)</f>
        <v>1329.375983</v>
      </c>
      <c r="R71" s="153">
        <f>IF(R$3&lt;=Inputs!$C$15*12,IF(OR(R68=0,R$3&lt;Inputs!$C$75),0,IF(R$3-Inputs!$C$75+1&lt;=Inputs!$C$73,0,MIN(PMT(Inputs!$C$70/12,Inputs!$C$71*12,-Inputs!$C$69)-R68*Inputs!$C$70/12,R68))),0)</f>
        <v>1334.91505</v>
      </c>
      <c r="S71" s="153">
        <f>IF(S$3&lt;=Inputs!$C$15*12,IF(OR(S68=0,S$3&lt;Inputs!$C$75),0,IF(S$3-Inputs!$C$75+1&lt;=Inputs!$C$73,0,MIN(PMT(Inputs!$C$70/12,Inputs!$C$71*12,-Inputs!$C$69)-S68*Inputs!$C$70/12,S68))),0)</f>
        <v>1340.477196</v>
      </c>
      <c r="T71" s="153">
        <f>IF(T$3&lt;=Inputs!$C$15*12,IF(OR(T68=0,T$3&lt;Inputs!$C$75),0,IF(T$3-Inputs!$C$75+1&lt;=Inputs!$C$73,0,MIN(PMT(Inputs!$C$70/12,Inputs!$C$71*12,-Inputs!$C$69)-T68*Inputs!$C$70/12,T68))),0)</f>
        <v>1346.062518</v>
      </c>
      <c r="U71" s="153">
        <f>IF(U$3&lt;=Inputs!$C$15*12,IF(OR(U68=0,U$3&lt;Inputs!$C$75),0,IF(U$3-Inputs!$C$75+1&lt;=Inputs!$C$73,0,MIN(PMT(Inputs!$C$70/12,Inputs!$C$71*12,-Inputs!$C$69)-U68*Inputs!$C$70/12,U68))),0)</f>
        <v>1351.671112</v>
      </c>
      <c r="V71" s="153">
        <f>IF(V$3&lt;=Inputs!$C$15*12,IF(OR(V68=0,V$3&lt;Inputs!$C$75),0,IF(V$3-Inputs!$C$75+1&lt;=Inputs!$C$73,0,MIN(PMT(Inputs!$C$70/12,Inputs!$C$71*12,-Inputs!$C$69)-V68*Inputs!$C$70/12,V68))),0)</f>
        <v>1357.303074</v>
      </c>
      <c r="W71" s="153">
        <f>IF(W$3&lt;=Inputs!$C$15*12,IF(OR(W68=0,W$3&lt;Inputs!$C$75),0,IF(W$3-Inputs!$C$75+1&lt;=Inputs!$C$73,0,MIN(PMT(Inputs!$C$70/12,Inputs!$C$71*12,-Inputs!$C$69)-W68*Inputs!$C$70/12,W68))),0)</f>
        <v>1362.958504</v>
      </c>
      <c r="X71" s="153">
        <f>IF(X$3&lt;=Inputs!$C$15*12,IF(OR(X68=0,X$3&lt;Inputs!$C$75),0,IF(X$3-Inputs!$C$75+1&lt;=Inputs!$C$73,0,MIN(PMT(Inputs!$C$70/12,Inputs!$C$71*12,-Inputs!$C$69)-X68*Inputs!$C$70/12,X68))),0)</f>
        <v>1368.637498</v>
      </c>
      <c r="Y71" s="153">
        <f>IF(Y$3&lt;=Inputs!$C$15*12,IF(OR(Y68=0,Y$3&lt;Inputs!$C$75),0,IF(Y$3-Inputs!$C$75+1&lt;=Inputs!$C$73,0,MIN(PMT(Inputs!$C$70/12,Inputs!$C$71*12,-Inputs!$C$69)-Y68*Inputs!$C$70/12,Y68))),0)</f>
        <v>1374.340154</v>
      </c>
      <c r="Z71" s="153">
        <f>IF(Z$3&lt;=Inputs!$C$15*12,IF(OR(Z68=0,Z$3&lt;Inputs!$C$75),0,IF(Z$3-Inputs!$C$75+1&lt;=Inputs!$C$73,0,MIN(PMT(Inputs!$C$70/12,Inputs!$C$71*12,-Inputs!$C$69)-Z68*Inputs!$C$70/12,Z68))),0)</f>
        <v>1380.066571</v>
      </c>
      <c r="AA71" s="153">
        <f>IF(AA$3&lt;=Inputs!$C$15*12,IF(OR(AA68=0,AA$3&lt;Inputs!$C$75),0,IF(AA$3-Inputs!$C$75+1&lt;=Inputs!$C$73,0,MIN(PMT(Inputs!$C$70/12,Inputs!$C$71*12,-Inputs!$C$69)-AA68*Inputs!$C$70/12,AA68))),0)</f>
        <v>1385.816849</v>
      </c>
      <c r="AB71" s="153">
        <f>IF(AB$3&lt;=Inputs!$C$15*12,IF(OR(AB68=0,AB$3&lt;Inputs!$C$75),0,IF(AB$3-Inputs!$C$75+1&lt;=Inputs!$C$73,0,MIN(PMT(Inputs!$C$70/12,Inputs!$C$71*12,-Inputs!$C$69)-AB68*Inputs!$C$70/12,AB68))),0)</f>
        <v>1391.591086</v>
      </c>
      <c r="AC71" s="153">
        <f>IF(AC$3&lt;=Inputs!$C$15*12,IF(OR(AC68=0,AC$3&lt;Inputs!$C$75),0,IF(AC$3-Inputs!$C$75+1&lt;=Inputs!$C$73,0,MIN(PMT(Inputs!$C$70/12,Inputs!$C$71*12,-Inputs!$C$69)-AC68*Inputs!$C$70/12,AC68))),0)</f>
        <v>1397.389382</v>
      </c>
      <c r="AD71" s="153">
        <f>IF(AD$3&lt;=Inputs!$C$15*12,IF(OR(AD68=0,AD$3&lt;Inputs!$C$75),0,IF(AD$3-Inputs!$C$75+1&lt;=Inputs!$C$73,0,MIN(PMT(Inputs!$C$70/12,Inputs!$C$71*12,-Inputs!$C$69)-AD68*Inputs!$C$70/12,AD68))),0)</f>
        <v>1403.211837</v>
      </c>
      <c r="AE71" s="153">
        <f>IF(AE$3&lt;=Inputs!$C$15*12,IF(OR(AE68=0,AE$3&lt;Inputs!$C$75),0,IF(AE$3-Inputs!$C$75+1&lt;=Inputs!$C$73,0,MIN(PMT(Inputs!$C$70/12,Inputs!$C$71*12,-Inputs!$C$69)-AE68*Inputs!$C$70/12,AE68))),0)</f>
        <v>1409.058553</v>
      </c>
      <c r="AF71" s="153">
        <f>IF(AF$3&lt;=Inputs!$C$15*12,IF(OR(AF68=0,AF$3&lt;Inputs!$C$75),0,IF(AF$3-Inputs!$C$75+1&lt;=Inputs!$C$73,0,MIN(PMT(Inputs!$C$70/12,Inputs!$C$71*12,-Inputs!$C$69)-AF68*Inputs!$C$70/12,AF68))),0)</f>
        <v>1414.929631</v>
      </c>
      <c r="AG71" s="153">
        <f>IF(AG$3&lt;=Inputs!$C$15*12,IF(OR(AG68=0,AG$3&lt;Inputs!$C$75),0,IF(AG$3-Inputs!$C$75+1&lt;=Inputs!$C$73,0,MIN(PMT(Inputs!$C$70/12,Inputs!$C$71*12,-Inputs!$C$69)-AG68*Inputs!$C$70/12,AG68))),0)</f>
        <v>1420.825171</v>
      </c>
      <c r="AH71" s="153">
        <f>IF(AH$3&lt;=Inputs!$C$15*12,IF(OR(AH68=0,AH$3&lt;Inputs!$C$75),0,IF(AH$3-Inputs!$C$75+1&lt;=Inputs!$C$73,0,MIN(PMT(Inputs!$C$70/12,Inputs!$C$71*12,-Inputs!$C$69)-AH68*Inputs!$C$70/12,AH68))),0)</f>
        <v>1426.745276</v>
      </c>
      <c r="AI71" s="153">
        <f>IF(AI$3&lt;=Inputs!$C$15*12,IF(OR(AI68=0,AI$3&lt;Inputs!$C$75),0,IF(AI$3-Inputs!$C$75+1&lt;=Inputs!$C$73,0,MIN(PMT(Inputs!$C$70/12,Inputs!$C$71*12,-Inputs!$C$69)-AI68*Inputs!$C$70/12,AI68))),0)</f>
        <v>1432.690048</v>
      </c>
      <c r="AJ71" s="153">
        <f>IF(AJ$3&lt;=Inputs!$C$15*12,IF(OR(AJ68=0,AJ$3&lt;Inputs!$C$75),0,IF(AJ$3-Inputs!$C$75+1&lt;=Inputs!$C$73,0,MIN(PMT(Inputs!$C$70/12,Inputs!$C$71*12,-Inputs!$C$69)-AJ68*Inputs!$C$70/12,AJ68))),0)</f>
        <v>1438.65959</v>
      </c>
      <c r="AK71" s="153">
        <f>IF(AK$3&lt;=Inputs!$C$15*12,IF(OR(AK68=0,AK$3&lt;Inputs!$C$75),0,IF(AK$3-Inputs!$C$75+1&lt;=Inputs!$C$73,0,MIN(PMT(Inputs!$C$70/12,Inputs!$C$71*12,-Inputs!$C$69)-AK68*Inputs!$C$70/12,AK68))),0)</f>
        <v>1444.654005</v>
      </c>
      <c r="AL71" s="153">
        <f>IF(AL$3&lt;=Inputs!$C$15*12,IF(OR(AL68=0,AL$3&lt;Inputs!$C$75),0,IF(AL$3-Inputs!$C$75+1&lt;=Inputs!$C$73,0,MIN(PMT(Inputs!$C$70/12,Inputs!$C$71*12,-Inputs!$C$69)-AL68*Inputs!$C$70/12,AL68))),0)</f>
        <v>1450.673396</v>
      </c>
      <c r="AM71" s="153">
        <f>IF(AM$3&lt;=Inputs!$C$15*12,IF(OR(AM68=0,AM$3&lt;Inputs!$C$75),0,IF(AM$3-Inputs!$C$75+1&lt;=Inputs!$C$73,0,MIN(PMT(Inputs!$C$70/12,Inputs!$C$71*12,-Inputs!$C$69)-AM68*Inputs!$C$70/12,AM68))),0)</f>
        <v>1456.717869</v>
      </c>
      <c r="AN71" s="153">
        <f>IF(AN$3&lt;=Inputs!$C$15*12,IF(OR(AN68=0,AN$3&lt;Inputs!$C$75),0,IF(AN$3-Inputs!$C$75+1&lt;=Inputs!$C$73,0,MIN(PMT(Inputs!$C$70/12,Inputs!$C$71*12,-Inputs!$C$69)-AN68*Inputs!$C$70/12,AN68))),0)</f>
        <v>1462.787527</v>
      </c>
      <c r="AO71" s="153">
        <f>IF(AO$3&lt;=Inputs!$C$15*12,IF(OR(AO68=0,AO$3&lt;Inputs!$C$75),0,IF(AO$3-Inputs!$C$75+1&lt;=Inputs!$C$73,0,MIN(PMT(Inputs!$C$70/12,Inputs!$C$71*12,-Inputs!$C$69)-AO68*Inputs!$C$70/12,AO68))),0)</f>
        <v>1468.882475</v>
      </c>
      <c r="AP71" s="153">
        <f>IF(AP$3&lt;=Inputs!$C$15*12,IF(OR(AP68=0,AP$3&lt;Inputs!$C$75),0,IF(AP$3-Inputs!$C$75+1&lt;=Inputs!$C$73,0,MIN(PMT(Inputs!$C$70/12,Inputs!$C$71*12,-Inputs!$C$69)-AP68*Inputs!$C$70/12,AP68))),0)</f>
        <v>1475.002818</v>
      </c>
      <c r="AQ71" s="153">
        <f>IF(AQ$3&lt;=Inputs!$C$15*12,IF(OR(AQ68=0,AQ$3&lt;Inputs!$C$75),0,IF(AQ$3-Inputs!$C$75+1&lt;=Inputs!$C$73,0,MIN(PMT(Inputs!$C$70/12,Inputs!$C$71*12,-Inputs!$C$69)-AQ68*Inputs!$C$70/12,AQ68))),0)</f>
        <v>1481.148663</v>
      </c>
      <c r="AR71" s="153">
        <f>IF(AR$3&lt;=Inputs!$C$15*12,IF(OR(AR68=0,AR$3&lt;Inputs!$C$75),0,IF(AR$3-Inputs!$C$75+1&lt;=Inputs!$C$73,0,MIN(PMT(Inputs!$C$70/12,Inputs!$C$71*12,-Inputs!$C$69)-AR68*Inputs!$C$70/12,AR68))),0)</f>
        <v>1487.320116</v>
      </c>
      <c r="AS71" s="153">
        <f>IF(AS$3&lt;=Inputs!$C$15*12,IF(OR(AS68=0,AS$3&lt;Inputs!$C$75),0,IF(AS$3-Inputs!$C$75+1&lt;=Inputs!$C$73,0,MIN(PMT(Inputs!$C$70/12,Inputs!$C$71*12,-Inputs!$C$69)-AS68*Inputs!$C$70/12,AS68))),0)</f>
        <v>1493.517283</v>
      </c>
      <c r="AT71" s="153">
        <f>IF(AT$3&lt;=Inputs!$C$15*12,IF(OR(AT68=0,AT$3&lt;Inputs!$C$75),0,IF(AT$3-Inputs!$C$75+1&lt;=Inputs!$C$73,0,MIN(PMT(Inputs!$C$70/12,Inputs!$C$71*12,-Inputs!$C$69)-AT68*Inputs!$C$70/12,AT68))),0)</f>
        <v>1499.740272</v>
      </c>
      <c r="AU71" s="153">
        <f>IF(AU$3&lt;=Inputs!$C$15*12,IF(OR(AU68=0,AU$3&lt;Inputs!$C$75),0,IF(AU$3-Inputs!$C$75+1&lt;=Inputs!$C$73,0,MIN(PMT(Inputs!$C$70/12,Inputs!$C$71*12,-Inputs!$C$69)-AU68*Inputs!$C$70/12,AU68))),0)</f>
        <v>1505.98919</v>
      </c>
      <c r="AV71" s="153">
        <f>IF(AV$3&lt;=Inputs!$C$15*12,IF(OR(AV68=0,AV$3&lt;Inputs!$C$75),0,IF(AV$3-Inputs!$C$75+1&lt;=Inputs!$C$73,0,MIN(PMT(Inputs!$C$70/12,Inputs!$C$71*12,-Inputs!$C$69)-AV68*Inputs!$C$70/12,AV68))),0)</f>
        <v>1512.264145</v>
      </c>
      <c r="AW71" s="153">
        <f>IF(AW$3&lt;=Inputs!$C$15*12,IF(OR(AW68=0,AW$3&lt;Inputs!$C$75),0,IF(AW$3-Inputs!$C$75+1&lt;=Inputs!$C$73,0,MIN(PMT(Inputs!$C$70/12,Inputs!$C$71*12,-Inputs!$C$69)-AW68*Inputs!$C$70/12,AW68))),0)</f>
        <v>1518.565245</v>
      </c>
      <c r="AX71" s="153">
        <f>IF(AX$3&lt;=Inputs!$C$15*12,IF(OR(AX68=0,AX$3&lt;Inputs!$C$75),0,IF(AX$3-Inputs!$C$75+1&lt;=Inputs!$C$73,0,MIN(PMT(Inputs!$C$70/12,Inputs!$C$71*12,-Inputs!$C$69)-AX68*Inputs!$C$70/12,AX68))),0)</f>
        <v>1524.8926</v>
      </c>
      <c r="AY71" s="153">
        <f>IF(AY$3&lt;=Inputs!$C$15*12,IF(OR(AY68=0,AY$3&lt;Inputs!$C$75),0,IF(AY$3-Inputs!$C$75+1&lt;=Inputs!$C$73,0,MIN(PMT(Inputs!$C$70/12,Inputs!$C$71*12,-Inputs!$C$69)-AY68*Inputs!$C$70/12,AY68))),0)</f>
        <v>1531.24632</v>
      </c>
      <c r="AZ71" s="153">
        <f>IF(AZ$3&lt;=Inputs!$C$15*12,IF(OR(AZ68=0,AZ$3&lt;Inputs!$C$75),0,IF(AZ$3-Inputs!$C$75+1&lt;=Inputs!$C$73,0,MIN(PMT(Inputs!$C$70/12,Inputs!$C$71*12,-Inputs!$C$69)-AZ68*Inputs!$C$70/12,AZ68))),0)</f>
        <v>1537.626513</v>
      </c>
      <c r="BA71" s="153">
        <f>IF(BA$3&lt;=Inputs!$C$15*12,IF(OR(BA68=0,BA$3&lt;Inputs!$C$75),0,IF(BA$3-Inputs!$C$75+1&lt;=Inputs!$C$73,0,MIN(PMT(Inputs!$C$70/12,Inputs!$C$71*12,-Inputs!$C$69)-BA68*Inputs!$C$70/12,BA68))),0)</f>
        <v>1544.03329</v>
      </c>
      <c r="BB71" s="153">
        <f>IF(BB$3&lt;=Inputs!$C$15*12,IF(OR(BB68=0,BB$3&lt;Inputs!$C$75),0,IF(BB$3-Inputs!$C$75+1&lt;=Inputs!$C$73,0,MIN(PMT(Inputs!$C$70/12,Inputs!$C$71*12,-Inputs!$C$69)-BB68*Inputs!$C$70/12,BB68))),0)</f>
        <v>1550.466762</v>
      </c>
      <c r="BC71" s="153">
        <f>IF(BC$3&lt;=Inputs!$C$15*12,IF(OR(BC68=0,BC$3&lt;Inputs!$C$75),0,IF(BC$3-Inputs!$C$75+1&lt;=Inputs!$C$73,0,MIN(PMT(Inputs!$C$70/12,Inputs!$C$71*12,-Inputs!$C$69)-BC68*Inputs!$C$70/12,BC68))),0)</f>
        <v>1556.92704</v>
      </c>
      <c r="BD71" s="153">
        <f>IF(BD$3&lt;=Inputs!$C$15*12,IF(OR(BD68=0,BD$3&lt;Inputs!$C$75),0,IF(BD$3-Inputs!$C$75+1&lt;=Inputs!$C$73,0,MIN(PMT(Inputs!$C$70/12,Inputs!$C$71*12,-Inputs!$C$69)-BD68*Inputs!$C$70/12,BD68))),0)</f>
        <v>1563.414236</v>
      </c>
      <c r="BE71" s="153">
        <f>IF(BE$3&lt;=Inputs!$C$15*12,IF(OR(BE68=0,BE$3&lt;Inputs!$C$75),0,IF(BE$3-Inputs!$C$75+1&lt;=Inputs!$C$73,0,MIN(PMT(Inputs!$C$70/12,Inputs!$C$71*12,-Inputs!$C$69)-BE68*Inputs!$C$70/12,BE68))),0)</f>
        <v>1569.928462</v>
      </c>
      <c r="BF71" s="153">
        <f>IF(BF$3&lt;=Inputs!$C$15*12,IF(OR(BF68=0,BF$3&lt;Inputs!$C$75),0,IF(BF$3-Inputs!$C$75+1&lt;=Inputs!$C$73,0,MIN(PMT(Inputs!$C$70/12,Inputs!$C$71*12,-Inputs!$C$69)-BF68*Inputs!$C$70/12,BF68))),0)</f>
        <v>1576.469831</v>
      </c>
      <c r="BG71" s="153">
        <f>IF(BG$3&lt;=Inputs!$C$15*12,IF(OR(BG68=0,BG$3&lt;Inputs!$C$75),0,IF(BG$3-Inputs!$C$75+1&lt;=Inputs!$C$73,0,MIN(PMT(Inputs!$C$70/12,Inputs!$C$71*12,-Inputs!$C$69)-BG68*Inputs!$C$70/12,BG68))),0)</f>
        <v>1583.038455</v>
      </c>
      <c r="BH71" s="153">
        <f>IF(BH$3&lt;=Inputs!$C$15*12,IF(OR(BH68=0,BH$3&lt;Inputs!$C$75),0,IF(BH$3-Inputs!$C$75+1&lt;=Inputs!$C$73,0,MIN(PMT(Inputs!$C$70/12,Inputs!$C$71*12,-Inputs!$C$69)-BH68*Inputs!$C$70/12,BH68))),0)</f>
        <v>1589.634448</v>
      </c>
      <c r="BI71" s="153">
        <f>IF(BI$3&lt;=Inputs!$C$15*12,IF(OR(BI68=0,BI$3&lt;Inputs!$C$75),0,IF(BI$3-Inputs!$C$75+1&lt;=Inputs!$C$73,0,MIN(PMT(Inputs!$C$70/12,Inputs!$C$71*12,-Inputs!$C$69)-BI68*Inputs!$C$70/12,BI68))),0)</f>
        <v>1596.257925</v>
      </c>
      <c r="BJ71" s="153">
        <f>IF(BJ$3&lt;=Inputs!$C$15*12,IF(OR(BJ68=0,BJ$3&lt;Inputs!$C$75),0,IF(BJ$3-Inputs!$C$75+1&lt;=Inputs!$C$73,0,MIN(PMT(Inputs!$C$70/12,Inputs!$C$71*12,-Inputs!$C$69)-BJ68*Inputs!$C$70/12,BJ68))),0)</f>
        <v>1602.909</v>
      </c>
      <c r="BK71" s="153">
        <f>IF(BK$3&lt;=Inputs!$C$15*12,IF(OR(BK68=0,BK$3&lt;Inputs!$C$75),0,IF(BK$3-Inputs!$C$75+1&lt;=Inputs!$C$73,0,MIN(PMT(Inputs!$C$70/12,Inputs!$C$71*12,-Inputs!$C$69)-BK68*Inputs!$C$70/12,BK68))),0)</f>
        <v>0</v>
      </c>
      <c r="BL71" s="153">
        <f>IF(BL$3&lt;=Inputs!$C$15*12,IF(OR(BL68=0,BL$3&lt;Inputs!$C$75),0,IF(BL$3-Inputs!$C$75+1&lt;=Inputs!$C$73,0,MIN(PMT(Inputs!$C$70/12,Inputs!$C$71*12,-Inputs!$C$69)-BL68*Inputs!$C$70/12,BL68))),0)</f>
        <v>0</v>
      </c>
      <c r="BM71" s="153">
        <f>IF(BM$3&lt;=Inputs!$C$15*12,IF(OR(BM68=0,BM$3&lt;Inputs!$C$75),0,IF(BM$3-Inputs!$C$75+1&lt;=Inputs!$C$73,0,MIN(PMT(Inputs!$C$70/12,Inputs!$C$71*12,-Inputs!$C$69)-BM68*Inputs!$C$70/12,BM68))),0)</f>
        <v>0</v>
      </c>
      <c r="BN71" s="153">
        <f>IF(BN$3&lt;=Inputs!$C$15*12,IF(OR(BN68=0,BN$3&lt;Inputs!$C$75),0,IF(BN$3-Inputs!$C$75+1&lt;=Inputs!$C$73,0,MIN(PMT(Inputs!$C$70/12,Inputs!$C$71*12,-Inputs!$C$69)-BN68*Inputs!$C$70/12,BN68))),0)</f>
        <v>0</v>
      </c>
      <c r="BO71" s="153">
        <f>IF(BO$3&lt;=Inputs!$C$15*12,IF(OR(BO68=0,BO$3&lt;Inputs!$C$75),0,IF(BO$3-Inputs!$C$75+1&lt;=Inputs!$C$73,0,MIN(PMT(Inputs!$C$70/12,Inputs!$C$71*12,-Inputs!$C$69)-BO68*Inputs!$C$70/12,BO68))),0)</f>
        <v>0</v>
      </c>
      <c r="BP71" s="153">
        <f>IF(BP$3&lt;=Inputs!$C$15*12,IF(OR(BP68=0,BP$3&lt;Inputs!$C$75),0,IF(BP$3-Inputs!$C$75+1&lt;=Inputs!$C$73,0,MIN(PMT(Inputs!$C$70/12,Inputs!$C$71*12,-Inputs!$C$69)-BP68*Inputs!$C$70/12,BP68))),0)</f>
        <v>0</v>
      </c>
      <c r="BQ71" s="153">
        <f>IF(BQ$3&lt;=Inputs!$C$15*12,IF(OR(BQ68=0,BQ$3&lt;Inputs!$C$75),0,IF(BQ$3-Inputs!$C$75+1&lt;=Inputs!$C$73,0,MIN(PMT(Inputs!$C$70/12,Inputs!$C$71*12,-Inputs!$C$69)-BQ68*Inputs!$C$70/12,BQ68))),0)</f>
        <v>0</v>
      </c>
      <c r="BR71" s="153">
        <f>IF(BR$3&lt;=Inputs!$C$15*12,IF(OR(BR68=0,BR$3&lt;Inputs!$C$75),0,IF(BR$3-Inputs!$C$75+1&lt;=Inputs!$C$73,0,MIN(PMT(Inputs!$C$70/12,Inputs!$C$71*12,-Inputs!$C$69)-BR68*Inputs!$C$70/12,BR68))),0)</f>
        <v>0</v>
      </c>
      <c r="BS71" s="153">
        <f>IF(BS$3&lt;=Inputs!$C$15*12,IF(OR(BS68=0,BS$3&lt;Inputs!$C$75),0,IF(BS$3-Inputs!$C$75+1&lt;=Inputs!$C$73,0,MIN(PMT(Inputs!$C$70/12,Inputs!$C$71*12,-Inputs!$C$69)-BS68*Inputs!$C$70/12,BS68))),0)</f>
        <v>0</v>
      </c>
      <c r="BT71" s="153">
        <f>IF(BT$3&lt;=Inputs!$C$15*12,IF(OR(BT68=0,BT$3&lt;Inputs!$C$75),0,IF(BT$3-Inputs!$C$75+1&lt;=Inputs!$C$73,0,MIN(PMT(Inputs!$C$70/12,Inputs!$C$71*12,-Inputs!$C$69)-BT68*Inputs!$C$70/12,BT68))),0)</f>
        <v>0</v>
      </c>
      <c r="BU71" s="153">
        <f>IF(BU$3&lt;=Inputs!$C$15*12,IF(OR(BU68=0,BU$3&lt;Inputs!$C$75),0,IF(BU$3-Inputs!$C$75+1&lt;=Inputs!$C$73,0,MIN(PMT(Inputs!$C$70/12,Inputs!$C$71*12,-Inputs!$C$69)-BU68*Inputs!$C$70/12,BU68))),0)</f>
        <v>0</v>
      </c>
      <c r="BV71" s="153">
        <f>IF(BV$3&lt;=Inputs!$C$15*12,IF(OR(BV68=0,BV$3&lt;Inputs!$C$75),0,IF(BV$3-Inputs!$C$75+1&lt;=Inputs!$C$73,0,MIN(PMT(Inputs!$C$70/12,Inputs!$C$71*12,-Inputs!$C$69)-BV68*Inputs!$C$70/12,BV68))),0)</f>
        <v>0</v>
      </c>
      <c r="BW71" s="153">
        <f>IF(BW$3&lt;=Inputs!$C$15*12,IF(OR(BW68=0,BW$3&lt;Inputs!$C$75),0,IF(BW$3-Inputs!$C$75+1&lt;=Inputs!$C$73,0,MIN(PMT(Inputs!$C$70/12,Inputs!$C$71*12,-Inputs!$C$69)-BW68*Inputs!$C$70/12,BW68))),0)</f>
        <v>0</v>
      </c>
      <c r="BX71" s="153">
        <f>IF(BX$3&lt;=Inputs!$C$15*12,IF(OR(BX68=0,BX$3&lt;Inputs!$C$75),0,IF(BX$3-Inputs!$C$75+1&lt;=Inputs!$C$73,0,MIN(PMT(Inputs!$C$70/12,Inputs!$C$71*12,-Inputs!$C$69)-BX68*Inputs!$C$70/12,BX68))),0)</f>
        <v>0</v>
      </c>
      <c r="BY71" s="153">
        <f>IF(BY$3&lt;=Inputs!$C$15*12,IF(OR(BY68=0,BY$3&lt;Inputs!$C$75),0,IF(BY$3-Inputs!$C$75+1&lt;=Inputs!$C$73,0,MIN(PMT(Inputs!$C$70/12,Inputs!$C$71*12,-Inputs!$C$69)-BY68*Inputs!$C$70/12,BY68))),0)</f>
        <v>0</v>
      </c>
      <c r="BZ71" s="153">
        <f>IF(BZ$3&lt;=Inputs!$C$15*12,IF(OR(BZ68=0,BZ$3&lt;Inputs!$C$75),0,IF(BZ$3-Inputs!$C$75+1&lt;=Inputs!$C$73,0,MIN(PMT(Inputs!$C$70/12,Inputs!$C$71*12,-Inputs!$C$69)-BZ68*Inputs!$C$70/12,BZ68))),0)</f>
        <v>0</v>
      </c>
      <c r="CA71" s="153">
        <f>IF(CA$3&lt;=Inputs!$C$15*12,IF(OR(CA68=0,CA$3&lt;Inputs!$C$75),0,IF(CA$3-Inputs!$C$75+1&lt;=Inputs!$C$73,0,MIN(PMT(Inputs!$C$70/12,Inputs!$C$71*12,-Inputs!$C$69)-CA68*Inputs!$C$70/12,CA68))),0)</f>
        <v>0</v>
      </c>
      <c r="CB71" s="153">
        <f>IF(CB$3&lt;=Inputs!$C$15*12,IF(OR(CB68=0,CB$3&lt;Inputs!$C$75),0,IF(CB$3-Inputs!$C$75+1&lt;=Inputs!$C$73,0,MIN(PMT(Inputs!$C$70/12,Inputs!$C$71*12,-Inputs!$C$69)-CB68*Inputs!$C$70/12,CB68))),0)</f>
        <v>0</v>
      </c>
      <c r="CC71" s="153">
        <f>IF(CC$3&lt;=Inputs!$C$15*12,IF(OR(CC68=0,CC$3&lt;Inputs!$C$75),0,IF(CC$3-Inputs!$C$75+1&lt;=Inputs!$C$73,0,MIN(PMT(Inputs!$C$70/12,Inputs!$C$71*12,-Inputs!$C$69)-CC68*Inputs!$C$70/12,CC68))),0)</f>
        <v>0</v>
      </c>
      <c r="CD71" s="153">
        <f>IF(CD$3&lt;=Inputs!$C$15*12,IF(OR(CD68=0,CD$3&lt;Inputs!$C$75),0,IF(CD$3-Inputs!$C$75+1&lt;=Inputs!$C$73,0,MIN(PMT(Inputs!$C$70/12,Inputs!$C$71*12,-Inputs!$C$69)-CD68*Inputs!$C$70/12,CD68))),0)</f>
        <v>0</v>
      </c>
      <c r="CE71" s="153">
        <f>IF(CE$3&lt;=Inputs!$C$15*12,IF(OR(CE68=0,CE$3&lt;Inputs!$C$75),0,IF(CE$3-Inputs!$C$75+1&lt;=Inputs!$C$73,0,MIN(PMT(Inputs!$C$70/12,Inputs!$C$71*12,-Inputs!$C$69)-CE68*Inputs!$C$70/12,CE68))),0)</f>
        <v>0</v>
      </c>
      <c r="CF71" s="153">
        <f>IF(CF$3&lt;=Inputs!$C$15*12,IF(OR(CF68=0,CF$3&lt;Inputs!$C$75),0,IF(CF$3-Inputs!$C$75+1&lt;=Inputs!$C$73,0,MIN(PMT(Inputs!$C$70/12,Inputs!$C$71*12,-Inputs!$C$69)-CF68*Inputs!$C$70/12,CF68))),0)</f>
        <v>0</v>
      </c>
      <c r="CG71" s="153">
        <f>IF(CG$3&lt;=Inputs!$C$15*12,IF(OR(CG68=0,CG$3&lt;Inputs!$C$75),0,IF(CG$3-Inputs!$C$75+1&lt;=Inputs!$C$73,0,MIN(PMT(Inputs!$C$70/12,Inputs!$C$71*12,-Inputs!$C$69)-CG68*Inputs!$C$70/12,CG68))),0)</f>
        <v>0</v>
      </c>
      <c r="CH71" s="153">
        <f>IF(CH$3&lt;=Inputs!$C$15*12,IF(OR(CH68=0,CH$3&lt;Inputs!$C$75),0,IF(CH$3-Inputs!$C$75+1&lt;=Inputs!$C$73,0,MIN(PMT(Inputs!$C$70/12,Inputs!$C$71*12,-Inputs!$C$69)-CH68*Inputs!$C$70/12,CH68))),0)</f>
        <v>0</v>
      </c>
      <c r="CI71" s="153">
        <f>IF(CI$3&lt;=Inputs!$C$15*12,IF(OR(CI68=0,CI$3&lt;Inputs!$C$75),0,IF(CI$3-Inputs!$C$75+1&lt;=Inputs!$C$73,0,MIN(PMT(Inputs!$C$70/12,Inputs!$C$71*12,-Inputs!$C$69)-CI68*Inputs!$C$70/12,CI68))),0)</f>
        <v>0</v>
      </c>
      <c r="CJ71" s="153">
        <f>IF(CJ$3&lt;=Inputs!$C$15*12,IF(OR(CJ68=0,CJ$3&lt;Inputs!$C$75),0,IF(CJ$3-Inputs!$C$75+1&lt;=Inputs!$C$73,0,MIN(PMT(Inputs!$C$70/12,Inputs!$C$71*12,-Inputs!$C$69)-CJ68*Inputs!$C$70/12,CJ68))),0)</f>
        <v>0</v>
      </c>
      <c r="CK71" s="153">
        <f>IF(CK$3&lt;=Inputs!$C$15*12,IF(OR(CK68=0,CK$3&lt;Inputs!$C$75),0,IF(CK$3-Inputs!$C$75+1&lt;=Inputs!$C$73,0,MIN(PMT(Inputs!$C$70/12,Inputs!$C$71*12,-Inputs!$C$69)-CK68*Inputs!$C$70/12,CK68))),0)</f>
        <v>0</v>
      </c>
      <c r="CL71" s="153">
        <f>IF(CL$3&lt;=Inputs!$C$15*12,IF(OR(CL68=0,CL$3&lt;Inputs!$C$75),0,IF(CL$3-Inputs!$C$75+1&lt;=Inputs!$C$73,0,MIN(PMT(Inputs!$C$70/12,Inputs!$C$71*12,-Inputs!$C$69)-CL68*Inputs!$C$70/12,CL68))),0)</f>
        <v>0</v>
      </c>
      <c r="CM71" s="153">
        <f>IF(CM$3&lt;=Inputs!$C$15*12,IF(OR(CM68=0,CM$3&lt;Inputs!$C$75),0,IF(CM$3-Inputs!$C$75+1&lt;=Inputs!$C$73,0,MIN(PMT(Inputs!$C$70/12,Inputs!$C$71*12,-Inputs!$C$69)-CM68*Inputs!$C$70/12,CM68))),0)</f>
        <v>0</v>
      </c>
      <c r="CN71" s="153">
        <f>IF(CN$3&lt;=Inputs!$C$15*12,IF(OR(CN68=0,CN$3&lt;Inputs!$C$75),0,IF(CN$3-Inputs!$C$75+1&lt;=Inputs!$C$73,0,MIN(PMT(Inputs!$C$70/12,Inputs!$C$71*12,-Inputs!$C$69)-CN68*Inputs!$C$70/12,CN68))),0)</f>
        <v>0</v>
      </c>
      <c r="CO71" s="153">
        <f>IF(CO$3&lt;=Inputs!$C$15*12,IF(OR(CO68=0,CO$3&lt;Inputs!$C$75),0,IF(CO$3-Inputs!$C$75+1&lt;=Inputs!$C$73,0,MIN(PMT(Inputs!$C$70/12,Inputs!$C$71*12,-Inputs!$C$69)-CO68*Inputs!$C$70/12,CO68))),0)</f>
        <v>0</v>
      </c>
      <c r="CP71" s="153">
        <f>IF(CP$3&lt;=Inputs!$C$15*12,IF(OR(CP68=0,CP$3&lt;Inputs!$C$75),0,IF(CP$3-Inputs!$C$75+1&lt;=Inputs!$C$73,0,MIN(PMT(Inputs!$C$70/12,Inputs!$C$71*12,-Inputs!$C$69)-CP68*Inputs!$C$70/12,CP68))),0)</f>
        <v>0</v>
      </c>
      <c r="CQ71" s="153">
        <f>IF(CQ$3&lt;=Inputs!$C$15*12,IF(OR(CQ68=0,CQ$3&lt;Inputs!$C$75),0,IF(CQ$3-Inputs!$C$75+1&lt;=Inputs!$C$73,0,MIN(PMT(Inputs!$C$70/12,Inputs!$C$71*12,-Inputs!$C$69)-CQ68*Inputs!$C$70/12,CQ68))),0)</f>
        <v>0</v>
      </c>
      <c r="CR71" s="153">
        <f>IF(CR$3&lt;=Inputs!$C$15*12,IF(OR(CR68=0,CR$3&lt;Inputs!$C$75),0,IF(CR$3-Inputs!$C$75+1&lt;=Inputs!$C$73,0,MIN(PMT(Inputs!$C$70/12,Inputs!$C$71*12,-Inputs!$C$69)-CR68*Inputs!$C$70/12,CR68))),0)</f>
        <v>0</v>
      </c>
      <c r="CS71" s="153">
        <f>IF(CS$3&lt;=Inputs!$C$15*12,IF(OR(CS68=0,CS$3&lt;Inputs!$C$75),0,IF(CS$3-Inputs!$C$75+1&lt;=Inputs!$C$73,0,MIN(PMT(Inputs!$C$70/12,Inputs!$C$71*12,-Inputs!$C$69)-CS68*Inputs!$C$70/12,CS68))),0)</f>
        <v>0</v>
      </c>
      <c r="CT71" s="153">
        <f>IF(CT$3&lt;=Inputs!$C$15*12,IF(OR(CT68=0,CT$3&lt;Inputs!$C$75),0,IF(CT$3-Inputs!$C$75+1&lt;=Inputs!$C$73,0,MIN(PMT(Inputs!$C$70/12,Inputs!$C$71*12,-Inputs!$C$69)-CT68*Inputs!$C$70/12,CT68))),0)</f>
        <v>0</v>
      </c>
      <c r="CU71" s="153">
        <f>IF(CU$3&lt;=Inputs!$C$15*12,IF(OR(CU68=0,CU$3&lt;Inputs!$C$75),0,IF(CU$3-Inputs!$C$75+1&lt;=Inputs!$C$73,0,MIN(PMT(Inputs!$C$70/12,Inputs!$C$71*12,-Inputs!$C$69)-CU68*Inputs!$C$70/12,CU68))),0)</f>
        <v>0</v>
      </c>
      <c r="CV71" s="153">
        <f>IF(CV$3&lt;=Inputs!$C$15*12,IF(OR(CV68=0,CV$3&lt;Inputs!$C$75),0,IF(CV$3-Inputs!$C$75+1&lt;=Inputs!$C$73,0,MIN(PMT(Inputs!$C$70/12,Inputs!$C$71*12,-Inputs!$C$69)-CV68*Inputs!$C$70/12,CV68))),0)</f>
        <v>0</v>
      </c>
      <c r="CW71" s="153">
        <f>IF(CW$3&lt;=Inputs!$C$15*12,IF(OR(CW68=0,CW$3&lt;Inputs!$C$75),0,IF(CW$3-Inputs!$C$75+1&lt;=Inputs!$C$73,0,MIN(PMT(Inputs!$C$70/12,Inputs!$C$71*12,-Inputs!$C$69)-CW68*Inputs!$C$70/12,CW68))),0)</f>
        <v>0</v>
      </c>
      <c r="CX71" s="153">
        <f>IF(CX$3&lt;=Inputs!$C$15*12,IF(OR(CX68=0,CX$3&lt;Inputs!$C$75),0,IF(CX$3-Inputs!$C$75+1&lt;=Inputs!$C$73,0,MIN(PMT(Inputs!$C$70/12,Inputs!$C$71*12,-Inputs!$C$69)-CX68*Inputs!$C$70/12,CX68))),0)</f>
        <v>0</v>
      </c>
      <c r="CY71" s="153">
        <f>IF(CY$3&lt;=Inputs!$C$15*12,IF(OR(CY68=0,CY$3&lt;Inputs!$C$75),0,IF(CY$3-Inputs!$C$75+1&lt;=Inputs!$C$73,0,MIN(PMT(Inputs!$C$70/12,Inputs!$C$71*12,-Inputs!$C$69)-CY68*Inputs!$C$70/12,CY68))),0)</f>
        <v>0</v>
      </c>
      <c r="CZ71" s="153">
        <f>IF(CZ$3&lt;=Inputs!$C$15*12,IF(OR(CZ68=0,CZ$3&lt;Inputs!$C$75),0,IF(CZ$3-Inputs!$C$75+1&lt;=Inputs!$C$73,0,MIN(PMT(Inputs!$C$70/12,Inputs!$C$71*12,-Inputs!$C$69)-CZ68*Inputs!$C$70/12,CZ68))),0)</f>
        <v>0</v>
      </c>
      <c r="DA71" s="153">
        <f>IF(DA$3&lt;=Inputs!$C$15*12,IF(OR(DA68=0,DA$3&lt;Inputs!$C$75),0,IF(DA$3-Inputs!$C$75+1&lt;=Inputs!$C$73,0,MIN(PMT(Inputs!$C$70/12,Inputs!$C$71*12,-Inputs!$C$69)-DA68*Inputs!$C$70/12,DA68))),0)</f>
        <v>0</v>
      </c>
      <c r="DB71" s="153">
        <f>IF(DB$3&lt;=Inputs!$C$15*12,IF(OR(DB68=0,DB$3&lt;Inputs!$C$75),0,IF(DB$3-Inputs!$C$75+1&lt;=Inputs!$C$73,0,MIN(PMT(Inputs!$C$70/12,Inputs!$C$71*12,-Inputs!$C$69)-DB68*Inputs!$C$70/12,DB68))),0)</f>
        <v>0</v>
      </c>
      <c r="DC71" s="153">
        <f>IF(DC$3&lt;=Inputs!$C$15*12,IF(OR(DC68=0,DC$3&lt;Inputs!$C$75),0,IF(DC$3-Inputs!$C$75+1&lt;=Inputs!$C$73,0,MIN(PMT(Inputs!$C$70/12,Inputs!$C$71*12,-Inputs!$C$69)-DC68*Inputs!$C$70/12,DC68))),0)</f>
        <v>0</v>
      </c>
      <c r="DD71" s="153">
        <f>IF(DD$3&lt;=Inputs!$C$15*12,IF(OR(DD68=0,DD$3&lt;Inputs!$C$75),0,IF(DD$3-Inputs!$C$75+1&lt;=Inputs!$C$73,0,MIN(PMT(Inputs!$C$70/12,Inputs!$C$71*12,-Inputs!$C$69)-DD68*Inputs!$C$70/12,DD68))),0)</f>
        <v>0</v>
      </c>
      <c r="DE71" s="153">
        <f>IF(DE$3&lt;=Inputs!$C$15*12,IF(OR(DE68=0,DE$3&lt;Inputs!$C$75),0,IF(DE$3-Inputs!$C$75+1&lt;=Inputs!$C$73,0,MIN(PMT(Inputs!$C$70/12,Inputs!$C$71*12,-Inputs!$C$69)-DE68*Inputs!$C$70/12,DE68))),0)</f>
        <v>0</v>
      </c>
      <c r="DF71" s="153">
        <f>IF(DF$3&lt;=Inputs!$C$15*12,IF(OR(DF68=0,DF$3&lt;Inputs!$C$75),0,IF(DF$3-Inputs!$C$75+1&lt;=Inputs!$C$73,0,MIN(PMT(Inputs!$C$70/12,Inputs!$C$71*12,-Inputs!$C$69)-DF68*Inputs!$C$70/12,DF68))),0)</f>
        <v>0</v>
      </c>
      <c r="DG71" s="153">
        <f>IF(DG$3&lt;=Inputs!$C$15*12,IF(OR(DG68=0,DG$3&lt;Inputs!$C$75),0,IF(DG$3-Inputs!$C$75+1&lt;=Inputs!$C$73,0,MIN(PMT(Inputs!$C$70/12,Inputs!$C$71*12,-Inputs!$C$69)-DG68*Inputs!$C$70/12,DG68))),0)</f>
        <v>0</v>
      </c>
      <c r="DH71" s="153">
        <f>IF(DH$3&lt;=Inputs!$C$15*12,IF(OR(DH68=0,DH$3&lt;Inputs!$C$75),0,IF(DH$3-Inputs!$C$75+1&lt;=Inputs!$C$73,0,MIN(PMT(Inputs!$C$70/12,Inputs!$C$71*12,-Inputs!$C$69)-DH68*Inputs!$C$70/12,DH68))),0)</f>
        <v>0</v>
      </c>
      <c r="DI71" s="153">
        <f>IF(DI$3&lt;=Inputs!$C$15*12,IF(OR(DI68=0,DI$3&lt;Inputs!$C$75),0,IF(DI$3-Inputs!$C$75+1&lt;=Inputs!$C$73,0,MIN(PMT(Inputs!$C$70/12,Inputs!$C$71*12,-Inputs!$C$69)-DI68*Inputs!$C$70/12,DI68))),0)</f>
        <v>0</v>
      </c>
      <c r="DJ71" s="153">
        <f>IF(DJ$3&lt;=Inputs!$C$15*12,IF(OR(DJ68=0,DJ$3&lt;Inputs!$C$75),0,IF(DJ$3-Inputs!$C$75+1&lt;=Inputs!$C$73,0,MIN(PMT(Inputs!$C$70/12,Inputs!$C$71*12,-Inputs!$C$69)-DJ68*Inputs!$C$70/12,DJ68))),0)</f>
        <v>0</v>
      </c>
      <c r="DK71" s="153">
        <f>IF(DK$3&lt;=Inputs!$C$15*12,IF(OR(DK68=0,DK$3&lt;Inputs!$C$75),0,IF(DK$3-Inputs!$C$75+1&lt;=Inputs!$C$73,0,MIN(PMT(Inputs!$C$70/12,Inputs!$C$71*12,-Inputs!$C$69)-DK68*Inputs!$C$70/12,DK68))),0)</f>
        <v>0</v>
      </c>
      <c r="DL71" s="153">
        <f>IF(DL$3&lt;=Inputs!$C$15*12,IF(OR(DL68=0,DL$3&lt;Inputs!$C$75),0,IF(DL$3-Inputs!$C$75+1&lt;=Inputs!$C$73,0,MIN(PMT(Inputs!$C$70/12,Inputs!$C$71*12,-Inputs!$C$69)-DL68*Inputs!$C$70/12,DL68))),0)</f>
        <v>0</v>
      </c>
      <c r="DM71" s="153">
        <f>IF(DM$3&lt;=Inputs!$C$15*12,IF(OR(DM68=0,DM$3&lt;Inputs!$C$75),0,IF(DM$3-Inputs!$C$75+1&lt;=Inputs!$C$73,0,MIN(PMT(Inputs!$C$70/12,Inputs!$C$71*12,-Inputs!$C$69)-DM68*Inputs!$C$70/12,DM68))),0)</f>
        <v>0</v>
      </c>
      <c r="DN71" s="153">
        <f>IF(DN$3&lt;=Inputs!$C$15*12,IF(OR(DN68=0,DN$3&lt;Inputs!$C$75),0,IF(DN$3-Inputs!$C$75+1&lt;=Inputs!$C$73,0,MIN(PMT(Inputs!$C$70/12,Inputs!$C$71*12,-Inputs!$C$69)-DN68*Inputs!$C$70/12,DN68))),0)</f>
        <v>0</v>
      </c>
      <c r="DO71" s="153">
        <f>IF(DO$3&lt;=Inputs!$C$15*12,IF(OR(DO68=0,DO$3&lt;Inputs!$C$75),0,IF(DO$3-Inputs!$C$75+1&lt;=Inputs!$C$73,0,MIN(PMT(Inputs!$C$70/12,Inputs!$C$71*12,-Inputs!$C$69)-DO68*Inputs!$C$70/12,DO68))),0)</f>
        <v>0</v>
      </c>
      <c r="DP71" s="153">
        <f>IF(DP$3&lt;=Inputs!$C$15*12,IF(OR(DP68=0,DP$3&lt;Inputs!$C$75),0,IF(DP$3-Inputs!$C$75+1&lt;=Inputs!$C$73,0,MIN(PMT(Inputs!$C$70/12,Inputs!$C$71*12,-Inputs!$C$69)-DP68*Inputs!$C$70/12,DP68))),0)</f>
        <v>0</v>
      </c>
      <c r="DQ71" s="153">
        <f>IF(DQ$3&lt;=Inputs!$C$15*12,IF(OR(DQ68=0,DQ$3&lt;Inputs!$C$75),0,IF(DQ$3-Inputs!$C$75+1&lt;=Inputs!$C$73,0,MIN(PMT(Inputs!$C$70/12,Inputs!$C$71*12,-Inputs!$C$69)-DQ68*Inputs!$C$70/12,DQ68))),0)</f>
        <v>0</v>
      </c>
      <c r="DR71" s="153">
        <f>IF(DR$3&lt;=Inputs!$C$15*12,IF(OR(DR68=0,DR$3&lt;Inputs!$C$75),0,IF(DR$3-Inputs!$C$75+1&lt;=Inputs!$C$73,0,MIN(PMT(Inputs!$C$70/12,Inputs!$C$71*12,-Inputs!$C$69)-DR68*Inputs!$C$70/12,DR68))),0)</f>
        <v>0</v>
      </c>
      <c r="DS71" s="54"/>
    </row>
    <row r="72" ht="15.0" customHeight="1">
      <c r="A72" s="54"/>
      <c r="B72" s="56" t="s">
        <v>331</v>
      </c>
      <c r="C72" s="153">
        <f>IF(C$3&lt;=Inputs!$C$15*12,IF(OR(C$3=Inputs!$C$72*12,C$3=Inputs!$C$15*12),-MAX(C68+C69-C71,0),0),0)</f>
        <v>0</v>
      </c>
      <c r="D72" s="153">
        <f>IF(D$3&lt;=Inputs!$C$15*12,IF(OR(D$3=Inputs!$C$72*12,D$3=Inputs!$C$15*12),-MAX(D68+D69-D71,0),0),0)</f>
        <v>0</v>
      </c>
      <c r="E72" s="153">
        <f>IF(E$3&lt;=Inputs!$C$15*12,IF(OR(E$3=Inputs!$C$72*12,E$3=Inputs!$C$15*12),-MAX(E68+E69-E71,0),0),0)</f>
        <v>0</v>
      </c>
      <c r="F72" s="153">
        <f>IF(F$3&lt;=Inputs!$C$15*12,IF(OR(F$3=Inputs!$C$72*12,F$3=Inputs!$C$15*12),-MAX(F68+F69-F71,0),0),0)</f>
        <v>0</v>
      </c>
      <c r="G72" s="153">
        <f>IF(G$3&lt;=Inputs!$C$15*12,IF(OR(G$3=Inputs!$C$72*12,G$3=Inputs!$C$15*12),-MAX(G68+G69-G71,0),0),0)</f>
        <v>0</v>
      </c>
      <c r="H72" s="153">
        <f>IF(H$3&lt;=Inputs!$C$15*12,IF(OR(H$3=Inputs!$C$72*12,H$3=Inputs!$C$15*12),-MAX(H68+H69-H71,0),0),0)</f>
        <v>0</v>
      </c>
      <c r="I72" s="153">
        <f>IF(I$3&lt;=Inputs!$C$15*12,IF(OR(I$3=Inputs!$C$72*12,I$3=Inputs!$C$15*12),-MAX(I68+I69-I71,0),0),0)</f>
        <v>0</v>
      </c>
      <c r="J72" s="153">
        <f>IF(J$3&lt;=Inputs!$C$15*12,IF(OR(J$3=Inputs!$C$72*12,J$3=Inputs!$C$15*12),-MAX(J68+J69-J71,0),0),0)</f>
        <v>0</v>
      </c>
      <c r="K72" s="153">
        <f>IF(K$3&lt;=Inputs!$C$15*12,IF(OR(K$3=Inputs!$C$72*12,K$3=Inputs!$C$15*12),-MAX(K68+K69-K71,0),0),0)</f>
        <v>0</v>
      </c>
      <c r="L72" s="153">
        <f>IF(L$3&lt;=Inputs!$C$15*12,IF(OR(L$3=Inputs!$C$72*12,L$3=Inputs!$C$15*12),-MAX(L68+L69-L71,0),0),0)</f>
        <v>0</v>
      </c>
      <c r="M72" s="153">
        <f>IF(M$3&lt;=Inputs!$C$15*12,IF(OR(M$3=Inputs!$C$72*12,M$3=Inputs!$C$15*12),-MAX(M68+M69-M71,0),0),0)</f>
        <v>0</v>
      </c>
      <c r="N72" s="153">
        <f>IF(N$3&lt;=Inputs!$C$15*12,IF(OR(N$3=Inputs!$C$72*12,N$3=Inputs!$C$15*12),-MAX(N68+N69-N71,0),0),0)</f>
        <v>0</v>
      </c>
      <c r="O72" s="153">
        <f>IF(O$3&lt;=Inputs!$C$15*12,IF(OR(O$3=Inputs!$C$72*12,O$3=Inputs!$C$15*12),-MAX(O68+O69-O71,0),0),0)</f>
        <v>0</v>
      </c>
      <c r="P72" s="153">
        <f>IF(P$3&lt;=Inputs!$C$15*12,IF(OR(P$3=Inputs!$C$72*12,P$3=Inputs!$C$15*12),-MAX(P68+P69-P71,0),0),0)</f>
        <v>0</v>
      </c>
      <c r="Q72" s="153">
        <f>IF(Q$3&lt;=Inputs!$C$15*12,IF(OR(Q$3=Inputs!$C$72*12,Q$3=Inputs!$C$15*12),-MAX(Q68+Q69-Q71,0),0),0)</f>
        <v>0</v>
      </c>
      <c r="R72" s="153">
        <f>IF(R$3&lt;=Inputs!$C$15*12,IF(OR(R$3=Inputs!$C$72*12,R$3=Inputs!$C$15*12),-MAX(R68+R69-R71,0),0),0)</f>
        <v>0</v>
      </c>
      <c r="S72" s="153">
        <f>IF(S$3&lt;=Inputs!$C$15*12,IF(OR(S$3=Inputs!$C$72*12,S$3=Inputs!$C$15*12),-MAX(S68+S69-S71,0),0),0)</f>
        <v>0</v>
      </c>
      <c r="T72" s="153">
        <f>IF(T$3&lt;=Inputs!$C$15*12,IF(OR(T$3=Inputs!$C$72*12,T$3=Inputs!$C$15*12),-MAX(T68+T69-T71,0),0),0)</f>
        <v>0</v>
      </c>
      <c r="U72" s="153">
        <f>IF(U$3&lt;=Inputs!$C$15*12,IF(OR(U$3=Inputs!$C$72*12,U$3=Inputs!$C$15*12),-MAX(U68+U69-U71,0),0),0)</f>
        <v>0</v>
      </c>
      <c r="V72" s="153">
        <f>IF(V$3&lt;=Inputs!$C$15*12,IF(OR(V$3=Inputs!$C$72*12,V$3=Inputs!$C$15*12),-MAX(V68+V69-V71,0),0),0)</f>
        <v>0</v>
      </c>
      <c r="W72" s="153">
        <f>IF(W$3&lt;=Inputs!$C$15*12,IF(OR(W$3=Inputs!$C$72*12,W$3=Inputs!$C$15*12),-MAX(W68+W69-W71,0),0),0)</f>
        <v>0</v>
      </c>
      <c r="X72" s="153">
        <f>IF(X$3&lt;=Inputs!$C$15*12,IF(OR(X$3=Inputs!$C$72*12,X$3=Inputs!$C$15*12),-MAX(X68+X69-X71,0),0),0)</f>
        <v>0</v>
      </c>
      <c r="Y72" s="153">
        <f>IF(Y$3&lt;=Inputs!$C$15*12,IF(OR(Y$3=Inputs!$C$72*12,Y$3=Inputs!$C$15*12),-MAX(Y68+Y69-Y71,0),0),0)</f>
        <v>0</v>
      </c>
      <c r="Z72" s="153">
        <f>IF(Z$3&lt;=Inputs!$C$15*12,IF(OR(Z$3=Inputs!$C$72*12,Z$3=Inputs!$C$15*12),-MAX(Z68+Z69-Z71,0),0),0)</f>
        <v>0</v>
      </c>
      <c r="AA72" s="153">
        <f>IF(AA$3&lt;=Inputs!$C$15*12,IF(OR(AA$3=Inputs!$C$72*12,AA$3=Inputs!$C$15*12),-MAX(AA68+AA69-AA71,0),0),0)</f>
        <v>0</v>
      </c>
      <c r="AB72" s="153">
        <f>IF(AB$3&lt;=Inputs!$C$15*12,IF(OR(AB$3=Inputs!$C$72*12,AB$3=Inputs!$C$15*12),-MAX(AB68+AB69-AB71,0),0),0)</f>
        <v>0</v>
      </c>
      <c r="AC72" s="153">
        <f>IF(AC$3&lt;=Inputs!$C$15*12,IF(OR(AC$3=Inputs!$C$72*12,AC$3=Inputs!$C$15*12),-MAX(AC68+AC69-AC71,0),0),0)</f>
        <v>0</v>
      </c>
      <c r="AD72" s="153">
        <f>IF(AD$3&lt;=Inputs!$C$15*12,IF(OR(AD$3=Inputs!$C$72*12,AD$3=Inputs!$C$15*12),-MAX(AD68+AD69-AD71,0),0),0)</f>
        <v>0</v>
      </c>
      <c r="AE72" s="153">
        <f>IF(AE$3&lt;=Inputs!$C$15*12,IF(OR(AE$3=Inputs!$C$72*12,AE$3=Inputs!$C$15*12),-MAX(AE68+AE69-AE71,0),0),0)</f>
        <v>0</v>
      </c>
      <c r="AF72" s="153">
        <f>IF(AF$3&lt;=Inputs!$C$15*12,IF(OR(AF$3=Inputs!$C$72*12,AF$3=Inputs!$C$15*12),-MAX(AF68+AF69-AF71,0),0),0)</f>
        <v>0</v>
      </c>
      <c r="AG72" s="153">
        <f>IF(AG$3&lt;=Inputs!$C$15*12,IF(OR(AG$3=Inputs!$C$72*12,AG$3=Inputs!$C$15*12),-MAX(AG68+AG69-AG71,0),0),0)</f>
        <v>0</v>
      </c>
      <c r="AH72" s="153">
        <f>IF(AH$3&lt;=Inputs!$C$15*12,IF(OR(AH$3=Inputs!$C$72*12,AH$3=Inputs!$C$15*12),-MAX(AH68+AH69-AH71,0),0),0)</f>
        <v>0</v>
      </c>
      <c r="AI72" s="153">
        <f>IF(AI$3&lt;=Inputs!$C$15*12,IF(OR(AI$3=Inputs!$C$72*12,AI$3=Inputs!$C$15*12),-MAX(AI68+AI69-AI71,0),0),0)</f>
        <v>0</v>
      </c>
      <c r="AJ72" s="153">
        <f>IF(AJ$3&lt;=Inputs!$C$15*12,IF(OR(AJ$3=Inputs!$C$72*12,AJ$3=Inputs!$C$15*12),-MAX(AJ68+AJ69-AJ71,0),0),0)</f>
        <v>0</v>
      </c>
      <c r="AK72" s="153">
        <f>IF(AK$3&lt;=Inputs!$C$15*12,IF(OR(AK$3=Inputs!$C$72*12,AK$3=Inputs!$C$15*12),-MAX(AK68+AK69-AK71,0),0),0)</f>
        <v>0</v>
      </c>
      <c r="AL72" s="153">
        <f>IF(AL$3&lt;=Inputs!$C$15*12,IF(OR(AL$3=Inputs!$C$72*12,AL$3=Inputs!$C$15*12),-MAX(AL68+AL69-AL71,0),0),0)</f>
        <v>0</v>
      </c>
      <c r="AM72" s="153">
        <f>IF(AM$3&lt;=Inputs!$C$15*12,IF(OR(AM$3=Inputs!$C$72*12,AM$3=Inputs!$C$15*12),-MAX(AM68+AM69-AM71,0),0),0)</f>
        <v>0</v>
      </c>
      <c r="AN72" s="153">
        <f>IF(AN$3&lt;=Inputs!$C$15*12,IF(OR(AN$3=Inputs!$C$72*12,AN$3=Inputs!$C$15*12),-MAX(AN68+AN69-AN71,0),0),0)</f>
        <v>0</v>
      </c>
      <c r="AO72" s="153">
        <f>IF(AO$3&lt;=Inputs!$C$15*12,IF(OR(AO$3=Inputs!$C$72*12,AO$3=Inputs!$C$15*12),-MAX(AO68+AO69-AO71,0),0),0)</f>
        <v>0</v>
      </c>
      <c r="AP72" s="153">
        <f>IF(AP$3&lt;=Inputs!$C$15*12,IF(OR(AP$3=Inputs!$C$72*12,AP$3=Inputs!$C$15*12),-MAX(AP68+AP69-AP71,0),0),0)</f>
        <v>0</v>
      </c>
      <c r="AQ72" s="153">
        <f>IF(AQ$3&lt;=Inputs!$C$15*12,IF(OR(AQ$3=Inputs!$C$72*12,AQ$3=Inputs!$C$15*12),-MAX(AQ68+AQ69-AQ71,0),0),0)</f>
        <v>0</v>
      </c>
      <c r="AR72" s="153">
        <f>IF(AR$3&lt;=Inputs!$C$15*12,IF(OR(AR$3=Inputs!$C$72*12,AR$3=Inputs!$C$15*12),-MAX(AR68+AR69-AR71,0),0),0)</f>
        <v>0</v>
      </c>
      <c r="AS72" s="153">
        <f>IF(AS$3&lt;=Inputs!$C$15*12,IF(OR(AS$3=Inputs!$C$72*12,AS$3=Inputs!$C$15*12),-MAX(AS68+AS69-AS71,0),0),0)</f>
        <v>0</v>
      </c>
      <c r="AT72" s="153">
        <f>IF(AT$3&lt;=Inputs!$C$15*12,IF(OR(AT$3=Inputs!$C$72*12,AT$3=Inputs!$C$15*12),-MAX(AT68+AT69-AT71,0),0),0)</f>
        <v>0</v>
      </c>
      <c r="AU72" s="153">
        <f>IF(AU$3&lt;=Inputs!$C$15*12,IF(OR(AU$3=Inputs!$C$72*12,AU$3=Inputs!$C$15*12),-MAX(AU68+AU69-AU71,0),0),0)</f>
        <v>0</v>
      </c>
      <c r="AV72" s="153">
        <f>IF(AV$3&lt;=Inputs!$C$15*12,IF(OR(AV$3=Inputs!$C$72*12,AV$3=Inputs!$C$15*12),-MAX(AV68+AV69-AV71,0),0),0)</f>
        <v>0</v>
      </c>
      <c r="AW72" s="153">
        <f>IF(AW$3&lt;=Inputs!$C$15*12,IF(OR(AW$3=Inputs!$C$72*12,AW$3=Inputs!$C$15*12),-MAX(AW68+AW69-AW71,0),0),0)</f>
        <v>0</v>
      </c>
      <c r="AX72" s="153">
        <f>IF(AX$3&lt;=Inputs!$C$15*12,IF(OR(AX$3=Inputs!$C$72*12,AX$3=Inputs!$C$15*12),-MAX(AX68+AX69-AX71,0),0),0)</f>
        <v>0</v>
      </c>
      <c r="AY72" s="153">
        <f>IF(AY$3&lt;=Inputs!$C$15*12,IF(OR(AY$3=Inputs!$C$72*12,AY$3=Inputs!$C$15*12),-MAX(AY68+AY69-AY71,0),0),0)</f>
        <v>0</v>
      </c>
      <c r="AZ72" s="153">
        <f>IF(AZ$3&lt;=Inputs!$C$15*12,IF(OR(AZ$3=Inputs!$C$72*12,AZ$3=Inputs!$C$15*12),-MAX(AZ68+AZ69-AZ71,0),0),0)</f>
        <v>0</v>
      </c>
      <c r="BA72" s="153">
        <f>IF(BA$3&lt;=Inputs!$C$15*12,IF(OR(BA$3=Inputs!$C$72*12,BA$3=Inputs!$C$15*12),-MAX(BA68+BA69-BA71,0),0),0)</f>
        <v>0</v>
      </c>
      <c r="BB72" s="153">
        <f>IF(BB$3&lt;=Inputs!$C$15*12,IF(OR(BB$3=Inputs!$C$72*12,BB$3=Inputs!$C$15*12),-MAX(BB68+BB69-BB71,0),0),0)</f>
        <v>0</v>
      </c>
      <c r="BC72" s="153">
        <f>IF(BC$3&lt;=Inputs!$C$15*12,IF(OR(BC$3=Inputs!$C$72*12,BC$3=Inputs!$C$15*12),-MAX(BC68+BC69-BC71,0),0),0)</f>
        <v>0</v>
      </c>
      <c r="BD72" s="153">
        <f>IF(BD$3&lt;=Inputs!$C$15*12,IF(OR(BD$3=Inputs!$C$72*12,BD$3=Inputs!$C$15*12),-MAX(BD68+BD69-BD71,0),0),0)</f>
        <v>0</v>
      </c>
      <c r="BE72" s="153">
        <f>IF(BE$3&lt;=Inputs!$C$15*12,IF(OR(BE$3=Inputs!$C$72*12,BE$3=Inputs!$C$15*12),-MAX(BE68+BE69-BE71,0),0),0)</f>
        <v>0</v>
      </c>
      <c r="BF72" s="153">
        <f>IF(BF$3&lt;=Inputs!$C$15*12,IF(OR(BF$3=Inputs!$C$72*12,BF$3=Inputs!$C$15*12),-MAX(BF68+BF69-BF71,0),0),0)</f>
        <v>0</v>
      </c>
      <c r="BG72" s="153">
        <f>IF(BG$3&lt;=Inputs!$C$15*12,IF(OR(BG$3=Inputs!$C$72*12,BG$3=Inputs!$C$15*12),-MAX(BG68+BG69-BG71,0),0),0)</f>
        <v>0</v>
      </c>
      <c r="BH72" s="153">
        <f>IF(BH$3&lt;=Inputs!$C$15*12,IF(OR(BH$3=Inputs!$C$72*12,BH$3=Inputs!$C$15*12),-MAX(BH68+BH69-BH71,0),0),0)</f>
        <v>0</v>
      </c>
      <c r="BI72" s="153">
        <f>IF(BI$3&lt;=Inputs!$C$15*12,IF(OR(BI$3=Inputs!$C$72*12,BI$3=Inputs!$C$15*12),-MAX(BI68+BI69-BI71,0),0),0)</f>
        <v>0</v>
      </c>
      <c r="BJ72" s="153">
        <f>IF(BJ$3&lt;=Inputs!$C$15*12,IF(OR(BJ$3=Inputs!$C$72*12,BJ$3=Inputs!$C$15*12),-MAX(BJ68+BJ69-BJ71,0),0),0)</f>
        <v>-665961.0057</v>
      </c>
      <c r="BK72" s="153">
        <f>IF(BK$3&lt;=Inputs!$C$15*12,IF(OR(BK$3=Inputs!$C$72*12,BK$3=Inputs!$C$15*12),-MAX(BK68+BK69-BK71,0),0),0)</f>
        <v>0</v>
      </c>
      <c r="BL72" s="153">
        <f>IF(BL$3&lt;=Inputs!$C$15*12,IF(OR(BL$3=Inputs!$C$72*12,BL$3=Inputs!$C$15*12),-MAX(BL68+BL69-BL71,0),0),0)</f>
        <v>0</v>
      </c>
      <c r="BM72" s="153">
        <f>IF(BM$3&lt;=Inputs!$C$15*12,IF(OR(BM$3=Inputs!$C$72*12,BM$3=Inputs!$C$15*12),-MAX(BM68+BM69-BM71,0),0),0)</f>
        <v>0</v>
      </c>
      <c r="BN72" s="153">
        <f>IF(BN$3&lt;=Inputs!$C$15*12,IF(OR(BN$3=Inputs!$C$72*12,BN$3=Inputs!$C$15*12),-MAX(BN68+BN69-BN71,0),0),0)</f>
        <v>0</v>
      </c>
      <c r="BO72" s="153">
        <f>IF(BO$3&lt;=Inputs!$C$15*12,IF(OR(BO$3=Inputs!$C$72*12,BO$3=Inputs!$C$15*12),-MAX(BO68+BO69-BO71,0),0),0)</f>
        <v>0</v>
      </c>
      <c r="BP72" s="153">
        <f>IF(BP$3&lt;=Inputs!$C$15*12,IF(OR(BP$3=Inputs!$C$72*12,BP$3=Inputs!$C$15*12),-MAX(BP68+BP69-BP71,0),0),0)</f>
        <v>0</v>
      </c>
      <c r="BQ72" s="153">
        <f>IF(BQ$3&lt;=Inputs!$C$15*12,IF(OR(BQ$3=Inputs!$C$72*12,BQ$3=Inputs!$C$15*12),-MAX(BQ68+BQ69-BQ71,0),0),0)</f>
        <v>0</v>
      </c>
      <c r="BR72" s="153">
        <f>IF(BR$3&lt;=Inputs!$C$15*12,IF(OR(BR$3=Inputs!$C$72*12,BR$3=Inputs!$C$15*12),-MAX(BR68+BR69-BR71,0),0),0)</f>
        <v>0</v>
      </c>
      <c r="BS72" s="153">
        <f>IF(BS$3&lt;=Inputs!$C$15*12,IF(OR(BS$3=Inputs!$C$72*12,BS$3=Inputs!$C$15*12),-MAX(BS68+BS69-BS71,0),0),0)</f>
        <v>0</v>
      </c>
      <c r="BT72" s="153">
        <f>IF(BT$3&lt;=Inputs!$C$15*12,IF(OR(BT$3=Inputs!$C$72*12,BT$3=Inputs!$C$15*12),-MAX(BT68+BT69-BT71,0),0),0)</f>
        <v>0</v>
      </c>
      <c r="BU72" s="153">
        <f>IF(BU$3&lt;=Inputs!$C$15*12,IF(OR(BU$3=Inputs!$C$72*12,BU$3=Inputs!$C$15*12),-MAX(BU68+BU69-BU71,0),0),0)</f>
        <v>0</v>
      </c>
      <c r="BV72" s="153">
        <f>IF(BV$3&lt;=Inputs!$C$15*12,IF(OR(BV$3=Inputs!$C$72*12,BV$3=Inputs!$C$15*12),-MAX(BV68+BV69-BV71,0),0),0)</f>
        <v>0</v>
      </c>
      <c r="BW72" s="153">
        <f>IF(BW$3&lt;=Inputs!$C$15*12,IF(OR(BW$3=Inputs!$C$72*12,BW$3=Inputs!$C$15*12),-MAX(BW68+BW69-BW71,0),0),0)</f>
        <v>0</v>
      </c>
      <c r="BX72" s="153">
        <f>IF(BX$3&lt;=Inputs!$C$15*12,IF(OR(BX$3=Inputs!$C$72*12,BX$3=Inputs!$C$15*12),-MAX(BX68+BX69-BX71,0),0),0)</f>
        <v>0</v>
      </c>
      <c r="BY72" s="153">
        <f>IF(BY$3&lt;=Inputs!$C$15*12,IF(OR(BY$3=Inputs!$C$72*12,BY$3=Inputs!$C$15*12),-MAX(BY68+BY69-BY71,0),0),0)</f>
        <v>0</v>
      </c>
      <c r="BZ72" s="153">
        <f>IF(BZ$3&lt;=Inputs!$C$15*12,IF(OR(BZ$3=Inputs!$C$72*12,BZ$3=Inputs!$C$15*12),-MAX(BZ68+BZ69-BZ71,0),0),0)</f>
        <v>0</v>
      </c>
      <c r="CA72" s="153">
        <f>IF(CA$3&lt;=Inputs!$C$15*12,IF(OR(CA$3=Inputs!$C$72*12,CA$3=Inputs!$C$15*12),-MAX(CA68+CA69-CA71,0),0),0)</f>
        <v>0</v>
      </c>
      <c r="CB72" s="153">
        <f>IF(CB$3&lt;=Inputs!$C$15*12,IF(OR(CB$3=Inputs!$C$72*12,CB$3=Inputs!$C$15*12),-MAX(CB68+CB69-CB71,0),0),0)</f>
        <v>0</v>
      </c>
      <c r="CC72" s="153">
        <f>IF(CC$3&lt;=Inputs!$C$15*12,IF(OR(CC$3=Inputs!$C$72*12,CC$3=Inputs!$C$15*12),-MAX(CC68+CC69-CC71,0),0),0)</f>
        <v>0</v>
      </c>
      <c r="CD72" s="153">
        <f>IF(CD$3&lt;=Inputs!$C$15*12,IF(OR(CD$3=Inputs!$C$72*12,CD$3=Inputs!$C$15*12),-MAX(CD68+CD69-CD71,0),0),0)</f>
        <v>0</v>
      </c>
      <c r="CE72" s="153">
        <f>IF(CE$3&lt;=Inputs!$C$15*12,IF(OR(CE$3=Inputs!$C$72*12,CE$3=Inputs!$C$15*12),-MAX(CE68+CE69-CE71,0),0),0)</f>
        <v>0</v>
      </c>
      <c r="CF72" s="153">
        <f>IF(CF$3&lt;=Inputs!$C$15*12,IF(OR(CF$3=Inputs!$C$72*12,CF$3=Inputs!$C$15*12),-MAX(CF68+CF69-CF71,0),0),0)</f>
        <v>0</v>
      </c>
      <c r="CG72" s="153">
        <f>IF(CG$3&lt;=Inputs!$C$15*12,IF(OR(CG$3=Inputs!$C$72*12,CG$3=Inputs!$C$15*12),-MAX(CG68+CG69-CG71,0),0),0)</f>
        <v>0</v>
      </c>
      <c r="CH72" s="153">
        <f>IF(CH$3&lt;=Inputs!$C$15*12,IF(OR(CH$3=Inputs!$C$72*12,CH$3=Inputs!$C$15*12),-MAX(CH68+CH69-CH71,0),0),0)</f>
        <v>0</v>
      </c>
      <c r="CI72" s="153">
        <f>IF(CI$3&lt;=Inputs!$C$15*12,IF(OR(CI$3=Inputs!$C$72*12,CI$3=Inputs!$C$15*12),-MAX(CI68+CI69-CI71,0),0),0)</f>
        <v>0</v>
      </c>
      <c r="CJ72" s="153">
        <f>IF(CJ$3&lt;=Inputs!$C$15*12,IF(OR(CJ$3=Inputs!$C$72*12,CJ$3=Inputs!$C$15*12),-MAX(CJ68+CJ69-CJ71,0),0),0)</f>
        <v>0</v>
      </c>
      <c r="CK72" s="153">
        <f>IF(CK$3&lt;=Inputs!$C$15*12,IF(OR(CK$3=Inputs!$C$72*12,CK$3=Inputs!$C$15*12),-MAX(CK68+CK69-CK71,0),0),0)</f>
        <v>0</v>
      </c>
      <c r="CL72" s="153">
        <f>IF(CL$3&lt;=Inputs!$C$15*12,IF(OR(CL$3=Inputs!$C$72*12,CL$3=Inputs!$C$15*12),-MAX(CL68+CL69-CL71,0),0),0)</f>
        <v>0</v>
      </c>
      <c r="CM72" s="153">
        <f>IF(CM$3&lt;=Inputs!$C$15*12,IF(OR(CM$3=Inputs!$C$72*12,CM$3=Inputs!$C$15*12),-MAX(CM68+CM69-CM71,0),0),0)</f>
        <v>0</v>
      </c>
      <c r="CN72" s="153">
        <f>IF(CN$3&lt;=Inputs!$C$15*12,IF(OR(CN$3=Inputs!$C$72*12,CN$3=Inputs!$C$15*12),-MAX(CN68+CN69-CN71,0),0),0)</f>
        <v>0</v>
      </c>
      <c r="CO72" s="153">
        <f>IF(CO$3&lt;=Inputs!$C$15*12,IF(OR(CO$3=Inputs!$C$72*12,CO$3=Inputs!$C$15*12),-MAX(CO68+CO69-CO71,0),0),0)</f>
        <v>0</v>
      </c>
      <c r="CP72" s="153">
        <f>IF(CP$3&lt;=Inputs!$C$15*12,IF(OR(CP$3=Inputs!$C$72*12,CP$3=Inputs!$C$15*12),-MAX(CP68+CP69-CP71,0),0),0)</f>
        <v>0</v>
      </c>
      <c r="CQ72" s="153">
        <f>IF(CQ$3&lt;=Inputs!$C$15*12,IF(OR(CQ$3=Inputs!$C$72*12,CQ$3=Inputs!$C$15*12),-MAX(CQ68+CQ69-CQ71,0),0),0)</f>
        <v>0</v>
      </c>
      <c r="CR72" s="153">
        <f>IF(CR$3&lt;=Inputs!$C$15*12,IF(OR(CR$3=Inputs!$C$72*12,CR$3=Inputs!$C$15*12),-MAX(CR68+CR69-CR71,0),0),0)</f>
        <v>0</v>
      </c>
      <c r="CS72" s="153">
        <f>IF(CS$3&lt;=Inputs!$C$15*12,IF(OR(CS$3=Inputs!$C$72*12,CS$3=Inputs!$C$15*12),-MAX(CS68+CS69-CS71,0),0),0)</f>
        <v>0</v>
      </c>
      <c r="CT72" s="153">
        <f>IF(CT$3&lt;=Inputs!$C$15*12,IF(OR(CT$3=Inputs!$C$72*12,CT$3=Inputs!$C$15*12),-MAX(CT68+CT69-CT71,0),0),0)</f>
        <v>0</v>
      </c>
      <c r="CU72" s="153">
        <f>IF(CU$3&lt;=Inputs!$C$15*12,IF(OR(CU$3=Inputs!$C$72*12,CU$3=Inputs!$C$15*12),-MAX(CU68+CU69-CU71,0),0),0)</f>
        <v>0</v>
      </c>
      <c r="CV72" s="153">
        <f>IF(CV$3&lt;=Inputs!$C$15*12,IF(OR(CV$3=Inputs!$C$72*12,CV$3=Inputs!$C$15*12),-MAX(CV68+CV69-CV71,0),0),0)</f>
        <v>0</v>
      </c>
      <c r="CW72" s="153">
        <f>IF(CW$3&lt;=Inputs!$C$15*12,IF(OR(CW$3=Inputs!$C$72*12,CW$3=Inputs!$C$15*12),-MAX(CW68+CW69-CW71,0),0),0)</f>
        <v>0</v>
      </c>
      <c r="CX72" s="153">
        <f>IF(CX$3&lt;=Inputs!$C$15*12,IF(OR(CX$3=Inputs!$C$72*12,CX$3=Inputs!$C$15*12),-MAX(CX68+CX69-CX71,0),0),0)</f>
        <v>0</v>
      </c>
      <c r="CY72" s="153">
        <f>IF(CY$3&lt;=Inputs!$C$15*12,IF(OR(CY$3=Inputs!$C$72*12,CY$3=Inputs!$C$15*12),-MAX(CY68+CY69-CY71,0),0),0)</f>
        <v>0</v>
      </c>
      <c r="CZ72" s="153">
        <f>IF(CZ$3&lt;=Inputs!$C$15*12,IF(OR(CZ$3=Inputs!$C$72*12,CZ$3=Inputs!$C$15*12),-MAX(CZ68+CZ69-CZ71,0),0),0)</f>
        <v>0</v>
      </c>
      <c r="DA72" s="153">
        <f>IF(DA$3&lt;=Inputs!$C$15*12,IF(OR(DA$3=Inputs!$C$72*12,DA$3=Inputs!$C$15*12),-MAX(DA68+DA69-DA71,0),0),0)</f>
        <v>0</v>
      </c>
      <c r="DB72" s="153">
        <f>IF(DB$3&lt;=Inputs!$C$15*12,IF(OR(DB$3=Inputs!$C$72*12,DB$3=Inputs!$C$15*12),-MAX(DB68+DB69-DB71,0),0),0)</f>
        <v>0</v>
      </c>
      <c r="DC72" s="153">
        <f>IF(DC$3&lt;=Inputs!$C$15*12,IF(OR(DC$3=Inputs!$C$72*12,DC$3=Inputs!$C$15*12),-MAX(DC68+DC69-DC71,0),0),0)</f>
        <v>0</v>
      </c>
      <c r="DD72" s="153">
        <f>IF(DD$3&lt;=Inputs!$C$15*12,IF(OR(DD$3=Inputs!$C$72*12,DD$3=Inputs!$C$15*12),-MAX(DD68+DD69-DD71,0),0),0)</f>
        <v>0</v>
      </c>
      <c r="DE72" s="153">
        <f>IF(DE$3&lt;=Inputs!$C$15*12,IF(OR(DE$3=Inputs!$C$72*12,DE$3=Inputs!$C$15*12),-MAX(DE68+DE69-DE71,0),0),0)</f>
        <v>0</v>
      </c>
      <c r="DF72" s="153">
        <f>IF(DF$3&lt;=Inputs!$C$15*12,IF(OR(DF$3=Inputs!$C$72*12,DF$3=Inputs!$C$15*12),-MAX(DF68+DF69-DF71,0),0),0)</f>
        <v>0</v>
      </c>
      <c r="DG72" s="153">
        <f>IF(DG$3&lt;=Inputs!$C$15*12,IF(OR(DG$3=Inputs!$C$72*12,DG$3=Inputs!$C$15*12),-MAX(DG68+DG69-DG71,0),0),0)</f>
        <v>0</v>
      </c>
      <c r="DH72" s="153">
        <f>IF(DH$3&lt;=Inputs!$C$15*12,IF(OR(DH$3=Inputs!$C$72*12,DH$3=Inputs!$C$15*12),-MAX(DH68+DH69-DH71,0),0),0)</f>
        <v>0</v>
      </c>
      <c r="DI72" s="153">
        <f>IF(DI$3&lt;=Inputs!$C$15*12,IF(OR(DI$3=Inputs!$C$72*12,DI$3=Inputs!$C$15*12),-MAX(DI68+DI69-DI71,0),0),0)</f>
        <v>0</v>
      </c>
      <c r="DJ72" s="153">
        <f>IF(DJ$3&lt;=Inputs!$C$15*12,IF(OR(DJ$3=Inputs!$C$72*12,DJ$3=Inputs!$C$15*12),-MAX(DJ68+DJ69-DJ71,0),0),0)</f>
        <v>0</v>
      </c>
      <c r="DK72" s="153">
        <f>IF(DK$3&lt;=Inputs!$C$15*12,IF(OR(DK$3=Inputs!$C$72*12,DK$3=Inputs!$C$15*12),-MAX(DK68+DK69-DK71,0),0),0)</f>
        <v>0</v>
      </c>
      <c r="DL72" s="153">
        <f>IF(DL$3&lt;=Inputs!$C$15*12,IF(OR(DL$3=Inputs!$C$72*12,DL$3=Inputs!$C$15*12),-MAX(DL68+DL69-DL71,0),0),0)</f>
        <v>0</v>
      </c>
      <c r="DM72" s="153">
        <f>IF(DM$3&lt;=Inputs!$C$15*12,IF(OR(DM$3=Inputs!$C$72*12,DM$3=Inputs!$C$15*12),-MAX(DM68+DM69-DM71,0),0),0)</f>
        <v>0</v>
      </c>
      <c r="DN72" s="153">
        <f>IF(DN$3&lt;=Inputs!$C$15*12,IF(OR(DN$3=Inputs!$C$72*12,DN$3=Inputs!$C$15*12),-MAX(DN68+DN69-DN71,0),0),0)</f>
        <v>0</v>
      </c>
      <c r="DO72" s="153">
        <f>IF(DO$3&lt;=Inputs!$C$15*12,IF(OR(DO$3=Inputs!$C$72*12,DO$3=Inputs!$C$15*12),-MAX(DO68+DO69-DO71,0),0),0)</f>
        <v>0</v>
      </c>
      <c r="DP72" s="153">
        <f>IF(DP$3&lt;=Inputs!$C$15*12,IF(OR(DP$3=Inputs!$C$72*12,DP$3=Inputs!$C$15*12),-MAX(DP68+DP69-DP71,0),0),0)</f>
        <v>0</v>
      </c>
      <c r="DQ72" s="153">
        <f>IF(DQ$3&lt;=Inputs!$C$15*12,IF(OR(DQ$3=Inputs!$C$72*12,DQ$3=Inputs!$C$15*12),-MAX(DQ68+DQ69-DQ71,0),0),0)</f>
        <v>0</v>
      </c>
      <c r="DR72" s="153">
        <f>IF(DR$3&lt;=Inputs!$C$15*12,IF(OR(DR$3=Inputs!$C$72*12,DR$3=Inputs!$C$15*12),-MAX(DR68+DR69-DR71,0),0),0)</f>
        <v>0</v>
      </c>
      <c r="DS72" s="54"/>
    </row>
    <row r="73" ht="15.75" customHeight="1">
      <c r="A73" s="54"/>
      <c r="B73" s="108" t="s">
        <v>328</v>
      </c>
      <c r="C73" s="175">
        <f>IF(C$3&lt;=Inputs!$C$15*12,MAX(C68+C69-C71+C72,0),0)</f>
        <v>750000</v>
      </c>
      <c r="D73" s="175">
        <f>IF(D$3&lt;=Inputs!$C$15*12,MAX(D68+D69-D71+D72,0),0)</f>
        <v>748740.5747</v>
      </c>
      <c r="E73" s="175">
        <f>IF(E$3&lt;=Inputs!$C$15*12,MAX(E68+E69-E71+E72,0),0)</f>
        <v>747475.9018</v>
      </c>
      <c r="F73" s="175">
        <f>IF(F$3&lt;=Inputs!$C$15*12,MAX(F68+F69-F71+F72,0),0)</f>
        <v>746205.9594</v>
      </c>
      <c r="G73" s="175">
        <f>IF(G$3&lt;=Inputs!$C$15*12,MAX(G68+G69-G71+G72,0),0)</f>
        <v>744930.7256</v>
      </c>
      <c r="H73" s="175">
        <f>IF(H$3&lt;=Inputs!$C$15*12,MAX(H68+H69-H71+H72,0),0)</f>
        <v>743650.1783</v>
      </c>
      <c r="I73" s="175">
        <f>IF(I$3&lt;=Inputs!$C$15*12,MAX(I68+I69-I71+I72,0),0)</f>
        <v>742364.2954</v>
      </c>
      <c r="J73" s="175">
        <f>IF(J$3&lt;=Inputs!$C$15*12,MAX(J68+J69-J71+J72,0),0)</f>
        <v>741073.0546</v>
      </c>
      <c r="K73" s="175">
        <f>IF(K$3&lt;=Inputs!$C$15*12,MAX(K68+K69-K71+K72,0),0)</f>
        <v>739776.4337</v>
      </c>
      <c r="L73" s="175">
        <f>IF(L$3&lt;=Inputs!$C$15*12,MAX(L68+L69-L71+L72,0),0)</f>
        <v>738474.4102</v>
      </c>
      <c r="M73" s="175">
        <f>IF(M$3&lt;=Inputs!$C$15*12,MAX(M68+M69-M71+M72,0),0)</f>
        <v>737166.9616</v>
      </c>
      <c r="N73" s="175">
        <f>IF(N$3&lt;=Inputs!$C$15*12,MAX(N68+N69-N71+N72,0),0)</f>
        <v>735854.0653</v>
      </c>
      <c r="O73" s="175">
        <f>IF(O$3&lt;=Inputs!$C$15*12,MAX(O68+O69-O71+O72,0),0)</f>
        <v>734535.6986</v>
      </c>
      <c r="P73" s="175">
        <f>IF(P$3&lt;=Inputs!$C$15*12,MAX(P68+P69-P71+P72,0),0)</f>
        <v>733211.8387</v>
      </c>
      <c r="Q73" s="175">
        <f>IF(Q$3&lt;=Inputs!$C$15*12,MAX(Q68+Q69-Q71+Q72,0),0)</f>
        <v>731882.4627</v>
      </c>
      <c r="R73" s="175">
        <f>IF(R$3&lt;=Inputs!$C$15*12,MAX(R68+R69-R71+R72,0),0)</f>
        <v>730547.5477</v>
      </c>
      <c r="S73" s="175">
        <f>IF(S$3&lt;=Inputs!$C$15*12,MAX(S68+S69-S71+S72,0),0)</f>
        <v>729207.0705</v>
      </c>
      <c r="T73" s="175">
        <f>IF(T$3&lt;=Inputs!$C$15*12,MAX(T68+T69-T71+T72,0),0)</f>
        <v>727861.008</v>
      </c>
      <c r="U73" s="175">
        <f>IF(U$3&lt;=Inputs!$C$15*12,MAX(U68+U69-U71+U72,0),0)</f>
        <v>726509.3368</v>
      </c>
      <c r="V73" s="175">
        <f>IF(V$3&lt;=Inputs!$C$15*12,MAX(V68+V69-V71+V72,0),0)</f>
        <v>725152.0338</v>
      </c>
      <c r="W73" s="175">
        <f>IF(W$3&lt;=Inputs!$C$15*12,MAX(W68+W69-W71+W72,0),0)</f>
        <v>723789.0753</v>
      </c>
      <c r="X73" s="175">
        <f>IF(X$3&lt;=Inputs!$C$15*12,MAX(X68+X69-X71+X72,0),0)</f>
        <v>722420.4378</v>
      </c>
      <c r="Y73" s="175">
        <f>IF(Y$3&lt;=Inputs!$C$15*12,MAX(Y68+Y69-Y71+Y72,0),0)</f>
        <v>721046.0976</v>
      </c>
      <c r="Z73" s="175">
        <f>IF(Z$3&lt;=Inputs!$C$15*12,MAX(Z68+Z69-Z71+Z72,0),0)</f>
        <v>719666.031</v>
      </c>
      <c r="AA73" s="175">
        <f>IF(AA$3&lt;=Inputs!$C$15*12,MAX(AA68+AA69-AA71+AA72,0),0)</f>
        <v>718280.2142</v>
      </c>
      <c r="AB73" s="175">
        <f>IF(AB$3&lt;=Inputs!$C$15*12,MAX(AB68+AB69-AB71+AB72,0),0)</f>
        <v>716888.6231</v>
      </c>
      <c r="AC73" s="175">
        <f>IF(AC$3&lt;=Inputs!$C$15*12,MAX(AC68+AC69-AC71+AC72,0),0)</f>
        <v>715491.2337</v>
      </c>
      <c r="AD73" s="175">
        <f>IF(AD$3&lt;=Inputs!$C$15*12,MAX(AD68+AD69-AD71+AD72,0),0)</f>
        <v>714088.0219</v>
      </c>
      <c r="AE73" s="175">
        <f>IF(AE$3&lt;=Inputs!$C$15*12,MAX(AE68+AE69-AE71+AE72,0),0)</f>
        <v>712678.9633</v>
      </c>
      <c r="AF73" s="175">
        <f>IF(AF$3&lt;=Inputs!$C$15*12,MAX(AF68+AF69-AF71+AF72,0),0)</f>
        <v>711264.0337</v>
      </c>
      <c r="AG73" s="175">
        <f>IF(AG$3&lt;=Inputs!$C$15*12,MAX(AG68+AG69-AG71+AG72,0),0)</f>
        <v>709843.2085</v>
      </c>
      <c r="AH73" s="175">
        <f>IF(AH$3&lt;=Inputs!$C$15*12,MAX(AH68+AH69-AH71+AH72,0),0)</f>
        <v>708416.4633</v>
      </c>
      <c r="AI73" s="175">
        <f>IF(AI$3&lt;=Inputs!$C$15*12,MAX(AI68+AI69-AI71+AI72,0),0)</f>
        <v>706983.7732</v>
      </c>
      <c r="AJ73" s="175">
        <f>IF(AJ$3&lt;=Inputs!$C$15*12,MAX(AJ68+AJ69-AJ71+AJ72,0),0)</f>
        <v>705545.1136</v>
      </c>
      <c r="AK73" s="175">
        <f>IF(AK$3&lt;=Inputs!$C$15*12,MAX(AK68+AK69-AK71+AK72,0),0)</f>
        <v>704100.4596</v>
      </c>
      <c r="AL73" s="175">
        <f>IF(AL$3&lt;=Inputs!$C$15*12,MAX(AL68+AL69-AL71+AL72,0),0)</f>
        <v>702649.7862</v>
      </c>
      <c r="AM73" s="175">
        <f>IF(AM$3&lt;=Inputs!$C$15*12,MAX(AM68+AM69-AM71+AM72,0),0)</f>
        <v>701193.0683</v>
      </c>
      <c r="AN73" s="175">
        <f>IF(AN$3&lt;=Inputs!$C$15*12,MAX(AN68+AN69-AN71+AN72,0),0)</f>
        <v>699730.2808</v>
      </c>
      <c r="AO73" s="175">
        <f>IF(AO$3&lt;=Inputs!$C$15*12,MAX(AO68+AO69-AO71+AO72,0),0)</f>
        <v>698261.3983</v>
      </c>
      <c r="AP73" s="175">
        <f>IF(AP$3&lt;=Inputs!$C$15*12,MAX(AP68+AP69-AP71+AP72,0),0)</f>
        <v>696786.3955</v>
      </c>
      <c r="AQ73" s="175">
        <f>IF(AQ$3&lt;=Inputs!$C$15*12,MAX(AQ68+AQ69-AQ71+AQ72,0),0)</f>
        <v>695305.2469</v>
      </c>
      <c r="AR73" s="175">
        <f>IF(AR$3&lt;=Inputs!$C$15*12,MAX(AR68+AR69-AR71+AR72,0),0)</f>
        <v>693817.9267</v>
      </c>
      <c r="AS73" s="175">
        <f>IF(AS$3&lt;=Inputs!$C$15*12,MAX(AS68+AS69-AS71+AS72,0),0)</f>
        <v>692324.4095</v>
      </c>
      <c r="AT73" s="175">
        <f>IF(AT$3&lt;=Inputs!$C$15*12,MAX(AT68+AT69-AT71+AT72,0),0)</f>
        <v>690824.6692</v>
      </c>
      <c r="AU73" s="175">
        <f>IF(AU$3&lt;=Inputs!$C$15*12,MAX(AU68+AU69-AU71+AU72,0),0)</f>
        <v>689318.68</v>
      </c>
      <c r="AV73" s="175">
        <f>IF(AV$3&lt;=Inputs!$C$15*12,MAX(AV68+AV69-AV71+AV72,0),0)</f>
        <v>687806.4159</v>
      </c>
      <c r="AW73" s="175">
        <f>IF(AW$3&lt;=Inputs!$C$15*12,MAX(AW68+AW69-AW71+AW72,0),0)</f>
        <v>686287.8506</v>
      </c>
      <c r="AX73" s="175">
        <f>IF(AX$3&lt;=Inputs!$C$15*12,MAX(AX68+AX69-AX71+AX72,0),0)</f>
        <v>684762.958</v>
      </c>
      <c r="AY73" s="175">
        <f>IF(AY$3&lt;=Inputs!$C$15*12,MAX(AY68+AY69-AY71+AY72,0),0)</f>
        <v>683231.7117</v>
      </c>
      <c r="AZ73" s="175">
        <f>IF(AZ$3&lt;=Inputs!$C$15*12,MAX(AZ68+AZ69-AZ71+AZ72,0),0)</f>
        <v>681694.0852</v>
      </c>
      <c r="BA73" s="175">
        <f>IF(BA$3&lt;=Inputs!$C$15*12,MAX(BA68+BA69-BA71+BA72,0),0)</f>
        <v>680150.0519</v>
      </c>
      <c r="BB73" s="175">
        <f>IF(BB$3&lt;=Inputs!$C$15*12,MAX(BB68+BB69-BB71+BB72,0),0)</f>
        <v>678599.5851</v>
      </c>
      <c r="BC73" s="175">
        <f>IF(BC$3&lt;=Inputs!$C$15*12,MAX(BC68+BC69-BC71+BC72,0),0)</f>
        <v>677042.6581</v>
      </c>
      <c r="BD73" s="175">
        <f>IF(BD$3&lt;=Inputs!$C$15*12,MAX(BD68+BD69-BD71+BD72,0),0)</f>
        <v>675479.2439</v>
      </c>
      <c r="BE73" s="175">
        <f>IF(BE$3&lt;=Inputs!$C$15*12,MAX(BE68+BE69-BE71+BE72,0),0)</f>
        <v>673909.3154</v>
      </c>
      <c r="BF73" s="175">
        <f>IF(BF$3&lt;=Inputs!$C$15*12,MAX(BF68+BF69-BF71+BF72,0),0)</f>
        <v>672332.8456</v>
      </c>
      <c r="BG73" s="175">
        <f>IF(BG$3&lt;=Inputs!$C$15*12,MAX(BG68+BG69-BG71+BG72,0),0)</f>
        <v>670749.8071</v>
      </c>
      <c r="BH73" s="175">
        <f>IF(BH$3&lt;=Inputs!$C$15*12,MAX(BH68+BH69-BH71+BH72,0),0)</f>
        <v>669160.1727</v>
      </c>
      <c r="BI73" s="175">
        <f>IF(BI$3&lt;=Inputs!$C$15*12,MAX(BI68+BI69-BI71+BI72,0),0)</f>
        <v>667563.9147</v>
      </c>
      <c r="BJ73" s="175">
        <f>IF(BJ$3&lt;=Inputs!$C$15*12,MAX(BJ68+BJ69-BJ71+BJ72,0),0)</f>
        <v>0</v>
      </c>
      <c r="BK73" s="175">
        <f>IF(BK$3&lt;=Inputs!$C$15*12,MAX(BK68+BK69-BK71+BK72,0),0)</f>
        <v>0</v>
      </c>
      <c r="BL73" s="175">
        <f>IF(BL$3&lt;=Inputs!$C$15*12,MAX(BL68+BL69-BL71+BL72,0),0)</f>
        <v>0</v>
      </c>
      <c r="BM73" s="175">
        <f>IF(BM$3&lt;=Inputs!$C$15*12,MAX(BM68+BM69-BM71+BM72,0),0)</f>
        <v>0</v>
      </c>
      <c r="BN73" s="175">
        <f>IF(BN$3&lt;=Inputs!$C$15*12,MAX(BN68+BN69-BN71+BN72,0),0)</f>
        <v>0</v>
      </c>
      <c r="BO73" s="175">
        <f>IF(BO$3&lt;=Inputs!$C$15*12,MAX(BO68+BO69-BO71+BO72,0),0)</f>
        <v>0</v>
      </c>
      <c r="BP73" s="175">
        <f>IF(BP$3&lt;=Inputs!$C$15*12,MAX(BP68+BP69-BP71+BP72,0),0)</f>
        <v>0</v>
      </c>
      <c r="BQ73" s="175">
        <f>IF(BQ$3&lt;=Inputs!$C$15*12,MAX(BQ68+BQ69-BQ71+BQ72,0),0)</f>
        <v>0</v>
      </c>
      <c r="BR73" s="175">
        <f>IF(BR$3&lt;=Inputs!$C$15*12,MAX(BR68+BR69-BR71+BR72,0),0)</f>
        <v>0</v>
      </c>
      <c r="BS73" s="175">
        <f>IF(BS$3&lt;=Inputs!$C$15*12,MAX(BS68+BS69-BS71+BS72,0),0)</f>
        <v>0</v>
      </c>
      <c r="BT73" s="175">
        <f>IF(BT$3&lt;=Inputs!$C$15*12,MAX(BT68+BT69-BT71+BT72,0),0)</f>
        <v>0</v>
      </c>
      <c r="BU73" s="175">
        <f>IF(BU$3&lt;=Inputs!$C$15*12,MAX(BU68+BU69-BU71+BU72,0),0)</f>
        <v>0</v>
      </c>
      <c r="BV73" s="175">
        <f>IF(BV$3&lt;=Inputs!$C$15*12,MAX(BV68+BV69-BV71+BV72,0),0)</f>
        <v>0</v>
      </c>
      <c r="BW73" s="175">
        <f>IF(BW$3&lt;=Inputs!$C$15*12,MAX(BW68+BW69-BW71+BW72,0),0)</f>
        <v>0</v>
      </c>
      <c r="BX73" s="175">
        <f>IF(BX$3&lt;=Inputs!$C$15*12,MAX(BX68+BX69-BX71+BX72,0),0)</f>
        <v>0</v>
      </c>
      <c r="BY73" s="175">
        <f>IF(BY$3&lt;=Inputs!$C$15*12,MAX(BY68+BY69-BY71+BY72,0),0)</f>
        <v>0</v>
      </c>
      <c r="BZ73" s="175">
        <f>IF(BZ$3&lt;=Inputs!$C$15*12,MAX(BZ68+BZ69-BZ71+BZ72,0),0)</f>
        <v>0</v>
      </c>
      <c r="CA73" s="175">
        <f>IF(CA$3&lt;=Inputs!$C$15*12,MAX(CA68+CA69-CA71+CA72,0),0)</f>
        <v>0</v>
      </c>
      <c r="CB73" s="175">
        <f>IF(CB$3&lt;=Inputs!$C$15*12,MAX(CB68+CB69-CB71+CB72,0),0)</f>
        <v>0</v>
      </c>
      <c r="CC73" s="175">
        <f>IF(CC$3&lt;=Inputs!$C$15*12,MAX(CC68+CC69-CC71+CC72,0),0)</f>
        <v>0</v>
      </c>
      <c r="CD73" s="175">
        <f>IF(CD$3&lt;=Inputs!$C$15*12,MAX(CD68+CD69-CD71+CD72,0),0)</f>
        <v>0</v>
      </c>
      <c r="CE73" s="175">
        <f>IF(CE$3&lt;=Inputs!$C$15*12,MAX(CE68+CE69-CE71+CE72,0),0)</f>
        <v>0</v>
      </c>
      <c r="CF73" s="175">
        <f>IF(CF$3&lt;=Inputs!$C$15*12,MAX(CF68+CF69-CF71+CF72,0),0)</f>
        <v>0</v>
      </c>
      <c r="CG73" s="175">
        <f>IF(CG$3&lt;=Inputs!$C$15*12,MAX(CG68+CG69-CG71+CG72,0),0)</f>
        <v>0</v>
      </c>
      <c r="CH73" s="175">
        <f>IF(CH$3&lt;=Inputs!$C$15*12,MAX(CH68+CH69-CH71+CH72,0),0)</f>
        <v>0</v>
      </c>
      <c r="CI73" s="175">
        <f>IF(CI$3&lt;=Inputs!$C$15*12,MAX(CI68+CI69-CI71+CI72,0),0)</f>
        <v>0</v>
      </c>
      <c r="CJ73" s="175">
        <f>IF(CJ$3&lt;=Inputs!$C$15*12,MAX(CJ68+CJ69-CJ71+CJ72,0),0)</f>
        <v>0</v>
      </c>
      <c r="CK73" s="175">
        <f>IF(CK$3&lt;=Inputs!$C$15*12,MAX(CK68+CK69-CK71+CK72,0),0)</f>
        <v>0</v>
      </c>
      <c r="CL73" s="175">
        <f>IF(CL$3&lt;=Inputs!$C$15*12,MAX(CL68+CL69-CL71+CL72,0),0)</f>
        <v>0</v>
      </c>
      <c r="CM73" s="175">
        <f>IF(CM$3&lt;=Inputs!$C$15*12,MAX(CM68+CM69-CM71+CM72,0),0)</f>
        <v>0</v>
      </c>
      <c r="CN73" s="175">
        <f>IF(CN$3&lt;=Inputs!$C$15*12,MAX(CN68+CN69-CN71+CN72,0),0)</f>
        <v>0</v>
      </c>
      <c r="CO73" s="175">
        <f>IF(CO$3&lt;=Inputs!$C$15*12,MAX(CO68+CO69-CO71+CO72,0),0)</f>
        <v>0</v>
      </c>
      <c r="CP73" s="175">
        <f>IF(CP$3&lt;=Inputs!$C$15*12,MAX(CP68+CP69-CP71+CP72,0),0)</f>
        <v>0</v>
      </c>
      <c r="CQ73" s="175">
        <f>IF(CQ$3&lt;=Inputs!$C$15*12,MAX(CQ68+CQ69-CQ71+CQ72,0),0)</f>
        <v>0</v>
      </c>
      <c r="CR73" s="175">
        <f>IF(CR$3&lt;=Inputs!$C$15*12,MAX(CR68+CR69-CR71+CR72,0),0)</f>
        <v>0</v>
      </c>
      <c r="CS73" s="175">
        <f>IF(CS$3&lt;=Inputs!$C$15*12,MAX(CS68+CS69-CS71+CS72,0),0)</f>
        <v>0</v>
      </c>
      <c r="CT73" s="175">
        <f>IF(CT$3&lt;=Inputs!$C$15*12,MAX(CT68+CT69-CT71+CT72,0),0)</f>
        <v>0</v>
      </c>
      <c r="CU73" s="175">
        <f>IF(CU$3&lt;=Inputs!$C$15*12,MAX(CU68+CU69-CU71+CU72,0),0)</f>
        <v>0</v>
      </c>
      <c r="CV73" s="175">
        <f>IF(CV$3&lt;=Inputs!$C$15*12,MAX(CV68+CV69-CV71+CV72,0),0)</f>
        <v>0</v>
      </c>
      <c r="CW73" s="175">
        <f>IF(CW$3&lt;=Inputs!$C$15*12,MAX(CW68+CW69-CW71+CW72,0),0)</f>
        <v>0</v>
      </c>
      <c r="CX73" s="175">
        <f>IF(CX$3&lt;=Inputs!$C$15*12,MAX(CX68+CX69-CX71+CX72,0),0)</f>
        <v>0</v>
      </c>
      <c r="CY73" s="175">
        <f>IF(CY$3&lt;=Inputs!$C$15*12,MAX(CY68+CY69-CY71+CY72,0),0)</f>
        <v>0</v>
      </c>
      <c r="CZ73" s="175">
        <f>IF(CZ$3&lt;=Inputs!$C$15*12,MAX(CZ68+CZ69-CZ71+CZ72,0),0)</f>
        <v>0</v>
      </c>
      <c r="DA73" s="175">
        <f>IF(DA$3&lt;=Inputs!$C$15*12,MAX(DA68+DA69-DA71+DA72,0),0)</f>
        <v>0</v>
      </c>
      <c r="DB73" s="175">
        <f>IF(DB$3&lt;=Inputs!$C$15*12,MAX(DB68+DB69-DB71+DB72,0),0)</f>
        <v>0</v>
      </c>
      <c r="DC73" s="175">
        <f>IF(DC$3&lt;=Inputs!$C$15*12,MAX(DC68+DC69-DC71+DC72,0),0)</f>
        <v>0</v>
      </c>
      <c r="DD73" s="175">
        <f>IF(DD$3&lt;=Inputs!$C$15*12,MAX(DD68+DD69-DD71+DD72,0),0)</f>
        <v>0</v>
      </c>
      <c r="DE73" s="175">
        <f>IF(DE$3&lt;=Inputs!$C$15*12,MAX(DE68+DE69-DE71+DE72,0),0)</f>
        <v>0</v>
      </c>
      <c r="DF73" s="175">
        <f>IF(DF$3&lt;=Inputs!$C$15*12,MAX(DF68+DF69-DF71+DF72,0),0)</f>
        <v>0</v>
      </c>
      <c r="DG73" s="175">
        <f>IF(DG$3&lt;=Inputs!$C$15*12,MAX(DG68+DG69-DG71+DG72,0),0)</f>
        <v>0</v>
      </c>
      <c r="DH73" s="175">
        <f>IF(DH$3&lt;=Inputs!$C$15*12,MAX(DH68+DH69-DH71+DH72,0),0)</f>
        <v>0</v>
      </c>
      <c r="DI73" s="175">
        <f>IF(DI$3&lt;=Inputs!$C$15*12,MAX(DI68+DI69-DI71+DI72,0),0)</f>
        <v>0</v>
      </c>
      <c r="DJ73" s="175">
        <f>IF(DJ$3&lt;=Inputs!$C$15*12,MAX(DJ68+DJ69-DJ71+DJ72,0),0)</f>
        <v>0</v>
      </c>
      <c r="DK73" s="175">
        <f>IF(DK$3&lt;=Inputs!$C$15*12,MAX(DK68+DK69-DK71+DK72,0),0)</f>
        <v>0</v>
      </c>
      <c r="DL73" s="175">
        <f>IF(DL$3&lt;=Inputs!$C$15*12,MAX(DL68+DL69-DL71+DL72,0),0)</f>
        <v>0</v>
      </c>
      <c r="DM73" s="175">
        <f>IF(DM$3&lt;=Inputs!$C$15*12,MAX(DM68+DM69-DM71+DM72,0),0)</f>
        <v>0</v>
      </c>
      <c r="DN73" s="175">
        <f>IF(DN$3&lt;=Inputs!$C$15*12,MAX(DN68+DN69-DN71+DN72,0),0)</f>
        <v>0</v>
      </c>
      <c r="DO73" s="175">
        <f>IF(DO$3&lt;=Inputs!$C$15*12,MAX(DO68+DO69-DO71+DO72,0),0)</f>
        <v>0</v>
      </c>
      <c r="DP73" s="175">
        <f>IF(DP$3&lt;=Inputs!$C$15*12,MAX(DP68+DP69-DP71+DP72,0),0)</f>
        <v>0</v>
      </c>
      <c r="DQ73" s="175">
        <f>IF(DQ$3&lt;=Inputs!$C$15*12,MAX(DQ68+DQ69-DQ71+DQ72,0),0)</f>
        <v>0</v>
      </c>
      <c r="DR73" s="175">
        <f>IF(DR$3&lt;=Inputs!$C$15*12,MAX(DR68+DR69-DR71+DR72,0),0)</f>
        <v>0</v>
      </c>
      <c r="DS73" s="54"/>
    </row>
    <row r="74" ht="15.0" customHeight="1">
      <c r="A74" s="54"/>
      <c r="B74" s="56" t="s">
        <v>332</v>
      </c>
      <c r="C74" s="153">
        <f>IF(C$3&lt;=Inputs!$C$15*12,C70-C71+C72,0)</f>
        <v>0</v>
      </c>
      <c r="D74" s="153">
        <f>IF(D$3&lt;=Inputs!$C$15*12,D70-D71+D72,0)</f>
        <v>-4384.425311</v>
      </c>
      <c r="E74" s="153">
        <f>IF(E$3&lt;=Inputs!$C$15*12,E70-E71+E72,0)</f>
        <v>-4384.425311</v>
      </c>
      <c r="F74" s="153">
        <f>IF(F$3&lt;=Inputs!$C$15*12,F70-F71+F72,0)</f>
        <v>-4384.425311</v>
      </c>
      <c r="G74" s="153">
        <f>IF(G$3&lt;=Inputs!$C$15*12,G70-G71+G72,0)</f>
        <v>-4384.425311</v>
      </c>
      <c r="H74" s="153">
        <f>IF(H$3&lt;=Inputs!$C$15*12,H70-H71+H72,0)</f>
        <v>-4384.425311</v>
      </c>
      <c r="I74" s="153">
        <f>IF(I$3&lt;=Inputs!$C$15*12,I70-I71+I72,0)</f>
        <v>-4384.425311</v>
      </c>
      <c r="J74" s="153">
        <f>IF(J$3&lt;=Inputs!$C$15*12,J70-J71+J72,0)</f>
        <v>-4384.425311</v>
      </c>
      <c r="K74" s="153">
        <f>IF(K$3&lt;=Inputs!$C$15*12,K70-K71+K72,0)</f>
        <v>-4384.425311</v>
      </c>
      <c r="L74" s="153">
        <f>IF(L$3&lt;=Inputs!$C$15*12,L70-L71+L72,0)</f>
        <v>-4384.425311</v>
      </c>
      <c r="M74" s="153">
        <f>IF(M$3&lt;=Inputs!$C$15*12,M70-M71+M72,0)</f>
        <v>-4384.425311</v>
      </c>
      <c r="N74" s="153">
        <f>IF(N$3&lt;=Inputs!$C$15*12,N70-N71+N72,0)</f>
        <v>-4384.425311</v>
      </c>
      <c r="O74" s="153">
        <f>IF(O$3&lt;=Inputs!$C$15*12,O70-O71+O72,0)</f>
        <v>-4384.425311</v>
      </c>
      <c r="P74" s="153">
        <f>IF(P$3&lt;=Inputs!$C$15*12,P70-P71+P72,0)</f>
        <v>-4384.425311</v>
      </c>
      <c r="Q74" s="153">
        <f>IF(Q$3&lt;=Inputs!$C$15*12,Q70-Q71+Q72,0)</f>
        <v>-4384.425311</v>
      </c>
      <c r="R74" s="153">
        <f>IF(R$3&lt;=Inputs!$C$15*12,R70-R71+R72,0)</f>
        <v>-4384.425311</v>
      </c>
      <c r="S74" s="153">
        <f>IF(S$3&lt;=Inputs!$C$15*12,S70-S71+S72,0)</f>
        <v>-4384.425311</v>
      </c>
      <c r="T74" s="153">
        <f>IF(T$3&lt;=Inputs!$C$15*12,T70-T71+T72,0)</f>
        <v>-4384.425311</v>
      </c>
      <c r="U74" s="153">
        <f>IF(U$3&lt;=Inputs!$C$15*12,U70-U71+U72,0)</f>
        <v>-4384.425311</v>
      </c>
      <c r="V74" s="153">
        <f>IF(V$3&lt;=Inputs!$C$15*12,V70-V71+V72,0)</f>
        <v>-4384.425311</v>
      </c>
      <c r="W74" s="153">
        <f>IF(W$3&lt;=Inputs!$C$15*12,W70-W71+W72,0)</f>
        <v>-4384.425311</v>
      </c>
      <c r="X74" s="153">
        <f>IF(X$3&lt;=Inputs!$C$15*12,X70-X71+X72,0)</f>
        <v>-4384.425311</v>
      </c>
      <c r="Y74" s="153">
        <f>IF(Y$3&lt;=Inputs!$C$15*12,Y70-Y71+Y72,0)</f>
        <v>-4384.425311</v>
      </c>
      <c r="Z74" s="153">
        <f>IF(Z$3&lt;=Inputs!$C$15*12,Z70-Z71+Z72,0)</f>
        <v>-4384.425311</v>
      </c>
      <c r="AA74" s="153">
        <f>IF(AA$3&lt;=Inputs!$C$15*12,AA70-AA71+AA72,0)</f>
        <v>-4384.425311</v>
      </c>
      <c r="AB74" s="153">
        <f>IF(AB$3&lt;=Inputs!$C$15*12,AB70-AB71+AB72,0)</f>
        <v>-4384.425311</v>
      </c>
      <c r="AC74" s="153">
        <f>IF(AC$3&lt;=Inputs!$C$15*12,AC70-AC71+AC72,0)</f>
        <v>-4384.425311</v>
      </c>
      <c r="AD74" s="153">
        <f>IF(AD$3&lt;=Inputs!$C$15*12,AD70-AD71+AD72,0)</f>
        <v>-4384.425311</v>
      </c>
      <c r="AE74" s="153">
        <f>IF(AE$3&lt;=Inputs!$C$15*12,AE70-AE71+AE72,0)</f>
        <v>-4384.425311</v>
      </c>
      <c r="AF74" s="153">
        <f>IF(AF$3&lt;=Inputs!$C$15*12,AF70-AF71+AF72,0)</f>
        <v>-4384.425311</v>
      </c>
      <c r="AG74" s="153">
        <f>IF(AG$3&lt;=Inputs!$C$15*12,AG70-AG71+AG72,0)</f>
        <v>-4384.425311</v>
      </c>
      <c r="AH74" s="153">
        <f>IF(AH$3&lt;=Inputs!$C$15*12,AH70-AH71+AH72,0)</f>
        <v>-4384.425311</v>
      </c>
      <c r="AI74" s="153">
        <f>IF(AI$3&lt;=Inputs!$C$15*12,AI70-AI71+AI72,0)</f>
        <v>-4384.425311</v>
      </c>
      <c r="AJ74" s="153">
        <f>IF(AJ$3&lt;=Inputs!$C$15*12,AJ70-AJ71+AJ72,0)</f>
        <v>-4384.425311</v>
      </c>
      <c r="AK74" s="153">
        <f>IF(AK$3&lt;=Inputs!$C$15*12,AK70-AK71+AK72,0)</f>
        <v>-4384.425311</v>
      </c>
      <c r="AL74" s="153">
        <f>IF(AL$3&lt;=Inputs!$C$15*12,AL70-AL71+AL72,0)</f>
        <v>-4384.425311</v>
      </c>
      <c r="AM74" s="153">
        <f>IF(AM$3&lt;=Inputs!$C$15*12,AM70-AM71+AM72,0)</f>
        <v>-4384.425311</v>
      </c>
      <c r="AN74" s="153">
        <f>IF(AN$3&lt;=Inputs!$C$15*12,AN70-AN71+AN72,0)</f>
        <v>-4384.425311</v>
      </c>
      <c r="AO74" s="153">
        <f>IF(AO$3&lt;=Inputs!$C$15*12,AO70-AO71+AO72,0)</f>
        <v>-4384.425311</v>
      </c>
      <c r="AP74" s="153">
        <f>IF(AP$3&lt;=Inputs!$C$15*12,AP70-AP71+AP72,0)</f>
        <v>-4384.425311</v>
      </c>
      <c r="AQ74" s="153">
        <f>IF(AQ$3&lt;=Inputs!$C$15*12,AQ70-AQ71+AQ72,0)</f>
        <v>-4384.425311</v>
      </c>
      <c r="AR74" s="153">
        <f>IF(AR$3&lt;=Inputs!$C$15*12,AR70-AR71+AR72,0)</f>
        <v>-4384.425311</v>
      </c>
      <c r="AS74" s="153">
        <f>IF(AS$3&lt;=Inputs!$C$15*12,AS70-AS71+AS72,0)</f>
        <v>-4384.425311</v>
      </c>
      <c r="AT74" s="153">
        <f>IF(AT$3&lt;=Inputs!$C$15*12,AT70-AT71+AT72,0)</f>
        <v>-4384.425311</v>
      </c>
      <c r="AU74" s="153">
        <f>IF(AU$3&lt;=Inputs!$C$15*12,AU70-AU71+AU72,0)</f>
        <v>-4384.425311</v>
      </c>
      <c r="AV74" s="153">
        <f>IF(AV$3&lt;=Inputs!$C$15*12,AV70-AV71+AV72,0)</f>
        <v>-4384.425311</v>
      </c>
      <c r="AW74" s="153">
        <f>IF(AW$3&lt;=Inputs!$C$15*12,AW70-AW71+AW72,0)</f>
        <v>-4384.425311</v>
      </c>
      <c r="AX74" s="153">
        <f>IF(AX$3&lt;=Inputs!$C$15*12,AX70-AX71+AX72,0)</f>
        <v>-4384.425311</v>
      </c>
      <c r="AY74" s="153">
        <f>IF(AY$3&lt;=Inputs!$C$15*12,AY70-AY71+AY72,0)</f>
        <v>-4384.425311</v>
      </c>
      <c r="AZ74" s="153">
        <f>IF(AZ$3&lt;=Inputs!$C$15*12,AZ70-AZ71+AZ72,0)</f>
        <v>-4384.425311</v>
      </c>
      <c r="BA74" s="153">
        <f>IF(BA$3&lt;=Inputs!$C$15*12,BA70-BA71+BA72,0)</f>
        <v>-4384.425311</v>
      </c>
      <c r="BB74" s="153">
        <f>IF(BB$3&lt;=Inputs!$C$15*12,BB70-BB71+BB72,0)</f>
        <v>-4384.425311</v>
      </c>
      <c r="BC74" s="153">
        <f>IF(BC$3&lt;=Inputs!$C$15*12,BC70-BC71+BC72,0)</f>
        <v>-4384.425311</v>
      </c>
      <c r="BD74" s="153">
        <f>IF(BD$3&lt;=Inputs!$C$15*12,BD70-BD71+BD72,0)</f>
        <v>-4384.425311</v>
      </c>
      <c r="BE74" s="153">
        <f>IF(BE$3&lt;=Inputs!$C$15*12,BE70-BE71+BE72,0)</f>
        <v>-4384.425311</v>
      </c>
      <c r="BF74" s="153">
        <f>IF(BF$3&lt;=Inputs!$C$15*12,BF70-BF71+BF72,0)</f>
        <v>-4384.425311</v>
      </c>
      <c r="BG74" s="153">
        <f>IF(BG$3&lt;=Inputs!$C$15*12,BG70-BG71+BG72,0)</f>
        <v>-4384.425311</v>
      </c>
      <c r="BH74" s="153">
        <f>IF(BH$3&lt;=Inputs!$C$15*12,BH70-BH71+BH72,0)</f>
        <v>-4384.425311</v>
      </c>
      <c r="BI74" s="153">
        <f>IF(BI$3&lt;=Inputs!$C$15*12,BI70-BI71+BI72,0)</f>
        <v>-4384.425311</v>
      </c>
      <c r="BJ74" s="153">
        <f>IF(BJ$3&lt;=Inputs!$C$15*12,BJ70-BJ71+BJ72,0)</f>
        <v>-670345.431</v>
      </c>
      <c r="BK74" s="153">
        <f>IF(BK$3&lt;=Inputs!$C$15*12,BK70-BK71+BK72,0)</f>
        <v>0</v>
      </c>
      <c r="BL74" s="153">
        <f>IF(BL$3&lt;=Inputs!$C$15*12,BL70-BL71+BL72,0)</f>
        <v>0</v>
      </c>
      <c r="BM74" s="153">
        <f>IF(BM$3&lt;=Inputs!$C$15*12,BM70-BM71+BM72,0)</f>
        <v>0</v>
      </c>
      <c r="BN74" s="153">
        <f>IF(BN$3&lt;=Inputs!$C$15*12,BN70-BN71+BN72,0)</f>
        <v>0</v>
      </c>
      <c r="BO74" s="153">
        <f>IF(BO$3&lt;=Inputs!$C$15*12,BO70-BO71+BO72,0)</f>
        <v>0</v>
      </c>
      <c r="BP74" s="153">
        <f>IF(BP$3&lt;=Inputs!$C$15*12,BP70-BP71+BP72,0)</f>
        <v>0</v>
      </c>
      <c r="BQ74" s="153">
        <f>IF(BQ$3&lt;=Inputs!$C$15*12,BQ70-BQ71+BQ72,0)</f>
        <v>0</v>
      </c>
      <c r="BR74" s="153">
        <f>IF(BR$3&lt;=Inputs!$C$15*12,BR70-BR71+BR72,0)</f>
        <v>0</v>
      </c>
      <c r="BS74" s="153">
        <f>IF(BS$3&lt;=Inputs!$C$15*12,BS70-BS71+BS72,0)</f>
        <v>0</v>
      </c>
      <c r="BT74" s="153">
        <f>IF(BT$3&lt;=Inputs!$C$15*12,BT70-BT71+BT72,0)</f>
        <v>0</v>
      </c>
      <c r="BU74" s="153">
        <f>IF(BU$3&lt;=Inputs!$C$15*12,BU70-BU71+BU72,0)</f>
        <v>0</v>
      </c>
      <c r="BV74" s="153">
        <f>IF(BV$3&lt;=Inputs!$C$15*12,BV70-BV71+BV72,0)</f>
        <v>0</v>
      </c>
      <c r="BW74" s="153">
        <f>IF(BW$3&lt;=Inputs!$C$15*12,BW70-BW71+BW72,0)</f>
        <v>0</v>
      </c>
      <c r="BX74" s="153">
        <f>IF(BX$3&lt;=Inputs!$C$15*12,BX70-BX71+BX72,0)</f>
        <v>0</v>
      </c>
      <c r="BY74" s="153">
        <f>IF(BY$3&lt;=Inputs!$C$15*12,BY70-BY71+BY72,0)</f>
        <v>0</v>
      </c>
      <c r="BZ74" s="153">
        <f>IF(BZ$3&lt;=Inputs!$C$15*12,BZ70-BZ71+BZ72,0)</f>
        <v>0</v>
      </c>
      <c r="CA74" s="153">
        <f>IF(CA$3&lt;=Inputs!$C$15*12,CA70-CA71+CA72,0)</f>
        <v>0</v>
      </c>
      <c r="CB74" s="153">
        <f>IF(CB$3&lt;=Inputs!$C$15*12,CB70-CB71+CB72,0)</f>
        <v>0</v>
      </c>
      <c r="CC74" s="153">
        <f>IF(CC$3&lt;=Inputs!$C$15*12,CC70-CC71+CC72,0)</f>
        <v>0</v>
      </c>
      <c r="CD74" s="153">
        <f>IF(CD$3&lt;=Inputs!$C$15*12,CD70-CD71+CD72,0)</f>
        <v>0</v>
      </c>
      <c r="CE74" s="153">
        <f>IF(CE$3&lt;=Inputs!$C$15*12,CE70-CE71+CE72,0)</f>
        <v>0</v>
      </c>
      <c r="CF74" s="153">
        <f>IF(CF$3&lt;=Inputs!$C$15*12,CF70-CF71+CF72,0)</f>
        <v>0</v>
      </c>
      <c r="CG74" s="153">
        <f>IF(CG$3&lt;=Inputs!$C$15*12,CG70-CG71+CG72,0)</f>
        <v>0</v>
      </c>
      <c r="CH74" s="153">
        <f>IF(CH$3&lt;=Inputs!$C$15*12,CH70-CH71+CH72,0)</f>
        <v>0</v>
      </c>
      <c r="CI74" s="153">
        <f>IF(CI$3&lt;=Inputs!$C$15*12,CI70-CI71+CI72,0)</f>
        <v>0</v>
      </c>
      <c r="CJ74" s="153">
        <f>IF(CJ$3&lt;=Inputs!$C$15*12,CJ70-CJ71+CJ72,0)</f>
        <v>0</v>
      </c>
      <c r="CK74" s="153">
        <f>IF(CK$3&lt;=Inputs!$C$15*12,CK70-CK71+CK72,0)</f>
        <v>0</v>
      </c>
      <c r="CL74" s="153">
        <f>IF(CL$3&lt;=Inputs!$C$15*12,CL70-CL71+CL72,0)</f>
        <v>0</v>
      </c>
      <c r="CM74" s="153">
        <f>IF(CM$3&lt;=Inputs!$C$15*12,CM70-CM71+CM72,0)</f>
        <v>0</v>
      </c>
      <c r="CN74" s="153">
        <f>IF(CN$3&lt;=Inputs!$C$15*12,CN70-CN71+CN72,0)</f>
        <v>0</v>
      </c>
      <c r="CO74" s="153">
        <f>IF(CO$3&lt;=Inputs!$C$15*12,CO70-CO71+CO72,0)</f>
        <v>0</v>
      </c>
      <c r="CP74" s="153">
        <f>IF(CP$3&lt;=Inputs!$C$15*12,CP70-CP71+CP72,0)</f>
        <v>0</v>
      </c>
      <c r="CQ74" s="153">
        <f>IF(CQ$3&lt;=Inputs!$C$15*12,CQ70-CQ71+CQ72,0)</f>
        <v>0</v>
      </c>
      <c r="CR74" s="153">
        <f>IF(CR$3&lt;=Inputs!$C$15*12,CR70-CR71+CR72,0)</f>
        <v>0</v>
      </c>
      <c r="CS74" s="153">
        <f>IF(CS$3&lt;=Inputs!$C$15*12,CS70-CS71+CS72,0)</f>
        <v>0</v>
      </c>
      <c r="CT74" s="153">
        <f>IF(CT$3&lt;=Inputs!$C$15*12,CT70-CT71+CT72,0)</f>
        <v>0</v>
      </c>
      <c r="CU74" s="153">
        <f>IF(CU$3&lt;=Inputs!$C$15*12,CU70-CU71+CU72,0)</f>
        <v>0</v>
      </c>
      <c r="CV74" s="153">
        <f>IF(CV$3&lt;=Inputs!$C$15*12,CV70-CV71+CV72,0)</f>
        <v>0</v>
      </c>
      <c r="CW74" s="153">
        <f>IF(CW$3&lt;=Inputs!$C$15*12,CW70-CW71+CW72,0)</f>
        <v>0</v>
      </c>
      <c r="CX74" s="153">
        <f>IF(CX$3&lt;=Inputs!$C$15*12,CX70-CX71+CX72,0)</f>
        <v>0</v>
      </c>
      <c r="CY74" s="153">
        <f>IF(CY$3&lt;=Inputs!$C$15*12,CY70-CY71+CY72,0)</f>
        <v>0</v>
      </c>
      <c r="CZ74" s="153">
        <f>IF(CZ$3&lt;=Inputs!$C$15*12,CZ70-CZ71+CZ72,0)</f>
        <v>0</v>
      </c>
      <c r="DA74" s="153">
        <f>IF(DA$3&lt;=Inputs!$C$15*12,DA70-DA71+DA72,0)</f>
        <v>0</v>
      </c>
      <c r="DB74" s="153">
        <f>IF(DB$3&lt;=Inputs!$C$15*12,DB70-DB71+DB72,0)</f>
        <v>0</v>
      </c>
      <c r="DC74" s="153">
        <f>IF(DC$3&lt;=Inputs!$C$15*12,DC70-DC71+DC72,0)</f>
        <v>0</v>
      </c>
      <c r="DD74" s="153">
        <f>IF(DD$3&lt;=Inputs!$C$15*12,DD70-DD71+DD72,0)</f>
        <v>0</v>
      </c>
      <c r="DE74" s="153">
        <f>IF(DE$3&lt;=Inputs!$C$15*12,DE70-DE71+DE72,0)</f>
        <v>0</v>
      </c>
      <c r="DF74" s="153">
        <f>IF(DF$3&lt;=Inputs!$C$15*12,DF70-DF71+DF72,0)</f>
        <v>0</v>
      </c>
      <c r="DG74" s="153">
        <f>IF(DG$3&lt;=Inputs!$C$15*12,DG70-DG71+DG72,0)</f>
        <v>0</v>
      </c>
      <c r="DH74" s="153">
        <f>IF(DH$3&lt;=Inputs!$C$15*12,DH70-DH71+DH72,0)</f>
        <v>0</v>
      </c>
      <c r="DI74" s="153">
        <f>IF(DI$3&lt;=Inputs!$C$15*12,DI70-DI71+DI72,0)</f>
        <v>0</v>
      </c>
      <c r="DJ74" s="153">
        <f>IF(DJ$3&lt;=Inputs!$C$15*12,DJ70-DJ71+DJ72,0)</f>
        <v>0</v>
      </c>
      <c r="DK74" s="153">
        <f>IF(DK$3&lt;=Inputs!$C$15*12,DK70-DK71+DK72,0)</f>
        <v>0</v>
      </c>
      <c r="DL74" s="153">
        <f>IF(DL$3&lt;=Inputs!$C$15*12,DL70-DL71+DL72,0)</f>
        <v>0</v>
      </c>
      <c r="DM74" s="153">
        <f>IF(DM$3&lt;=Inputs!$C$15*12,DM70-DM71+DM72,0)</f>
        <v>0</v>
      </c>
      <c r="DN74" s="153">
        <f>IF(DN$3&lt;=Inputs!$C$15*12,DN70-DN71+DN72,0)</f>
        <v>0</v>
      </c>
      <c r="DO74" s="153">
        <f>IF(DO$3&lt;=Inputs!$C$15*12,DO70-DO71+DO72,0)</f>
        <v>0</v>
      </c>
      <c r="DP74" s="153">
        <f>IF(DP$3&lt;=Inputs!$C$15*12,DP70-DP71+DP72,0)</f>
        <v>0</v>
      </c>
      <c r="DQ74" s="153">
        <f>IF(DQ$3&lt;=Inputs!$C$15*12,DQ70-DQ71+DQ72,0)</f>
        <v>0</v>
      </c>
      <c r="DR74" s="153">
        <f>IF(DR$3&lt;=Inputs!$C$15*12,DR70-DR71+DR72,0)</f>
        <v>0</v>
      </c>
      <c r="DS74" s="54"/>
    </row>
    <row r="75" ht="15.75" customHeight="1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  <c r="DO75" s="54"/>
      <c r="DP75" s="54"/>
      <c r="DQ75" s="54"/>
      <c r="DR75" s="54"/>
      <c r="DS75" s="54"/>
    </row>
    <row r="76" ht="16.5" customHeight="1">
      <c r="A76" s="54"/>
      <c r="B76" s="55" t="s">
        <v>333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3"/>
      <c r="DS76" s="54"/>
    </row>
    <row r="77" ht="15.0" customHeight="1">
      <c r="A77" s="54"/>
      <c r="B77" s="56" t="s">
        <v>323</v>
      </c>
      <c r="C77" s="153">
        <f>IF(C$3&lt;=Inputs!$C$15*12,0,0)</f>
        <v>0</v>
      </c>
      <c r="D77" s="153">
        <f>IF(D$3&lt;=Inputs!$C$15*12,IF(D$3&lt;=Inputs!$C$16*12,0,C82),0)</f>
        <v>0</v>
      </c>
      <c r="E77" s="153">
        <f>IF(E$3&lt;=Inputs!$C$15*12,IF(E$3&lt;=Inputs!$C$16*12,0,D82),0)</f>
        <v>0</v>
      </c>
      <c r="F77" s="153">
        <f>IF(F$3&lt;=Inputs!$C$15*12,IF(F$3&lt;=Inputs!$C$16*12,0,E82),0)</f>
        <v>0</v>
      </c>
      <c r="G77" s="153">
        <f>IF(G$3&lt;=Inputs!$C$15*12,IF(G$3&lt;=Inputs!$C$16*12,0,F82),0)</f>
        <v>0</v>
      </c>
      <c r="H77" s="153">
        <f>IF(H$3&lt;=Inputs!$C$15*12,IF(H$3&lt;=Inputs!$C$16*12,0,G82),0)</f>
        <v>0</v>
      </c>
      <c r="I77" s="153">
        <f>IF(I$3&lt;=Inputs!$C$15*12,IF(I$3&lt;=Inputs!$C$16*12,0,H82),0)</f>
        <v>0</v>
      </c>
      <c r="J77" s="153">
        <f>IF(J$3&lt;=Inputs!$C$15*12,IF(J$3&lt;=Inputs!$C$16*12,0,I82),0)</f>
        <v>0</v>
      </c>
      <c r="K77" s="153">
        <f>IF(K$3&lt;=Inputs!$C$15*12,IF(K$3&lt;=Inputs!$C$16*12,0,J82),0)</f>
        <v>0</v>
      </c>
      <c r="L77" s="153">
        <f>IF(L$3&lt;=Inputs!$C$15*12,IF(L$3&lt;=Inputs!$C$16*12,0,K82),0)</f>
        <v>0</v>
      </c>
      <c r="M77" s="153">
        <f>IF(M$3&lt;=Inputs!$C$15*12,IF(M$3&lt;=Inputs!$C$16*12,0,L82),0)</f>
        <v>0</v>
      </c>
      <c r="N77" s="153">
        <f>IF(N$3&lt;=Inputs!$C$15*12,IF(N$3&lt;=Inputs!$C$16*12,0,M82),0)</f>
        <v>0</v>
      </c>
      <c r="O77" s="153">
        <f>IF(O$3&lt;=Inputs!$C$15*12,IF(O$3&lt;=Inputs!$C$16*12,0,N82),0)</f>
        <v>0</v>
      </c>
      <c r="P77" s="153">
        <f>IF(P$3&lt;=Inputs!$C$15*12,IF(P$3&lt;=Inputs!$C$16*12,0,O82),0)</f>
        <v>0</v>
      </c>
      <c r="Q77" s="153">
        <f>IF(Q$3&lt;=Inputs!$C$15*12,IF(Q$3&lt;=Inputs!$C$16*12,0,P82),0)</f>
        <v>0</v>
      </c>
      <c r="R77" s="153">
        <f>IF(R$3&lt;=Inputs!$C$15*12,IF(R$3&lt;=Inputs!$C$16*12,0,Q82),0)</f>
        <v>0</v>
      </c>
      <c r="S77" s="153">
        <f>IF(S$3&lt;=Inputs!$C$15*12,IF(S$3&lt;=Inputs!$C$16*12,0,R82),0)</f>
        <v>0</v>
      </c>
      <c r="T77" s="153">
        <f>IF(T$3&lt;=Inputs!$C$15*12,IF(T$3&lt;=Inputs!$C$16*12,0,S82),0)</f>
        <v>0</v>
      </c>
      <c r="U77" s="153">
        <f>IF(U$3&lt;=Inputs!$C$15*12,IF(U$3&lt;=Inputs!$C$16*12,0,T82),0)</f>
        <v>0</v>
      </c>
      <c r="V77" s="153">
        <f>IF(V$3&lt;=Inputs!$C$15*12,IF(V$3&lt;=Inputs!$C$16*12,0,U82),0)</f>
        <v>0</v>
      </c>
      <c r="W77" s="153">
        <f>IF(W$3&lt;=Inputs!$C$15*12,IF(W$3&lt;=Inputs!$C$16*12,0,V82),0)</f>
        <v>0</v>
      </c>
      <c r="X77" s="153">
        <f>IF(X$3&lt;=Inputs!$C$15*12,IF(X$3&lt;=Inputs!$C$16*12,0,W82),0)</f>
        <v>0</v>
      </c>
      <c r="Y77" s="153">
        <f>IF(Y$3&lt;=Inputs!$C$15*12,IF(Y$3&lt;=Inputs!$C$16*12,0,X82),0)</f>
        <v>0</v>
      </c>
      <c r="Z77" s="153">
        <f>IF(Z$3&lt;=Inputs!$C$15*12,IF(Z$3&lt;=Inputs!$C$16*12,0,Y82),0)</f>
        <v>0</v>
      </c>
      <c r="AA77" s="153">
        <f>IF(AA$3&lt;=Inputs!$C$15*12,IF(AA$3&lt;=Inputs!$C$16*12,0,Z82),0)</f>
        <v>0</v>
      </c>
      <c r="AB77" s="153">
        <f>IF(AB$3&lt;=Inputs!$C$15*12,IF(AB$3&lt;=Inputs!$C$16*12,0,AA82),0)</f>
        <v>0</v>
      </c>
      <c r="AC77" s="153">
        <f>IF(AC$3&lt;=Inputs!$C$15*12,IF(AC$3&lt;=Inputs!$C$16*12,0,AB82),0)</f>
        <v>0</v>
      </c>
      <c r="AD77" s="153">
        <f>IF(AD$3&lt;=Inputs!$C$15*12,IF(AD$3&lt;=Inputs!$C$16*12,0,AC82),0)</f>
        <v>0</v>
      </c>
      <c r="AE77" s="153">
        <f>IF(AE$3&lt;=Inputs!$C$15*12,IF(AE$3&lt;=Inputs!$C$16*12,0,AD82),0)</f>
        <v>0</v>
      </c>
      <c r="AF77" s="153">
        <f>IF(AF$3&lt;=Inputs!$C$15*12,IF(AF$3&lt;=Inputs!$C$16*12,0,AE82),0)</f>
        <v>0</v>
      </c>
      <c r="AG77" s="153">
        <f>IF(AG$3&lt;=Inputs!$C$15*12,IF(AG$3&lt;=Inputs!$C$16*12,0,AF82),0)</f>
        <v>0</v>
      </c>
      <c r="AH77" s="153">
        <f>IF(AH$3&lt;=Inputs!$C$15*12,IF(AH$3&lt;=Inputs!$C$16*12,0,AG82),0)</f>
        <v>0</v>
      </c>
      <c r="AI77" s="153">
        <f>IF(AI$3&lt;=Inputs!$C$15*12,IF(AI$3&lt;=Inputs!$C$16*12,0,AH82),0)</f>
        <v>0</v>
      </c>
      <c r="AJ77" s="153">
        <f>IF(AJ$3&lt;=Inputs!$C$15*12,IF(AJ$3&lt;=Inputs!$C$16*12,0,AI82),0)</f>
        <v>0</v>
      </c>
      <c r="AK77" s="153">
        <f>IF(AK$3&lt;=Inputs!$C$15*12,IF(AK$3&lt;=Inputs!$C$16*12,0,AJ82),0)</f>
        <v>0</v>
      </c>
      <c r="AL77" s="153">
        <f>IF(AL$3&lt;=Inputs!$C$15*12,IF(AL$3&lt;=Inputs!$C$16*12,0,AK82),0)</f>
        <v>0</v>
      </c>
      <c r="AM77" s="153">
        <f>IF(AM$3&lt;=Inputs!$C$15*12,IF(AM$3&lt;=Inputs!$C$16*12,0,AL82),0)</f>
        <v>0</v>
      </c>
      <c r="AN77" s="153">
        <f>IF(AN$3&lt;=Inputs!$C$15*12,IF(AN$3&lt;=Inputs!$C$16*12,0,AM82),0)</f>
        <v>0</v>
      </c>
      <c r="AO77" s="153">
        <f>IF(AO$3&lt;=Inputs!$C$15*12,IF(AO$3&lt;=Inputs!$C$16*12,0,AN82),0)</f>
        <v>0</v>
      </c>
      <c r="AP77" s="153">
        <f>IF(AP$3&lt;=Inputs!$C$15*12,IF(AP$3&lt;=Inputs!$C$16*12,0,AO82),0)</f>
        <v>0</v>
      </c>
      <c r="AQ77" s="153">
        <f>IF(AQ$3&lt;=Inputs!$C$15*12,IF(AQ$3&lt;=Inputs!$C$16*12,0,AP82),0)</f>
        <v>0</v>
      </c>
      <c r="AR77" s="153">
        <f>IF(AR$3&lt;=Inputs!$C$15*12,IF(AR$3&lt;=Inputs!$C$16*12,0,AQ82),0)</f>
        <v>0</v>
      </c>
      <c r="AS77" s="153">
        <f>IF(AS$3&lt;=Inputs!$C$15*12,IF(AS$3&lt;=Inputs!$C$16*12,0,AR82),0)</f>
        <v>0</v>
      </c>
      <c r="AT77" s="153">
        <f>IF(AT$3&lt;=Inputs!$C$15*12,IF(AT$3&lt;=Inputs!$C$16*12,0,AS82),0)</f>
        <v>0</v>
      </c>
      <c r="AU77" s="153">
        <f>IF(AU$3&lt;=Inputs!$C$15*12,IF(AU$3&lt;=Inputs!$C$16*12,0,AT82),0)</f>
        <v>0</v>
      </c>
      <c r="AV77" s="153">
        <f>IF(AV$3&lt;=Inputs!$C$15*12,IF(AV$3&lt;=Inputs!$C$16*12,0,AU82),0)</f>
        <v>0</v>
      </c>
      <c r="AW77" s="153">
        <f>IF(AW$3&lt;=Inputs!$C$15*12,IF(AW$3&lt;=Inputs!$C$16*12,0,AV82),0)</f>
        <v>0</v>
      </c>
      <c r="AX77" s="153">
        <f>IF(AX$3&lt;=Inputs!$C$15*12,IF(AX$3&lt;=Inputs!$C$16*12,0,AW82),0)</f>
        <v>0</v>
      </c>
      <c r="AY77" s="153">
        <f>IF(AY$3&lt;=Inputs!$C$15*12,IF(AY$3&lt;=Inputs!$C$16*12,0,AX82),0)</f>
        <v>0</v>
      </c>
      <c r="AZ77" s="153">
        <f>IF(AZ$3&lt;=Inputs!$C$15*12,IF(AZ$3&lt;=Inputs!$C$16*12,0,AY82),0)</f>
        <v>0</v>
      </c>
      <c r="BA77" s="153">
        <f>IF(BA$3&lt;=Inputs!$C$15*12,IF(BA$3&lt;=Inputs!$C$16*12,0,AZ82),0)</f>
        <v>0</v>
      </c>
      <c r="BB77" s="153">
        <f>IF(BB$3&lt;=Inputs!$C$15*12,IF(BB$3&lt;=Inputs!$C$16*12,0,BA82),0)</f>
        <v>0</v>
      </c>
      <c r="BC77" s="153">
        <f>IF(BC$3&lt;=Inputs!$C$15*12,IF(BC$3&lt;=Inputs!$C$16*12,0,BB82),0)</f>
        <v>0</v>
      </c>
      <c r="BD77" s="153">
        <f>IF(BD$3&lt;=Inputs!$C$15*12,IF(BD$3&lt;=Inputs!$C$16*12,0,BC82),0)</f>
        <v>0</v>
      </c>
      <c r="BE77" s="153">
        <f>IF(BE$3&lt;=Inputs!$C$15*12,IF(BE$3&lt;=Inputs!$C$16*12,0,BD82),0)</f>
        <v>0</v>
      </c>
      <c r="BF77" s="153">
        <f>IF(BF$3&lt;=Inputs!$C$15*12,IF(BF$3&lt;=Inputs!$C$16*12,0,BE82),0)</f>
        <v>0</v>
      </c>
      <c r="BG77" s="153">
        <f>IF(BG$3&lt;=Inputs!$C$15*12,IF(BG$3&lt;=Inputs!$C$16*12,0,BF82),0)</f>
        <v>0</v>
      </c>
      <c r="BH77" s="153">
        <f>IF(BH$3&lt;=Inputs!$C$15*12,IF(BH$3&lt;=Inputs!$C$16*12,0,BG82),0)</f>
        <v>0</v>
      </c>
      <c r="BI77" s="153">
        <f>IF(BI$3&lt;=Inputs!$C$15*12,IF(BI$3&lt;=Inputs!$C$16*12,0,BH82),0)</f>
        <v>0</v>
      </c>
      <c r="BJ77" s="153">
        <f>IF(BJ$3&lt;=Inputs!$C$15*12,IF(BJ$3&lt;=Inputs!$C$16*12,0,BI82),0)</f>
        <v>0</v>
      </c>
      <c r="BK77" s="153">
        <f>IF(BK$3&lt;=Inputs!$C$15*12,IF(BK$3&lt;=Inputs!$C$16*12,0,BJ82),0)</f>
        <v>0</v>
      </c>
      <c r="BL77" s="153">
        <f>IF(BL$3&lt;=Inputs!$C$15*12,IF(BL$3&lt;=Inputs!$C$16*12,0,BK82),0)</f>
        <v>0</v>
      </c>
      <c r="BM77" s="153">
        <f>IF(BM$3&lt;=Inputs!$C$15*12,IF(BM$3&lt;=Inputs!$C$16*12,0,BL82),0)</f>
        <v>0</v>
      </c>
      <c r="BN77" s="153">
        <f>IF(BN$3&lt;=Inputs!$C$15*12,IF(BN$3&lt;=Inputs!$C$16*12,0,BM82),0)</f>
        <v>0</v>
      </c>
      <c r="BO77" s="153">
        <f>IF(BO$3&lt;=Inputs!$C$15*12,IF(BO$3&lt;=Inputs!$C$16*12,0,BN82),0)</f>
        <v>0</v>
      </c>
      <c r="BP77" s="153">
        <f>IF(BP$3&lt;=Inputs!$C$15*12,IF(BP$3&lt;=Inputs!$C$16*12,0,BO82),0)</f>
        <v>0</v>
      </c>
      <c r="BQ77" s="153">
        <f>IF(BQ$3&lt;=Inputs!$C$15*12,IF(BQ$3&lt;=Inputs!$C$16*12,0,BP82),0)</f>
        <v>0</v>
      </c>
      <c r="BR77" s="153">
        <f>IF(BR$3&lt;=Inputs!$C$15*12,IF(BR$3&lt;=Inputs!$C$16*12,0,BQ82),0)</f>
        <v>0</v>
      </c>
      <c r="BS77" s="153">
        <f>IF(BS$3&lt;=Inputs!$C$15*12,IF(BS$3&lt;=Inputs!$C$16*12,0,BR82),0)</f>
        <v>0</v>
      </c>
      <c r="BT77" s="153">
        <f>IF(BT$3&lt;=Inputs!$C$15*12,IF(BT$3&lt;=Inputs!$C$16*12,0,BS82),0)</f>
        <v>0</v>
      </c>
      <c r="BU77" s="153">
        <f>IF(BU$3&lt;=Inputs!$C$15*12,IF(BU$3&lt;=Inputs!$C$16*12,0,BT82),0)</f>
        <v>0</v>
      </c>
      <c r="BV77" s="153">
        <f>IF(BV$3&lt;=Inputs!$C$15*12,IF(BV$3&lt;=Inputs!$C$16*12,0,BU82),0)</f>
        <v>0</v>
      </c>
      <c r="BW77" s="153">
        <f>IF(BW$3&lt;=Inputs!$C$15*12,IF(BW$3&lt;=Inputs!$C$16*12,0,BV82),0)</f>
        <v>0</v>
      </c>
      <c r="BX77" s="153">
        <f>IF(BX$3&lt;=Inputs!$C$15*12,IF(BX$3&lt;=Inputs!$C$16*12,0,BW82),0)</f>
        <v>0</v>
      </c>
      <c r="BY77" s="153">
        <f>IF(BY$3&lt;=Inputs!$C$15*12,IF(BY$3&lt;=Inputs!$C$16*12,0,BX82),0)</f>
        <v>0</v>
      </c>
      <c r="BZ77" s="153">
        <f>IF(BZ$3&lt;=Inputs!$C$15*12,IF(BZ$3&lt;=Inputs!$C$16*12,0,BY82),0)</f>
        <v>0</v>
      </c>
      <c r="CA77" s="153">
        <f>IF(CA$3&lt;=Inputs!$C$15*12,IF(CA$3&lt;=Inputs!$C$16*12,0,BZ82),0)</f>
        <v>0</v>
      </c>
      <c r="CB77" s="153">
        <f>IF(CB$3&lt;=Inputs!$C$15*12,IF(CB$3&lt;=Inputs!$C$16*12,0,CA82),0)</f>
        <v>0</v>
      </c>
      <c r="CC77" s="153">
        <f>IF(CC$3&lt;=Inputs!$C$15*12,IF(CC$3&lt;=Inputs!$C$16*12,0,CB82),0)</f>
        <v>0</v>
      </c>
      <c r="CD77" s="153">
        <f>IF(CD$3&lt;=Inputs!$C$15*12,IF(CD$3&lt;=Inputs!$C$16*12,0,CC82),0)</f>
        <v>0</v>
      </c>
      <c r="CE77" s="153">
        <f>IF(CE$3&lt;=Inputs!$C$15*12,IF(CE$3&lt;=Inputs!$C$16*12,0,CD82),0)</f>
        <v>0</v>
      </c>
      <c r="CF77" s="153">
        <f>IF(CF$3&lt;=Inputs!$C$15*12,IF(CF$3&lt;=Inputs!$C$16*12,0,CE82),0)</f>
        <v>0</v>
      </c>
      <c r="CG77" s="153">
        <f>IF(CG$3&lt;=Inputs!$C$15*12,IF(CG$3&lt;=Inputs!$C$16*12,0,CF82),0)</f>
        <v>0</v>
      </c>
      <c r="CH77" s="153">
        <f>IF(CH$3&lt;=Inputs!$C$15*12,IF(CH$3&lt;=Inputs!$C$16*12,0,CG82),0)</f>
        <v>0</v>
      </c>
      <c r="CI77" s="153">
        <f>IF(CI$3&lt;=Inputs!$C$15*12,IF(CI$3&lt;=Inputs!$C$16*12,0,CH82),0)</f>
        <v>0</v>
      </c>
      <c r="CJ77" s="153">
        <f>IF(CJ$3&lt;=Inputs!$C$15*12,IF(CJ$3&lt;=Inputs!$C$16*12,0,CI82),0)</f>
        <v>0</v>
      </c>
      <c r="CK77" s="153">
        <f>IF(CK$3&lt;=Inputs!$C$15*12,IF(CK$3&lt;=Inputs!$C$16*12,0,CJ82),0)</f>
        <v>0</v>
      </c>
      <c r="CL77" s="153">
        <f>IF(CL$3&lt;=Inputs!$C$15*12,IF(CL$3&lt;=Inputs!$C$16*12,0,CK82),0)</f>
        <v>0</v>
      </c>
      <c r="CM77" s="153">
        <f>IF(CM$3&lt;=Inputs!$C$15*12,IF(CM$3&lt;=Inputs!$C$16*12,0,CL82),0)</f>
        <v>0</v>
      </c>
      <c r="CN77" s="153">
        <f>IF(CN$3&lt;=Inputs!$C$15*12,IF(CN$3&lt;=Inputs!$C$16*12,0,CM82),0)</f>
        <v>0</v>
      </c>
      <c r="CO77" s="153">
        <f>IF(CO$3&lt;=Inputs!$C$15*12,IF(CO$3&lt;=Inputs!$C$16*12,0,CN82),0)</f>
        <v>0</v>
      </c>
      <c r="CP77" s="153">
        <f>IF(CP$3&lt;=Inputs!$C$15*12,IF(CP$3&lt;=Inputs!$C$16*12,0,CO82),0)</f>
        <v>0</v>
      </c>
      <c r="CQ77" s="153">
        <f>IF(CQ$3&lt;=Inputs!$C$15*12,IF(CQ$3&lt;=Inputs!$C$16*12,0,CP82),0)</f>
        <v>0</v>
      </c>
      <c r="CR77" s="153">
        <f>IF(CR$3&lt;=Inputs!$C$15*12,IF(CR$3&lt;=Inputs!$C$16*12,0,CQ82),0)</f>
        <v>0</v>
      </c>
      <c r="CS77" s="153">
        <f>IF(CS$3&lt;=Inputs!$C$15*12,IF(CS$3&lt;=Inputs!$C$16*12,0,CR82),0)</f>
        <v>0</v>
      </c>
      <c r="CT77" s="153">
        <f>IF(CT$3&lt;=Inputs!$C$15*12,IF(CT$3&lt;=Inputs!$C$16*12,0,CS82),0)</f>
        <v>0</v>
      </c>
      <c r="CU77" s="153">
        <f>IF(CU$3&lt;=Inputs!$C$15*12,IF(CU$3&lt;=Inputs!$C$16*12,0,CT82),0)</f>
        <v>0</v>
      </c>
      <c r="CV77" s="153">
        <f>IF(CV$3&lt;=Inputs!$C$15*12,IF(CV$3&lt;=Inputs!$C$16*12,0,CU82),0)</f>
        <v>0</v>
      </c>
      <c r="CW77" s="153">
        <f>IF(CW$3&lt;=Inputs!$C$15*12,IF(CW$3&lt;=Inputs!$C$16*12,0,CV82),0)</f>
        <v>0</v>
      </c>
      <c r="CX77" s="153">
        <f>IF(CX$3&lt;=Inputs!$C$15*12,IF(CX$3&lt;=Inputs!$C$16*12,0,CW82),0)</f>
        <v>0</v>
      </c>
      <c r="CY77" s="153">
        <f>IF(CY$3&lt;=Inputs!$C$15*12,IF(CY$3&lt;=Inputs!$C$16*12,0,CX82),0)</f>
        <v>0</v>
      </c>
      <c r="CZ77" s="153">
        <f>IF(CZ$3&lt;=Inputs!$C$15*12,IF(CZ$3&lt;=Inputs!$C$16*12,0,CY82),0)</f>
        <v>0</v>
      </c>
      <c r="DA77" s="153">
        <f>IF(DA$3&lt;=Inputs!$C$15*12,IF(DA$3&lt;=Inputs!$C$16*12,0,CZ82),0)</f>
        <v>0</v>
      </c>
      <c r="DB77" s="153">
        <f>IF(DB$3&lt;=Inputs!$C$15*12,IF(DB$3&lt;=Inputs!$C$16*12,0,DA82),0)</f>
        <v>0</v>
      </c>
      <c r="DC77" s="153">
        <f>IF(DC$3&lt;=Inputs!$C$15*12,IF(DC$3&lt;=Inputs!$C$16*12,0,DB82),0)</f>
        <v>0</v>
      </c>
      <c r="DD77" s="153">
        <f>IF(DD$3&lt;=Inputs!$C$15*12,IF(DD$3&lt;=Inputs!$C$16*12,0,DC82),0)</f>
        <v>0</v>
      </c>
      <c r="DE77" s="153">
        <f>IF(DE$3&lt;=Inputs!$C$15*12,IF(DE$3&lt;=Inputs!$C$16*12,0,DD82),0)</f>
        <v>0</v>
      </c>
      <c r="DF77" s="153">
        <f>IF(DF$3&lt;=Inputs!$C$15*12,IF(DF$3&lt;=Inputs!$C$16*12,0,DE82),0)</f>
        <v>0</v>
      </c>
      <c r="DG77" s="153">
        <f>IF(DG$3&lt;=Inputs!$C$15*12,IF(DG$3&lt;=Inputs!$C$16*12,0,DF82),0)</f>
        <v>0</v>
      </c>
      <c r="DH77" s="153">
        <f>IF(DH$3&lt;=Inputs!$C$15*12,IF(DH$3&lt;=Inputs!$C$16*12,0,DG82),0)</f>
        <v>0</v>
      </c>
      <c r="DI77" s="153">
        <f>IF(DI$3&lt;=Inputs!$C$15*12,IF(DI$3&lt;=Inputs!$C$16*12,0,DH82),0)</f>
        <v>0</v>
      </c>
      <c r="DJ77" s="153">
        <f>IF(DJ$3&lt;=Inputs!$C$15*12,IF(DJ$3&lt;=Inputs!$C$16*12,0,DI82),0)</f>
        <v>0</v>
      </c>
      <c r="DK77" s="153">
        <f>IF(DK$3&lt;=Inputs!$C$15*12,IF(DK$3&lt;=Inputs!$C$16*12,0,DJ82),0)</f>
        <v>0</v>
      </c>
      <c r="DL77" s="153">
        <f>IF(DL$3&lt;=Inputs!$C$15*12,IF(DL$3&lt;=Inputs!$C$16*12,0,DK82),0)</f>
        <v>0</v>
      </c>
      <c r="DM77" s="153">
        <f>IF(DM$3&lt;=Inputs!$C$15*12,IF(DM$3&lt;=Inputs!$C$16*12,0,DL82),0)</f>
        <v>0</v>
      </c>
      <c r="DN77" s="153">
        <f>IF(DN$3&lt;=Inputs!$C$15*12,IF(DN$3&lt;=Inputs!$C$16*12,0,DM82),0)</f>
        <v>0</v>
      </c>
      <c r="DO77" s="153">
        <f>IF(DO$3&lt;=Inputs!$C$15*12,IF(DO$3&lt;=Inputs!$C$16*12,0,DN82),0)</f>
        <v>0</v>
      </c>
      <c r="DP77" s="153">
        <f>IF(DP$3&lt;=Inputs!$C$15*12,IF(DP$3&lt;=Inputs!$C$16*12,0,DO82),0)</f>
        <v>0</v>
      </c>
      <c r="DQ77" s="153">
        <f>IF(DQ$3&lt;=Inputs!$C$15*12,IF(DQ$3&lt;=Inputs!$C$16*12,0,DP82),0)</f>
        <v>0</v>
      </c>
      <c r="DR77" s="153">
        <f>IF(DR$3&lt;=Inputs!$C$15*12,IF(DR$3&lt;=Inputs!$C$16*12,0,DQ82),0)</f>
        <v>0</v>
      </c>
      <c r="DS77" s="54"/>
    </row>
    <row r="78" ht="15.0" customHeight="1">
      <c r="A78" s="54"/>
      <c r="B78" s="56" t="s">
        <v>324</v>
      </c>
      <c r="C78" s="153">
        <f>IF(C$3&lt;=Inputs!$C$15*12,IF(C$3=Inputs!$C$16*12+1,Inputs!$C$84,0),0)</f>
        <v>0</v>
      </c>
      <c r="D78" s="153">
        <f>IF(D$3&lt;=Inputs!$C$15*12,IF(D$3=Inputs!$C$16*12+1,Inputs!$C$84,0),0)</f>
        <v>0</v>
      </c>
      <c r="E78" s="153">
        <f>IF(E$3&lt;=Inputs!$C$15*12,IF(E$3=Inputs!$C$16*12+1,Inputs!$C$84,0),0)</f>
        <v>0</v>
      </c>
      <c r="F78" s="153">
        <f>IF(F$3&lt;=Inputs!$C$15*12,IF(F$3=Inputs!$C$16*12+1,Inputs!$C$84,0),0)</f>
        <v>0</v>
      </c>
      <c r="G78" s="153">
        <f>IF(G$3&lt;=Inputs!$C$15*12,IF(G$3=Inputs!$C$16*12+1,Inputs!$C$84,0),0)</f>
        <v>0</v>
      </c>
      <c r="H78" s="153">
        <f>IF(H$3&lt;=Inputs!$C$15*12,IF(H$3=Inputs!$C$16*12+1,Inputs!$C$84,0),0)</f>
        <v>0</v>
      </c>
      <c r="I78" s="153">
        <f>IF(I$3&lt;=Inputs!$C$15*12,IF(I$3=Inputs!$C$16*12+1,Inputs!$C$84,0),0)</f>
        <v>0</v>
      </c>
      <c r="J78" s="153">
        <f>IF(J$3&lt;=Inputs!$C$15*12,IF(J$3=Inputs!$C$16*12+1,Inputs!$C$84,0),0)</f>
        <v>0</v>
      </c>
      <c r="K78" s="153">
        <f>IF(K$3&lt;=Inputs!$C$15*12,IF(K$3=Inputs!$C$16*12+1,Inputs!$C$84,0),0)</f>
        <v>0</v>
      </c>
      <c r="L78" s="153">
        <f>IF(L$3&lt;=Inputs!$C$15*12,IF(L$3=Inputs!$C$16*12+1,Inputs!$C$84,0),0)</f>
        <v>0</v>
      </c>
      <c r="M78" s="153">
        <f>IF(M$3&lt;=Inputs!$C$15*12,IF(M$3=Inputs!$C$16*12+1,Inputs!$C$84,0),0)</f>
        <v>0</v>
      </c>
      <c r="N78" s="153">
        <f>IF(N$3&lt;=Inputs!$C$15*12,IF(N$3=Inputs!$C$16*12+1,Inputs!$C$84,0),0)</f>
        <v>0</v>
      </c>
      <c r="O78" s="153">
        <f>IF(O$3&lt;=Inputs!$C$15*12,IF(O$3=Inputs!$C$16*12+1,Inputs!$C$84,0),0)</f>
        <v>0</v>
      </c>
      <c r="P78" s="153">
        <f>IF(P$3&lt;=Inputs!$C$15*12,IF(P$3=Inputs!$C$16*12+1,Inputs!$C$84,0),0)</f>
        <v>0</v>
      </c>
      <c r="Q78" s="153">
        <f>IF(Q$3&lt;=Inputs!$C$15*12,IF(Q$3=Inputs!$C$16*12+1,Inputs!$C$84,0),0)</f>
        <v>0</v>
      </c>
      <c r="R78" s="153">
        <f>IF(R$3&lt;=Inputs!$C$15*12,IF(R$3=Inputs!$C$16*12+1,Inputs!$C$84,0),0)</f>
        <v>0</v>
      </c>
      <c r="S78" s="153">
        <f>IF(S$3&lt;=Inputs!$C$15*12,IF(S$3=Inputs!$C$16*12+1,Inputs!$C$84,0),0)</f>
        <v>0</v>
      </c>
      <c r="T78" s="153">
        <f>IF(T$3&lt;=Inputs!$C$15*12,IF(T$3=Inputs!$C$16*12+1,Inputs!$C$84,0),0)</f>
        <v>0</v>
      </c>
      <c r="U78" s="153">
        <f>IF(U$3&lt;=Inputs!$C$15*12,IF(U$3=Inputs!$C$16*12+1,Inputs!$C$84,0),0)</f>
        <v>0</v>
      </c>
      <c r="V78" s="153">
        <f>IF(V$3&lt;=Inputs!$C$15*12,IF(V$3=Inputs!$C$16*12+1,Inputs!$C$84,0),0)</f>
        <v>0</v>
      </c>
      <c r="W78" s="153">
        <f>IF(W$3&lt;=Inputs!$C$15*12,IF(W$3=Inputs!$C$16*12+1,Inputs!$C$84,0),0)</f>
        <v>0</v>
      </c>
      <c r="X78" s="153">
        <f>IF(X$3&lt;=Inputs!$C$15*12,IF(X$3=Inputs!$C$16*12+1,Inputs!$C$84,0),0)</f>
        <v>0</v>
      </c>
      <c r="Y78" s="153">
        <f>IF(Y$3&lt;=Inputs!$C$15*12,IF(Y$3=Inputs!$C$16*12+1,Inputs!$C$84,0),0)</f>
        <v>0</v>
      </c>
      <c r="Z78" s="153">
        <f>IF(Z$3&lt;=Inputs!$C$15*12,IF(Z$3=Inputs!$C$16*12+1,Inputs!$C$84,0),0)</f>
        <v>0</v>
      </c>
      <c r="AA78" s="153">
        <f>IF(AA$3&lt;=Inputs!$C$15*12,IF(AA$3=Inputs!$C$16*12+1,Inputs!$C$84,0),0)</f>
        <v>0</v>
      </c>
      <c r="AB78" s="153">
        <f>IF(AB$3&lt;=Inputs!$C$15*12,IF(AB$3=Inputs!$C$16*12+1,Inputs!$C$84,0),0)</f>
        <v>0</v>
      </c>
      <c r="AC78" s="153">
        <f>IF(AC$3&lt;=Inputs!$C$15*12,IF(AC$3=Inputs!$C$16*12+1,Inputs!$C$84,0),0)</f>
        <v>0</v>
      </c>
      <c r="AD78" s="153">
        <f>IF(AD$3&lt;=Inputs!$C$15*12,IF(AD$3=Inputs!$C$16*12+1,Inputs!$C$84,0),0)</f>
        <v>0</v>
      </c>
      <c r="AE78" s="153">
        <f>IF(AE$3&lt;=Inputs!$C$15*12,IF(AE$3=Inputs!$C$16*12+1,Inputs!$C$84,0),0)</f>
        <v>0</v>
      </c>
      <c r="AF78" s="153">
        <f>IF(AF$3&lt;=Inputs!$C$15*12,IF(AF$3=Inputs!$C$16*12+1,Inputs!$C$84,0),0)</f>
        <v>0</v>
      </c>
      <c r="AG78" s="153">
        <f>IF(AG$3&lt;=Inputs!$C$15*12,IF(AG$3=Inputs!$C$16*12+1,Inputs!$C$84,0),0)</f>
        <v>0</v>
      </c>
      <c r="AH78" s="153">
        <f>IF(AH$3&lt;=Inputs!$C$15*12,IF(AH$3=Inputs!$C$16*12+1,Inputs!$C$84,0),0)</f>
        <v>0</v>
      </c>
      <c r="AI78" s="153">
        <f>IF(AI$3&lt;=Inputs!$C$15*12,IF(AI$3=Inputs!$C$16*12+1,Inputs!$C$84,0),0)</f>
        <v>0</v>
      </c>
      <c r="AJ78" s="153">
        <f>IF(AJ$3&lt;=Inputs!$C$15*12,IF(AJ$3=Inputs!$C$16*12+1,Inputs!$C$84,0),0)</f>
        <v>0</v>
      </c>
      <c r="AK78" s="153">
        <f>IF(AK$3&lt;=Inputs!$C$15*12,IF(AK$3=Inputs!$C$16*12+1,Inputs!$C$84,0),0)</f>
        <v>0</v>
      </c>
      <c r="AL78" s="153">
        <f>IF(AL$3&lt;=Inputs!$C$15*12,IF(AL$3=Inputs!$C$16*12+1,Inputs!$C$84,0),0)</f>
        <v>0</v>
      </c>
      <c r="AM78" s="153">
        <f>IF(AM$3&lt;=Inputs!$C$15*12,IF(AM$3=Inputs!$C$16*12+1,Inputs!$C$84,0),0)</f>
        <v>0</v>
      </c>
      <c r="AN78" s="153">
        <f>IF(AN$3&lt;=Inputs!$C$15*12,IF(AN$3=Inputs!$C$16*12+1,Inputs!$C$84,0),0)</f>
        <v>0</v>
      </c>
      <c r="AO78" s="153">
        <f>IF(AO$3&lt;=Inputs!$C$15*12,IF(AO$3=Inputs!$C$16*12+1,Inputs!$C$84,0),0)</f>
        <v>0</v>
      </c>
      <c r="AP78" s="153">
        <f>IF(AP$3&lt;=Inputs!$C$15*12,IF(AP$3=Inputs!$C$16*12+1,Inputs!$C$84,0),0)</f>
        <v>0</v>
      </c>
      <c r="AQ78" s="153">
        <f>IF(AQ$3&lt;=Inputs!$C$15*12,IF(AQ$3=Inputs!$C$16*12+1,Inputs!$C$84,0),0)</f>
        <v>0</v>
      </c>
      <c r="AR78" s="153">
        <f>IF(AR$3&lt;=Inputs!$C$15*12,IF(AR$3=Inputs!$C$16*12+1,Inputs!$C$84,0),0)</f>
        <v>0</v>
      </c>
      <c r="AS78" s="153">
        <f>IF(AS$3&lt;=Inputs!$C$15*12,IF(AS$3=Inputs!$C$16*12+1,Inputs!$C$84,0),0)</f>
        <v>0</v>
      </c>
      <c r="AT78" s="153">
        <f>IF(AT$3&lt;=Inputs!$C$15*12,IF(AT$3=Inputs!$C$16*12+1,Inputs!$C$84,0),0)</f>
        <v>0</v>
      </c>
      <c r="AU78" s="153">
        <f>IF(AU$3&lt;=Inputs!$C$15*12,IF(AU$3=Inputs!$C$16*12+1,Inputs!$C$84,0),0)</f>
        <v>0</v>
      </c>
      <c r="AV78" s="153">
        <f>IF(AV$3&lt;=Inputs!$C$15*12,IF(AV$3=Inputs!$C$16*12+1,Inputs!$C$84,0),0)</f>
        <v>0</v>
      </c>
      <c r="AW78" s="153">
        <f>IF(AW$3&lt;=Inputs!$C$15*12,IF(AW$3=Inputs!$C$16*12+1,Inputs!$C$84,0),0)</f>
        <v>0</v>
      </c>
      <c r="AX78" s="153">
        <f>IF(AX$3&lt;=Inputs!$C$15*12,IF(AX$3=Inputs!$C$16*12+1,Inputs!$C$84,0),0)</f>
        <v>0</v>
      </c>
      <c r="AY78" s="153">
        <f>IF(AY$3&lt;=Inputs!$C$15*12,IF(AY$3=Inputs!$C$16*12+1,Inputs!$C$84,0),0)</f>
        <v>0</v>
      </c>
      <c r="AZ78" s="153">
        <f>IF(AZ$3&lt;=Inputs!$C$15*12,IF(AZ$3=Inputs!$C$16*12+1,Inputs!$C$84,0),0)</f>
        <v>0</v>
      </c>
      <c r="BA78" s="153">
        <f>IF(BA$3&lt;=Inputs!$C$15*12,IF(BA$3=Inputs!$C$16*12+1,Inputs!$C$84,0),0)</f>
        <v>0</v>
      </c>
      <c r="BB78" s="153">
        <f>IF(BB$3&lt;=Inputs!$C$15*12,IF(BB$3=Inputs!$C$16*12+1,Inputs!$C$84,0),0)</f>
        <v>0</v>
      </c>
      <c r="BC78" s="153">
        <f>IF(BC$3&lt;=Inputs!$C$15*12,IF(BC$3=Inputs!$C$16*12+1,Inputs!$C$84,0),0)</f>
        <v>0</v>
      </c>
      <c r="BD78" s="153">
        <f>IF(BD$3&lt;=Inputs!$C$15*12,IF(BD$3=Inputs!$C$16*12+1,Inputs!$C$84,0),0)</f>
        <v>0</v>
      </c>
      <c r="BE78" s="153">
        <f>IF(BE$3&lt;=Inputs!$C$15*12,IF(BE$3=Inputs!$C$16*12+1,Inputs!$C$84,0),0)</f>
        <v>0</v>
      </c>
      <c r="BF78" s="153">
        <f>IF(BF$3&lt;=Inputs!$C$15*12,IF(BF$3=Inputs!$C$16*12+1,Inputs!$C$84,0),0)</f>
        <v>0</v>
      </c>
      <c r="BG78" s="153">
        <f>IF(BG$3&lt;=Inputs!$C$15*12,IF(BG$3=Inputs!$C$16*12+1,Inputs!$C$84,0),0)</f>
        <v>0</v>
      </c>
      <c r="BH78" s="153">
        <f>IF(BH$3&lt;=Inputs!$C$15*12,IF(BH$3=Inputs!$C$16*12+1,Inputs!$C$84,0),0)</f>
        <v>0</v>
      </c>
      <c r="BI78" s="153">
        <f>IF(BI$3&lt;=Inputs!$C$15*12,IF(BI$3=Inputs!$C$16*12+1,Inputs!$C$84,0),0)</f>
        <v>0</v>
      </c>
      <c r="BJ78" s="153">
        <f>IF(BJ$3&lt;=Inputs!$C$15*12,IF(BJ$3=Inputs!$C$16*12+1,Inputs!$C$84,0),0)</f>
        <v>0</v>
      </c>
      <c r="BK78" s="153">
        <f>IF(BK$3&lt;=Inputs!$C$15*12,IF(BK$3=Inputs!$C$16*12+1,Inputs!$C$84,0),0)</f>
        <v>0</v>
      </c>
      <c r="BL78" s="153">
        <f>IF(BL$3&lt;=Inputs!$C$15*12,IF(BL$3=Inputs!$C$16*12+1,Inputs!$C$84,0),0)</f>
        <v>0</v>
      </c>
      <c r="BM78" s="153">
        <f>IF(BM$3&lt;=Inputs!$C$15*12,IF(BM$3=Inputs!$C$16*12+1,Inputs!$C$84,0),0)</f>
        <v>0</v>
      </c>
      <c r="BN78" s="153">
        <f>IF(BN$3&lt;=Inputs!$C$15*12,IF(BN$3=Inputs!$C$16*12+1,Inputs!$C$84,0),0)</f>
        <v>0</v>
      </c>
      <c r="BO78" s="153">
        <f>IF(BO$3&lt;=Inputs!$C$15*12,IF(BO$3=Inputs!$C$16*12+1,Inputs!$C$84,0),0)</f>
        <v>0</v>
      </c>
      <c r="BP78" s="153">
        <f>IF(BP$3&lt;=Inputs!$C$15*12,IF(BP$3=Inputs!$C$16*12+1,Inputs!$C$84,0),0)</f>
        <v>0</v>
      </c>
      <c r="BQ78" s="153">
        <f>IF(BQ$3&lt;=Inputs!$C$15*12,IF(BQ$3=Inputs!$C$16*12+1,Inputs!$C$84,0),0)</f>
        <v>0</v>
      </c>
      <c r="BR78" s="153">
        <f>IF(BR$3&lt;=Inputs!$C$15*12,IF(BR$3=Inputs!$C$16*12+1,Inputs!$C$84,0),0)</f>
        <v>0</v>
      </c>
      <c r="BS78" s="153">
        <f>IF(BS$3&lt;=Inputs!$C$15*12,IF(BS$3=Inputs!$C$16*12+1,Inputs!$C$84,0),0)</f>
        <v>0</v>
      </c>
      <c r="BT78" s="153">
        <f>IF(BT$3&lt;=Inputs!$C$15*12,IF(BT$3=Inputs!$C$16*12+1,Inputs!$C$84,0),0)</f>
        <v>0</v>
      </c>
      <c r="BU78" s="153">
        <f>IF(BU$3&lt;=Inputs!$C$15*12,IF(BU$3=Inputs!$C$16*12+1,Inputs!$C$84,0),0)</f>
        <v>0</v>
      </c>
      <c r="BV78" s="153">
        <f>IF(BV$3&lt;=Inputs!$C$15*12,IF(BV$3=Inputs!$C$16*12+1,Inputs!$C$84,0),0)</f>
        <v>0</v>
      </c>
      <c r="BW78" s="153">
        <f>IF(BW$3&lt;=Inputs!$C$15*12,IF(BW$3=Inputs!$C$16*12+1,Inputs!$C$84,0),0)</f>
        <v>0</v>
      </c>
      <c r="BX78" s="153">
        <f>IF(BX$3&lt;=Inputs!$C$15*12,IF(BX$3=Inputs!$C$16*12+1,Inputs!$C$84,0),0)</f>
        <v>0</v>
      </c>
      <c r="BY78" s="153">
        <f>IF(BY$3&lt;=Inputs!$C$15*12,IF(BY$3=Inputs!$C$16*12+1,Inputs!$C$84,0),0)</f>
        <v>0</v>
      </c>
      <c r="BZ78" s="153">
        <f>IF(BZ$3&lt;=Inputs!$C$15*12,IF(BZ$3=Inputs!$C$16*12+1,Inputs!$C$84,0),0)</f>
        <v>0</v>
      </c>
      <c r="CA78" s="153">
        <f>IF(CA$3&lt;=Inputs!$C$15*12,IF(CA$3=Inputs!$C$16*12+1,Inputs!$C$84,0),0)</f>
        <v>0</v>
      </c>
      <c r="CB78" s="153">
        <f>IF(CB$3&lt;=Inputs!$C$15*12,IF(CB$3=Inputs!$C$16*12+1,Inputs!$C$84,0),0)</f>
        <v>0</v>
      </c>
      <c r="CC78" s="153">
        <f>IF(CC$3&lt;=Inputs!$C$15*12,IF(CC$3=Inputs!$C$16*12+1,Inputs!$C$84,0),0)</f>
        <v>0</v>
      </c>
      <c r="CD78" s="153">
        <f>IF(CD$3&lt;=Inputs!$C$15*12,IF(CD$3=Inputs!$C$16*12+1,Inputs!$C$84,0),0)</f>
        <v>0</v>
      </c>
      <c r="CE78" s="153">
        <f>IF(CE$3&lt;=Inputs!$C$15*12,IF(CE$3=Inputs!$C$16*12+1,Inputs!$C$84,0),0)</f>
        <v>0</v>
      </c>
      <c r="CF78" s="153">
        <f>IF(CF$3&lt;=Inputs!$C$15*12,IF(CF$3=Inputs!$C$16*12+1,Inputs!$C$84,0),0)</f>
        <v>0</v>
      </c>
      <c r="CG78" s="153">
        <f>IF(CG$3&lt;=Inputs!$C$15*12,IF(CG$3=Inputs!$C$16*12+1,Inputs!$C$84,0),0)</f>
        <v>0</v>
      </c>
      <c r="CH78" s="153">
        <f>IF(CH$3&lt;=Inputs!$C$15*12,IF(CH$3=Inputs!$C$16*12+1,Inputs!$C$84,0),0)</f>
        <v>0</v>
      </c>
      <c r="CI78" s="153">
        <f>IF(CI$3&lt;=Inputs!$C$15*12,IF(CI$3=Inputs!$C$16*12+1,Inputs!$C$84,0),0)</f>
        <v>0</v>
      </c>
      <c r="CJ78" s="153">
        <f>IF(CJ$3&lt;=Inputs!$C$15*12,IF(CJ$3=Inputs!$C$16*12+1,Inputs!$C$84,0),0)</f>
        <v>0</v>
      </c>
      <c r="CK78" s="153">
        <f>IF(CK$3&lt;=Inputs!$C$15*12,IF(CK$3=Inputs!$C$16*12+1,Inputs!$C$84,0),0)</f>
        <v>0</v>
      </c>
      <c r="CL78" s="153">
        <f>IF(CL$3&lt;=Inputs!$C$15*12,IF(CL$3=Inputs!$C$16*12+1,Inputs!$C$84,0),0)</f>
        <v>0</v>
      </c>
      <c r="CM78" s="153">
        <f>IF(CM$3&lt;=Inputs!$C$15*12,IF(CM$3=Inputs!$C$16*12+1,Inputs!$C$84,0),0)</f>
        <v>0</v>
      </c>
      <c r="CN78" s="153">
        <f>IF(CN$3&lt;=Inputs!$C$15*12,IF(CN$3=Inputs!$C$16*12+1,Inputs!$C$84,0),0)</f>
        <v>0</v>
      </c>
      <c r="CO78" s="153">
        <f>IF(CO$3&lt;=Inputs!$C$15*12,IF(CO$3=Inputs!$C$16*12+1,Inputs!$C$84,0),0)</f>
        <v>0</v>
      </c>
      <c r="CP78" s="153">
        <f>IF(CP$3&lt;=Inputs!$C$15*12,IF(CP$3=Inputs!$C$16*12+1,Inputs!$C$84,0),0)</f>
        <v>0</v>
      </c>
      <c r="CQ78" s="153">
        <f>IF(CQ$3&lt;=Inputs!$C$15*12,IF(CQ$3=Inputs!$C$16*12+1,Inputs!$C$84,0),0)</f>
        <v>0</v>
      </c>
      <c r="CR78" s="153">
        <f>IF(CR$3&lt;=Inputs!$C$15*12,IF(CR$3=Inputs!$C$16*12+1,Inputs!$C$84,0),0)</f>
        <v>0</v>
      </c>
      <c r="CS78" s="153">
        <f>IF(CS$3&lt;=Inputs!$C$15*12,IF(CS$3=Inputs!$C$16*12+1,Inputs!$C$84,0),0)</f>
        <v>0</v>
      </c>
      <c r="CT78" s="153">
        <f>IF(CT$3&lt;=Inputs!$C$15*12,IF(CT$3=Inputs!$C$16*12+1,Inputs!$C$84,0),0)</f>
        <v>0</v>
      </c>
      <c r="CU78" s="153">
        <f>IF(CU$3&lt;=Inputs!$C$15*12,IF(CU$3=Inputs!$C$16*12+1,Inputs!$C$84,0),0)</f>
        <v>0</v>
      </c>
      <c r="CV78" s="153">
        <f>IF(CV$3&lt;=Inputs!$C$15*12,IF(CV$3=Inputs!$C$16*12+1,Inputs!$C$84,0),0)</f>
        <v>0</v>
      </c>
      <c r="CW78" s="153">
        <f>IF(CW$3&lt;=Inputs!$C$15*12,IF(CW$3=Inputs!$C$16*12+1,Inputs!$C$84,0),0)</f>
        <v>0</v>
      </c>
      <c r="CX78" s="153">
        <f>IF(CX$3&lt;=Inputs!$C$15*12,IF(CX$3=Inputs!$C$16*12+1,Inputs!$C$84,0),0)</f>
        <v>0</v>
      </c>
      <c r="CY78" s="153">
        <f>IF(CY$3&lt;=Inputs!$C$15*12,IF(CY$3=Inputs!$C$16*12+1,Inputs!$C$84,0),0)</f>
        <v>0</v>
      </c>
      <c r="CZ78" s="153">
        <f>IF(CZ$3&lt;=Inputs!$C$15*12,IF(CZ$3=Inputs!$C$16*12+1,Inputs!$C$84,0),0)</f>
        <v>0</v>
      </c>
      <c r="DA78" s="153">
        <f>IF(DA$3&lt;=Inputs!$C$15*12,IF(DA$3=Inputs!$C$16*12+1,Inputs!$C$84,0),0)</f>
        <v>0</v>
      </c>
      <c r="DB78" s="153">
        <f>IF(DB$3&lt;=Inputs!$C$15*12,IF(DB$3=Inputs!$C$16*12+1,Inputs!$C$84,0),0)</f>
        <v>0</v>
      </c>
      <c r="DC78" s="153">
        <f>IF(DC$3&lt;=Inputs!$C$15*12,IF(DC$3=Inputs!$C$16*12+1,Inputs!$C$84,0),0)</f>
        <v>0</v>
      </c>
      <c r="DD78" s="153">
        <f>IF(DD$3&lt;=Inputs!$C$15*12,IF(DD$3=Inputs!$C$16*12+1,Inputs!$C$84,0),0)</f>
        <v>0</v>
      </c>
      <c r="DE78" s="153">
        <f>IF(DE$3&lt;=Inputs!$C$15*12,IF(DE$3=Inputs!$C$16*12+1,Inputs!$C$84,0),0)</f>
        <v>0</v>
      </c>
      <c r="DF78" s="153">
        <f>IF(DF$3&lt;=Inputs!$C$15*12,IF(DF$3=Inputs!$C$16*12+1,Inputs!$C$84,0),0)</f>
        <v>0</v>
      </c>
      <c r="DG78" s="153">
        <f>IF(DG$3&lt;=Inputs!$C$15*12,IF(DG$3=Inputs!$C$16*12+1,Inputs!$C$84,0),0)</f>
        <v>0</v>
      </c>
      <c r="DH78" s="153">
        <f>IF(DH$3&lt;=Inputs!$C$15*12,IF(DH$3=Inputs!$C$16*12+1,Inputs!$C$84,0),0)</f>
        <v>0</v>
      </c>
      <c r="DI78" s="153">
        <f>IF(DI$3&lt;=Inputs!$C$15*12,IF(DI$3=Inputs!$C$16*12+1,Inputs!$C$84,0),0)</f>
        <v>0</v>
      </c>
      <c r="DJ78" s="153">
        <f>IF(DJ$3&lt;=Inputs!$C$15*12,IF(DJ$3=Inputs!$C$16*12+1,Inputs!$C$84,0),0)</f>
        <v>0</v>
      </c>
      <c r="DK78" s="153">
        <f>IF(DK$3&lt;=Inputs!$C$15*12,IF(DK$3=Inputs!$C$16*12+1,Inputs!$C$84,0),0)</f>
        <v>0</v>
      </c>
      <c r="DL78" s="153">
        <f>IF(DL$3&lt;=Inputs!$C$15*12,IF(DL$3=Inputs!$C$16*12+1,Inputs!$C$84,0),0)</f>
        <v>0</v>
      </c>
      <c r="DM78" s="153">
        <f>IF(DM$3&lt;=Inputs!$C$15*12,IF(DM$3=Inputs!$C$16*12+1,Inputs!$C$84,0),0)</f>
        <v>0</v>
      </c>
      <c r="DN78" s="153">
        <f>IF(DN$3&lt;=Inputs!$C$15*12,IF(DN$3=Inputs!$C$16*12+1,Inputs!$C$84,0),0)</f>
        <v>0</v>
      </c>
      <c r="DO78" s="153">
        <f>IF(DO$3&lt;=Inputs!$C$15*12,IF(DO$3=Inputs!$C$16*12+1,Inputs!$C$84,0),0)</f>
        <v>0</v>
      </c>
      <c r="DP78" s="153">
        <f>IF(DP$3&lt;=Inputs!$C$15*12,IF(DP$3=Inputs!$C$16*12+1,Inputs!$C$84,0),0)</f>
        <v>0</v>
      </c>
      <c r="DQ78" s="153">
        <f>IF(DQ$3&lt;=Inputs!$C$15*12,IF(DQ$3=Inputs!$C$16*12+1,Inputs!$C$84,0),0)</f>
        <v>0</v>
      </c>
      <c r="DR78" s="153">
        <f>IF(DR$3&lt;=Inputs!$C$15*12,IF(DR$3=Inputs!$C$16*12+1,Inputs!$C$84,0),0)</f>
        <v>0</v>
      </c>
      <c r="DS78" s="54"/>
    </row>
    <row r="79" ht="15.0" customHeight="1">
      <c r="A79" s="54"/>
      <c r="B79" s="56" t="s">
        <v>325</v>
      </c>
      <c r="C79" s="153">
        <f>IF(C$3&lt;=Inputs!$C$15*12,IF(C77=0,0,-C77*Inputs!$C$85/12),0)</f>
        <v>0</v>
      </c>
      <c r="D79" s="153">
        <f>IF(D$3&lt;=Inputs!$C$15*12,IF(D77=0,0,-D77*Inputs!$C$85/12),0)</f>
        <v>0</v>
      </c>
      <c r="E79" s="153">
        <f>IF(E$3&lt;=Inputs!$C$15*12,IF(E77=0,0,-E77*Inputs!$C$85/12),0)</f>
        <v>0</v>
      </c>
      <c r="F79" s="153">
        <f>IF(F$3&lt;=Inputs!$C$15*12,IF(F77=0,0,-F77*Inputs!$C$85/12),0)</f>
        <v>0</v>
      </c>
      <c r="G79" s="153">
        <f>IF(G$3&lt;=Inputs!$C$15*12,IF(G77=0,0,-G77*Inputs!$C$85/12),0)</f>
        <v>0</v>
      </c>
      <c r="H79" s="153">
        <f>IF(H$3&lt;=Inputs!$C$15*12,IF(H77=0,0,-H77*Inputs!$C$85/12),0)</f>
        <v>0</v>
      </c>
      <c r="I79" s="153">
        <f>IF(I$3&lt;=Inputs!$C$15*12,IF(I77=0,0,-I77*Inputs!$C$85/12),0)</f>
        <v>0</v>
      </c>
      <c r="J79" s="153">
        <f>IF(J$3&lt;=Inputs!$C$15*12,IF(J77=0,0,-J77*Inputs!$C$85/12),0)</f>
        <v>0</v>
      </c>
      <c r="K79" s="153">
        <f>IF(K$3&lt;=Inputs!$C$15*12,IF(K77=0,0,-K77*Inputs!$C$85/12),0)</f>
        <v>0</v>
      </c>
      <c r="L79" s="153">
        <f>IF(L$3&lt;=Inputs!$C$15*12,IF(L77=0,0,-L77*Inputs!$C$85/12),0)</f>
        <v>0</v>
      </c>
      <c r="M79" s="153">
        <f>IF(M$3&lt;=Inputs!$C$15*12,IF(M77=0,0,-M77*Inputs!$C$85/12),0)</f>
        <v>0</v>
      </c>
      <c r="N79" s="153">
        <f>IF(N$3&lt;=Inputs!$C$15*12,IF(N77=0,0,-N77*Inputs!$C$85/12),0)</f>
        <v>0</v>
      </c>
      <c r="O79" s="153">
        <f>IF(O$3&lt;=Inputs!$C$15*12,IF(O77=0,0,-O77*Inputs!$C$85/12),0)</f>
        <v>0</v>
      </c>
      <c r="P79" s="153">
        <f>IF(P$3&lt;=Inputs!$C$15*12,IF(P77=0,0,-P77*Inputs!$C$85/12),0)</f>
        <v>0</v>
      </c>
      <c r="Q79" s="153">
        <f>IF(Q$3&lt;=Inputs!$C$15*12,IF(Q77=0,0,-Q77*Inputs!$C$85/12),0)</f>
        <v>0</v>
      </c>
      <c r="R79" s="153">
        <f>IF(R$3&lt;=Inputs!$C$15*12,IF(R77=0,0,-R77*Inputs!$C$85/12),0)</f>
        <v>0</v>
      </c>
      <c r="S79" s="153">
        <f>IF(S$3&lt;=Inputs!$C$15*12,IF(S77=0,0,-S77*Inputs!$C$85/12),0)</f>
        <v>0</v>
      </c>
      <c r="T79" s="153">
        <f>IF(T$3&lt;=Inputs!$C$15*12,IF(T77=0,0,-T77*Inputs!$C$85/12),0)</f>
        <v>0</v>
      </c>
      <c r="U79" s="153">
        <f>IF(U$3&lt;=Inputs!$C$15*12,IF(U77=0,0,-U77*Inputs!$C$85/12),0)</f>
        <v>0</v>
      </c>
      <c r="V79" s="153">
        <f>IF(V$3&lt;=Inputs!$C$15*12,IF(V77=0,0,-V77*Inputs!$C$85/12),0)</f>
        <v>0</v>
      </c>
      <c r="W79" s="153">
        <f>IF(W$3&lt;=Inputs!$C$15*12,IF(W77=0,0,-W77*Inputs!$C$85/12),0)</f>
        <v>0</v>
      </c>
      <c r="X79" s="153">
        <f>IF(X$3&lt;=Inputs!$C$15*12,IF(X77=0,0,-X77*Inputs!$C$85/12),0)</f>
        <v>0</v>
      </c>
      <c r="Y79" s="153">
        <f>IF(Y$3&lt;=Inputs!$C$15*12,IF(Y77=0,0,-Y77*Inputs!$C$85/12),0)</f>
        <v>0</v>
      </c>
      <c r="Z79" s="153">
        <f>IF(Z$3&lt;=Inputs!$C$15*12,IF(Z77=0,0,-Z77*Inputs!$C$85/12),0)</f>
        <v>0</v>
      </c>
      <c r="AA79" s="153">
        <f>IF(AA$3&lt;=Inputs!$C$15*12,IF(AA77=0,0,-AA77*Inputs!$C$85/12),0)</f>
        <v>0</v>
      </c>
      <c r="AB79" s="153">
        <f>IF(AB$3&lt;=Inputs!$C$15*12,IF(AB77=0,0,-AB77*Inputs!$C$85/12),0)</f>
        <v>0</v>
      </c>
      <c r="AC79" s="153">
        <f>IF(AC$3&lt;=Inputs!$C$15*12,IF(AC77=0,0,-AC77*Inputs!$C$85/12),0)</f>
        <v>0</v>
      </c>
      <c r="AD79" s="153">
        <f>IF(AD$3&lt;=Inputs!$C$15*12,IF(AD77=0,0,-AD77*Inputs!$C$85/12),0)</f>
        <v>0</v>
      </c>
      <c r="AE79" s="153">
        <f>IF(AE$3&lt;=Inputs!$C$15*12,IF(AE77=0,0,-AE77*Inputs!$C$85/12),0)</f>
        <v>0</v>
      </c>
      <c r="AF79" s="153">
        <f>IF(AF$3&lt;=Inputs!$C$15*12,IF(AF77=0,0,-AF77*Inputs!$C$85/12),0)</f>
        <v>0</v>
      </c>
      <c r="AG79" s="153">
        <f>IF(AG$3&lt;=Inputs!$C$15*12,IF(AG77=0,0,-AG77*Inputs!$C$85/12),0)</f>
        <v>0</v>
      </c>
      <c r="AH79" s="153">
        <f>IF(AH$3&lt;=Inputs!$C$15*12,IF(AH77=0,0,-AH77*Inputs!$C$85/12),0)</f>
        <v>0</v>
      </c>
      <c r="AI79" s="153">
        <f>IF(AI$3&lt;=Inputs!$C$15*12,IF(AI77=0,0,-AI77*Inputs!$C$85/12),0)</f>
        <v>0</v>
      </c>
      <c r="AJ79" s="153">
        <f>IF(AJ$3&lt;=Inputs!$C$15*12,IF(AJ77=0,0,-AJ77*Inputs!$C$85/12),0)</f>
        <v>0</v>
      </c>
      <c r="AK79" s="153">
        <f>IF(AK$3&lt;=Inputs!$C$15*12,IF(AK77=0,0,-AK77*Inputs!$C$85/12),0)</f>
        <v>0</v>
      </c>
      <c r="AL79" s="153">
        <f>IF(AL$3&lt;=Inputs!$C$15*12,IF(AL77=0,0,-AL77*Inputs!$C$85/12),0)</f>
        <v>0</v>
      </c>
      <c r="AM79" s="153">
        <f>IF(AM$3&lt;=Inputs!$C$15*12,IF(AM77=0,0,-AM77*Inputs!$C$85/12),0)</f>
        <v>0</v>
      </c>
      <c r="AN79" s="153">
        <f>IF(AN$3&lt;=Inputs!$C$15*12,IF(AN77=0,0,-AN77*Inputs!$C$85/12),0)</f>
        <v>0</v>
      </c>
      <c r="AO79" s="153">
        <f>IF(AO$3&lt;=Inputs!$C$15*12,IF(AO77=0,0,-AO77*Inputs!$C$85/12),0)</f>
        <v>0</v>
      </c>
      <c r="AP79" s="153">
        <f>IF(AP$3&lt;=Inputs!$C$15*12,IF(AP77=0,0,-AP77*Inputs!$C$85/12),0)</f>
        <v>0</v>
      </c>
      <c r="AQ79" s="153">
        <f>IF(AQ$3&lt;=Inputs!$C$15*12,IF(AQ77=0,0,-AQ77*Inputs!$C$85/12),0)</f>
        <v>0</v>
      </c>
      <c r="AR79" s="153">
        <f>IF(AR$3&lt;=Inputs!$C$15*12,IF(AR77=0,0,-AR77*Inputs!$C$85/12),0)</f>
        <v>0</v>
      </c>
      <c r="AS79" s="153">
        <f>IF(AS$3&lt;=Inputs!$C$15*12,IF(AS77=0,0,-AS77*Inputs!$C$85/12),0)</f>
        <v>0</v>
      </c>
      <c r="AT79" s="153">
        <f>IF(AT$3&lt;=Inputs!$C$15*12,IF(AT77=0,0,-AT77*Inputs!$C$85/12),0)</f>
        <v>0</v>
      </c>
      <c r="AU79" s="153">
        <f>IF(AU$3&lt;=Inputs!$C$15*12,IF(AU77=0,0,-AU77*Inputs!$C$85/12),0)</f>
        <v>0</v>
      </c>
      <c r="AV79" s="153">
        <f>IF(AV$3&lt;=Inputs!$C$15*12,IF(AV77=0,0,-AV77*Inputs!$C$85/12),0)</f>
        <v>0</v>
      </c>
      <c r="AW79" s="153">
        <f>IF(AW$3&lt;=Inputs!$C$15*12,IF(AW77=0,0,-AW77*Inputs!$C$85/12),0)</f>
        <v>0</v>
      </c>
      <c r="AX79" s="153">
        <f>IF(AX$3&lt;=Inputs!$C$15*12,IF(AX77=0,0,-AX77*Inputs!$C$85/12),0)</f>
        <v>0</v>
      </c>
      <c r="AY79" s="153">
        <f>IF(AY$3&lt;=Inputs!$C$15*12,IF(AY77=0,0,-AY77*Inputs!$C$85/12),0)</f>
        <v>0</v>
      </c>
      <c r="AZ79" s="153">
        <f>IF(AZ$3&lt;=Inputs!$C$15*12,IF(AZ77=0,0,-AZ77*Inputs!$C$85/12),0)</f>
        <v>0</v>
      </c>
      <c r="BA79" s="153">
        <f>IF(BA$3&lt;=Inputs!$C$15*12,IF(BA77=0,0,-BA77*Inputs!$C$85/12),0)</f>
        <v>0</v>
      </c>
      <c r="BB79" s="153">
        <f>IF(BB$3&lt;=Inputs!$C$15*12,IF(BB77=0,0,-BB77*Inputs!$C$85/12),0)</f>
        <v>0</v>
      </c>
      <c r="BC79" s="153">
        <f>IF(BC$3&lt;=Inputs!$C$15*12,IF(BC77=0,0,-BC77*Inputs!$C$85/12),0)</f>
        <v>0</v>
      </c>
      <c r="BD79" s="153">
        <f>IF(BD$3&lt;=Inputs!$C$15*12,IF(BD77=0,0,-BD77*Inputs!$C$85/12),0)</f>
        <v>0</v>
      </c>
      <c r="BE79" s="153">
        <f>IF(BE$3&lt;=Inputs!$C$15*12,IF(BE77=0,0,-BE77*Inputs!$C$85/12),0)</f>
        <v>0</v>
      </c>
      <c r="BF79" s="153">
        <f>IF(BF$3&lt;=Inputs!$C$15*12,IF(BF77=0,0,-BF77*Inputs!$C$85/12),0)</f>
        <v>0</v>
      </c>
      <c r="BG79" s="153">
        <f>IF(BG$3&lt;=Inputs!$C$15*12,IF(BG77=0,0,-BG77*Inputs!$C$85/12),0)</f>
        <v>0</v>
      </c>
      <c r="BH79" s="153">
        <f>IF(BH$3&lt;=Inputs!$C$15*12,IF(BH77=0,0,-BH77*Inputs!$C$85/12),0)</f>
        <v>0</v>
      </c>
      <c r="BI79" s="153">
        <f>IF(BI$3&lt;=Inputs!$C$15*12,IF(BI77=0,0,-BI77*Inputs!$C$85/12),0)</f>
        <v>0</v>
      </c>
      <c r="BJ79" s="153">
        <f>IF(BJ$3&lt;=Inputs!$C$15*12,IF(BJ77=0,0,-BJ77*Inputs!$C$85/12),0)</f>
        <v>0</v>
      </c>
      <c r="BK79" s="153">
        <f>IF(BK$3&lt;=Inputs!$C$15*12,IF(BK77=0,0,-BK77*Inputs!$C$85/12),0)</f>
        <v>0</v>
      </c>
      <c r="BL79" s="153">
        <f>IF(BL$3&lt;=Inputs!$C$15*12,IF(BL77=0,0,-BL77*Inputs!$C$85/12),0)</f>
        <v>0</v>
      </c>
      <c r="BM79" s="153">
        <f>IF(BM$3&lt;=Inputs!$C$15*12,IF(BM77=0,0,-BM77*Inputs!$C$85/12),0)</f>
        <v>0</v>
      </c>
      <c r="BN79" s="153">
        <f>IF(BN$3&lt;=Inputs!$C$15*12,IF(BN77=0,0,-BN77*Inputs!$C$85/12),0)</f>
        <v>0</v>
      </c>
      <c r="BO79" s="153">
        <f>IF(BO$3&lt;=Inputs!$C$15*12,IF(BO77=0,0,-BO77*Inputs!$C$85/12),0)</f>
        <v>0</v>
      </c>
      <c r="BP79" s="153">
        <f>IF(BP$3&lt;=Inputs!$C$15*12,IF(BP77=0,0,-BP77*Inputs!$C$85/12),0)</f>
        <v>0</v>
      </c>
      <c r="BQ79" s="153">
        <f>IF(BQ$3&lt;=Inputs!$C$15*12,IF(BQ77=0,0,-BQ77*Inputs!$C$85/12),0)</f>
        <v>0</v>
      </c>
      <c r="BR79" s="153">
        <f>IF(BR$3&lt;=Inputs!$C$15*12,IF(BR77=0,0,-BR77*Inputs!$C$85/12),0)</f>
        <v>0</v>
      </c>
      <c r="BS79" s="153">
        <f>IF(BS$3&lt;=Inputs!$C$15*12,IF(BS77=0,0,-BS77*Inputs!$C$85/12),0)</f>
        <v>0</v>
      </c>
      <c r="BT79" s="153">
        <f>IF(BT$3&lt;=Inputs!$C$15*12,IF(BT77=0,0,-BT77*Inputs!$C$85/12),0)</f>
        <v>0</v>
      </c>
      <c r="BU79" s="153">
        <f>IF(BU$3&lt;=Inputs!$C$15*12,IF(BU77=0,0,-BU77*Inputs!$C$85/12),0)</f>
        <v>0</v>
      </c>
      <c r="BV79" s="153">
        <f>IF(BV$3&lt;=Inputs!$C$15*12,IF(BV77=0,0,-BV77*Inputs!$C$85/12),0)</f>
        <v>0</v>
      </c>
      <c r="BW79" s="153">
        <f>IF(BW$3&lt;=Inputs!$C$15*12,IF(BW77=0,0,-BW77*Inputs!$C$85/12),0)</f>
        <v>0</v>
      </c>
      <c r="BX79" s="153">
        <f>IF(BX$3&lt;=Inputs!$C$15*12,IF(BX77=0,0,-BX77*Inputs!$C$85/12),0)</f>
        <v>0</v>
      </c>
      <c r="BY79" s="153">
        <f>IF(BY$3&lt;=Inputs!$C$15*12,IF(BY77=0,0,-BY77*Inputs!$C$85/12),0)</f>
        <v>0</v>
      </c>
      <c r="BZ79" s="153">
        <f>IF(BZ$3&lt;=Inputs!$C$15*12,IF(BZ77=0,0,-BZ77*Inputs!$C$85/12),0)</f>
        <v>0</v>
      </c>
      <c r="CA79" s="153">
        <f>IF(CA$3&lt;=Inputs!$C$15*12,IF(CA77=0,0,-CA77*Inputs!$C$85/12),0)</f>
        <v>0</v>
      </c>
      <c r="CB79" s="153">
        <f>IF(CB$3&lt;=Inputs!$C$15*12,IF(CB77=0,0,-CB77*Inputs!$C$85/12),0)</f>
        <v>0</v>
      </c>
      <c r="CC79" s="153">
        <f>IF(CC$3&lt;=Inputs!$C$15*12,IF(CC77=0,0,-CC77*Inputs!$C$85/12),0)</f>
        <v>0</v>
      </c>
      <c r="CD79" s="153">
        <f>IF(CD$3&lt;=Inputs!$C$15*12,IF(CD77=0,0,-CD77*Inputs!$C$85/12),0)</f>
        <v>0</v>
      </c>
      <c r="CE79" s="153">
        <f>IF(CE$3&lt;=Inputs!$C$15*12,IF(CE77=0,0,-CE77*Inputs!$C$85/12),0)</f>
        <v>0</v>
      </c>
      <c r="CF79" s="153">
        <f>IF(CF$3&lt;=Inputs!$C$15*12,IF(CF77=0,0,-CF77*Inputs!$C$85/12),0)</f>
        <v>0</v>
      </c>
      <c r="CG79" s="153">
        <f>IF(CG$3&lt;=Inputs!$C$15*12,IF(CG77=0,0,-CG77*Inputs!$C$85/12),0)</f>
        <v>0</v>
      </c>
      <c r="CH79" s="153">
        <f>IF(CH$3&lt;=Inputs!$C$15*12,IF(CH77=0,0,-CH77*Inputs!$C$85/12),0)</f>
        <v>0</v>
      </c>
      <c r="CI79" s="153">
        <f>IF(CI$3&lt;=Inputs!$C$15*12,IF(CI77=0,0,-CI77*Inputs!$C$85/12),0)</f>
        <v>0</v>
      </c>
      <c r="CJ79" s="153">
        <f>IF(CJ$3&lt;=Inputs!$C$15*12,IF(CJ77=0,0,-CJ77*Inputs!$C$85/12),0)</f>
        <v>0</v>
      </c>
      <c r="CK79" s="153">
        <f>IF(CK$3&lt;=Inputs!$C$15*12,IF(CK77=0,0,-CK77*Inputs!$C$85/12),0)</f>
        <v>0</v>
      </c>
      <c r="CL79" s="153">
        <f>IF(CL$3&lt;=Inputs!$C$15*12,IF(CL77=0,0,-CL77*Inputs!$C$85/12),0)</f>
        <v>0</v>
      </c>
      <c r="CM79" s="153">
        <f>IF(CM$3&lt;=Inputs!$C$15*12,IF(CM77=0,0,-CM77*Inputs!$C$85/12),0)</f>
        <v>0</v>
      </c>
      <c r="CN79" s="153">
        <f>IF(CN$3&lt;=Inputs!$C$15*12,IF(CN77=0,0,-CN77*Inputs!$C$85/12),0)</f>
        <v>0</v>
      </c>
      <c r="CO79" s="153">
        <f>IF(CO$3&lt;=Inputs!$C$15*12,IF(CO77=0,0,-CO77*Inputs!$C$85/12),0)</f>
        <v>0</v>
      </c>
      <c r="CP79" s="153">
        <f>IF(CP$3&lt;=Inputs!$C$15*12,IF(CP77=0,0,-CP77*Inputs!$C$85/12),0)</f>
        <v>0</v>
      </c>
      <c r="CQ79" s="153">
        <f>IF(CQ$3&lt;=Inputs!$C$15*12,IF(CQ77=0,0,-CQ77*Inputs!$C$85/12),0)</f>
        <v>0</v>
      </c>
      <c r="CR79" s="153">
        <f>IF(CR$3&lt;=Inputs!$C$15*12,IF(CR77=0,0,-CR77*Inputs!$C$85/12),0)</f>
        <v>0</v>
      </c>
      <c r="CS79" s="153">
        <f>IF(CS$3&lt;=Inputs!$C$15*12,IF(CS77=0,0,-CS77*Inputs!$C$85/12),0)</f>
        <v>0</v>
      </c>
      <c r="CT79" s="153">
        <f>IF(CT$3&lt;=Inputs!$C$15*12,IF(CT77=0,0,-CT77*Inputs!$C$85/12),0)</f>
        <v>0</v>
      </c>
      <c r="CU79" s="153">
        <f>IF(CU$3&lt;=Inputs!$C$15*12,IF(CU77=0,0,-CU77*Inputs!$C$85/12),0)</f>
        <v>0</v>
      </c>
      <c r="CV79" s="153">
        <f>IF(CV$3&lt;=Inputs!$C$15*12,IF(CV77=0,0,-CV77*Inputs!$C$85/12),0)</f>
        <v>0</v>
      </c>
      <c r="CW79" s="153">
        <f>IF(CW$3&lt;=Inputs!$C$15*12,IF(CW77=0,0,-CW77*Inputs!$C$85/12),0)</f>
        <v>0</v>
      </c>
      <c r="CX79" s="153">
        <f>IF(CX$3&lt;=Inputs!$C$15*12,IF(CX77=0,0,-CX77*Inputs!$C$85/12),0)</f>
        <v>0</v>
      </c>
      <c r="CY79" s="153">
        <f>IF(CY$3&lt;=Inputs!$C$15*12,IF(CY77=0,0,-CY77*Inputs!$C$85/12),0)</f>
        <v>0</v>
      </c>
      <c r="CZ79" s="153">
        <f>IF(CZ$3&lt;=Inputs!$C$15*12,IF(CZ77=0,0,-CZ77*Inputs!$C$85/12),0)</f>
        <v>0</v>
      </c>
      <c r="DA79" s="153">
        <f>IF(DA$3&lt;=Inputs!$C$15*12,IF(DA77=0,0,-DA77*Inputs!$C$85/12),0)</f>
        <v>0</v>
      </c>
      <c r="DB79" s="153">
        <f>IF(DB$3&lt;=Inputs!$C$15*12,IF(DB77=0,0,-DB77*Inputs!$C$85/12),0)</f>
        <v>0</v>
      </c>
      <c r="DC79" s="153">
        <f>IF(DC$3&lt;=Inputs!$C$15*12,IF(DC77=0,0,-DC77*Inputs!$C$85/12),0)</f>
        <v>0</v>
      </c>
      <c r="DD79" s="153">
        <f>IF(DD$3&lt;=Inputs!$C$15*12,IF(DD77=0,0,-DD77*Inputs!$C$85/12),0)</f>
        <v>0</v>
      </c>
      <c r="DE79" s="153">
        <f>IF(DE$3&lt;=Inputs!$C$15*12,IF(DE77=0,0,-DE77*Inputs!$C$85/12),0)</f>
        <v>0</v>
      </c>
      <c r="DF79" s="153">
        <f>IF(DF$3&lt;=Inputs!$C$15*12,IF(DF77=0,0,-DF77*Inputs!$C$85/12),0)</f>
        <v>0</v>
      </c>
      <c r="DG79" s="153">
        <f>IF(DG$3&lt;=Inputs!$C$15*12,IF(DG77=0,0,-DG77*Inputs!$C$85/12),0)</f>
        <v>0</v>
      </c>
      <c r="DH79" s="153">
        <f>IF(DH$3&lt;=Inputs!$C$15*12,IF(DH77=0,0,-DH77*Inputs!$C$85/12),0)</f>
        <v>0</v>
      </c>
      <c r="DI79" s="153">
        <f>IF(DI$3&lt;=Inputs!$C$15*12,IF(DI77=0,0,-DI77*Inputs!$C$85/12),0)</f>
        <v>0</v>
      </c>
      <c r="DJ79" s="153">
        <f>IF(DJ$3&lt;=Inputs!$C$15*12,IF(DJ77=0,0,-DJ77*Inputs!$C$85/12),0)</f>
        <v>0</v>
      </c>
      <c r="DK79" s="153">
        <f>IF(DK$3&lt;=Inputs!$C$15*12,IF(DK77=0,0,-DK77*Inputs!$C$85/12),0)</f>
        <v>0</v>
      </c>
      <c r="DL79" s="153">
        <f>IF(DL$3&lt;=Inputs!$C$15*12,IF(DL77=0,0,-DL77*Inputs!$C$85/12),0)</f>
        <v>0</v>
      </c>
      <c r="DM79" s="153">
        <f>IF(DM$3&lt;=Inputs!$C$15*12,IF(DM77=0,0,-DM77*Inputs!$C$85/12),0)</f>
        <v>0</v>
      </c>
      <c r="DN79" s="153">
        <f>IF(DN$3&lt;=Inputs!$C$15*12,IF(DN77=0,0,-DN77*Inputs!$C$85/12),0)</f>
        <v>0</v>
      </c>
      <c r="DO79" s="153">
        <f>IF(DO$3&lt;=Inputs!$C$15*12,IF(DO77=0,0,-DO77*Inputs!$C$85/12),0)</f>
        <v>0</v>
      </c>
      <c r="DP79" s="153">
        <f>IF(DP$3&lt;=Inputs!$C$15*12,IF(DP77=0,0,-DP77*Inputs!$C$85/12),0)</f>
        <v>0</v>
      </c>
      <c r="DQ79" s="153">
        <f>IF(DQ$3&lt;=Inputs!$C$15*12,IF(DQ77=0,0,-DQ77*Inputs!$C$85/12),0)</f>
        <v>0</v>
      </c>
      <c r="DR79" s="153">
        <f>IF(DR$3&lt;=Inputs!$C$15*12,IF(DR77=0,0,-DR77*Inputs!$C$85/12),0)</f>
        <v>0</v>
      </c>
      <c r="DS79" s="54"/>
    </row>
    <row r="80" ht="15.0" customHeight="1">
      <c r="A80" s="54"/>
      <c r="B80" s="56" t="s">
        <v>326</v>
      </c>
      <c r="C80" s="153">
        <f>IF(C$3&lt;=Inputs!$C$15*12,IF(C77=0,0,IF(C$3-Inputs!$C$16*12&lt;=Inputs!$C$88,0,MIN(PMT(Inputs!$C$85/12,Inputs!$C$86*12,-Inputs!$C$84)-C77*Inputs!$C$85/12,C77))),0)</f>
        <v>0</v>
      </c>
      <c r="D80" s="153">
        <f>IF(D$3&lt;=Inputs!$C$15*12,IF(D77=0,0,IF(D$3-Inputs!$C$16*12&lt;=Inputs!$C$88,0,MIN(PMT(Inputs!$C$85/12,Inputs!$C$86*12,-Inputs!$C$84)-D77*Inputs!$C$85/12,D77))),0)</f>
        <v>0</v>
      </c>
      <c r="E80" s="153">
        <f>IF(E$3&lt;=Inputs!$C$15*12,IF(E77=0,0,IF(E$3-Inputs!$C$16*12&lt;=Inputs!$C$88,0,MIN(PMT(Inputs!$C$85/12,Inputs!$C$86*12,-Inputs!$C$84)-E77*Inputs!$C$85/12,E77))),0)</f>
        <v>0</v>
      </c>
      <c r="F80" s="153">
        <f>IF(F$3&lt;=Inputs!$C$15*12,IF(F77=0,0,IF(F$3-Inputs!$C$16*12&lt;=Inputs!$C$88,0,MIN(PMT(Inputs!$C$85/12,Inputs!$C$86*12,-Inputs!$C$84)-F77*Inputs!$C$85/12,F77))),0)</f>
        <v>0</v>
      </c>
      <c r="G80" s="153">
        <f>IF(G$3&lt;=Inputs!$C$15*12,IF(G77=0,0,IF(G$3-Inputs!$C$16*12&lt;=Inputs!$C$88,0,MIN(PMT(Inputs!$C$85/12,Inputs!$C$86*12,-Inputs!$C$84)-G77*Inputs!$C$85/12,G77))),0)</f>
        <v>0</v>
      </c>
      <c r="H80" s="153">
        <f>IF(H$3&lt;=Inputs!$C$15*12,IF(H77=0,0,IF(H$3-Inputs!$C$16*12&lt;=Inputs!$C$88,0,MIN(PMT(Inputs!$C$85/12,Inputs!$C$86*12,-Inputs!$C$84)-H77*Inputs!$C$85/12,H77))),0)</f>
        <v>0</v>
      </c>
      <c r="I80" s="153">
        <f>IF(I$3&lt;=Inputs!$C$15*12,IF(I77=0,0,IF(I$3-Inputs!$C$16*12&lt;=Inputs!$C$88,0,MIN(PMT(Inputs!$C$85/12,Inputs!$C$86*12,-Inputs!$C$84)-I77*Inputs!$C$85/12,I77))),0)</f>
        <v>0</v>
      </c>
      <c r="J80" s="153">
        <f>IF(J$3&lt;=Inputs!$C$15*12,IF(J77=0,0,IF(J$3-Inputs!$C$16*12&lt;=Inputs!$C$88,0,MIN(PMT(Inputs!$C$85/12,Inputs!$C$86*12,-Inputs!$C$84)-J77*Inputs!$C$85/12,J77))),0)</f>
        <v>0</v>
      </c>
      <c r="K80" s="153">
        <f>IF(K$3&lt;=Inputs!$C$15*12,IF(K77=0,0,IF(K$3-Inputs!$C$16*12&lt;=Inputs!$C$88,0,MIN(PMT(Inputs!$C$85/12,Inputs!$C$86*12,-Inputs!$C$84)-K77*Inputs!$C$85/12,K77))),0)</f>
        <v>0</v>
      </c>
      <c r="L80" s="153">
        <f>IF(L$3&lt;=Inputs!$C$15*12,IF(L77=0,0,IF(L$3-Inputs!$C$16*12&lt;=Inputs!$C$88,0,MIN(PMT(Inputs!$C$85/12,Inputs!$C$86*12,-Inputs!$C$84)-L77*Inputs!$C$85/12,L77))),0)</f>
        <v>0</v>
      </c>
      <c r="M80" s="153">
        <f>IF(M$3&lt;=Inputs!$C$15*12,IF(M77=0,0,IF(M$3-Inputs!$C$16*12&lt;=Inputs!$C$88,0,MIN(PMT(Inputs!$C$85/12,Inputs!$C$86*12,-Inputs!$C$84)-M77*Inputs!$C$85/12,M77))),0)</f>
        <v>0</v>
      </c>
      <c r="N80" s="153">
        <f>IF(N$3&lt;=Inputs!$C$15*12,IF(N77=0,0,IF(N$3-Inputs!$C$16*12&lt;=Inputs!$C$88,0,MIN(PMT(Inputs!$C$85/12,Inputs!$C$86*12,-Inputs!$C$84)-N77*Inputs!$C$85/12,N77))),0)</f>
        <v>0</v>
      </c>
      <c r="O80" s="153">
        <f>IF(O$3&lt;=Inputs!$C$15*12,IF(O77=0,0,IF(O$3-Inputs!$C$16*12&lt;=Inputs!$C$88,0,MIN(PMT(Inputs!$C$85/12,Inputs!$C$86*12,-Inputs!$C$84)-O77*Inputs!$C$85/12,O77))),0)</f>
        <v>0</v>
      </c>
      <c r="P80" s="153">
        <f>IF(P$3&lt;=Inputs!$C$15*12,IF(P77=0,0,IF(P$3-Inputs!$C$16*12&lt;=Inputs!$C$88,0,MIN(PMT(Inputs!$C$85/12,Inputs!$C$86*12,-Inputs!$C$84)-P77*Inputs!$C$85/12,P77))),0)</f>
        <v>0</v>
      </c>
      <c r="Q80" s="153">
        <f>IF(Q$3&lt;=Inputs!$C$15*12,IF(Q77=0,0,IF(Q$3-Inputs!$C$16*12&lt;=Inputs!$C$88,0,MIN(PMT(Inputs!$C$85/12,Inputs!$C$86*12,-Inputs!$C$84)-Q77*Inputs!$C$85/12,Q77))),0)</f>
        <v>0</v>
      </c>
      <c r="R80" s="153">
        <f>IF(R$3&lt;=Inputs!$C$15*12,IF(R77=0,0,IF(R$3-Inputs!$C$16*12&lt;=Inputs!$C$88,0,MIN(PMT(Inputs!$C$85/12,Inputs!$C$86*12,-Inputs!$C$84)-R77*Inputs!$C$85/12,R77))),0)</f>
        <v>0</v>
      </c>
      <c r="S80" s="153">
        <f>IF(S$3&lt;=Inputs!$C$15*12,IF(S77=0,0,IF(S$3-Inputs!$C$16*12&lt;=Inputs!$C$88,0,MIN(PMT(Inputs!$C$85/12,Inputs!$C$86*12,-Inputs!$C$84)-S77*Inputs!$C$85/12,S77))),0)</f>
        <v>0</v>
      </c>
      <c r="T80" s="153">
        <f>IF(T$3&lt;=Inputs!$C$15*12,IF(T77=0,0,IF(T$3-Inputs!$C$16*12&lt;=Inputs!$C$88,0,MIN(PMT(Inputs!$C$85/12,Inputs!$C$86*12,-Inputs!$C$84)-T77*Inputs!$C$85/12,T77))),0)</f>
        <v>0</v>
      </c>
      <c r="U80" s="153">
        <f>IF(U$3&lt;=Inputs!$C$15*12,IF(U77=0,0,IF(U$3-Inputs!$C$16*12&lt;=Inputs!$C$88,0,MIN(PMT(Inputs!$C$85/12,Inputs!$C$86*12,-Inputs!$C$84)-U77*Inputs!$C$85/12,U77))),0)</f>
        <v>0</v>
      </c>
      <c r="V80" s="153">
        <f>IF(V$3&lt;=Inputs!$C$15*12,IF(V77=0,0,IF(V$3-Inputs!$C$16*12&lt;=Inputs!$C$88,0,MIN(PMT(Inputs!$C$85/12,Inputs!$C$86*12,-Inputs!$C$84)-V77*Inputs!$C$85/12,V77))),0)</f>
        <v>0</v>
      </c>
      <c r="W80" s="153">
        <f>IF(W$3&lt;=Inputs!$C$15*12,IF(W77=0,0,IF(W$3-Inputs!$C$16*12&lt;=Inputs!$C$88,0,MIN(PMT(Inputs!$C$85/12,Inputs!$C$86*12,-Inputs!$C$84)-W77*Inputs!$C$85/12,W77))),0)</f>
        <v>0</v>
      </c>
      <c r="X80" s="153">
        <f>IF(X$3&lt;=Inputs!$C$15*12,IF(X77=0,0,IF(X$3-Inputs!$C$16*12&lt;=Inputs!$C$88,0,MIN(PMT(Inputs!$C$85/12,Inputs!$C$86*12,-Inputs!$C$84)-X77*Inputs!$C$85/12,X77))),0)</f>
        <v>0</v>
      </c>
      <c r="Y80" s="153">
        <f>IF(Y$3&lt;=Inputs!$C$15*12,IF(Y77=0,0,IF(Y$3-Inputs!$C$16*12&lt;=Inputs!$C$88,0,MIN(PMT(Inputs!$C$85/12,Inputs!$C$86*12,-Inputs!$C$84)-Y77*Inputs!$C$85/12,Y77))),0)</f>
        <v>0</v>
      </c>
      <c r="Z80" s="153">
        <f>IF(Z$3&lt;=Inputs!$C$15*12,IF(Z77=0,0,IF(Z$3-Inputs!$C$16*12&lt;=Inputs!$C$88,0,MIN(PMT(Inputs!$C$85/12,Inputs!$C$86*12,-Inputs!$C$84)-Z77*Inputs!$C$85/12,Z77))),0)</f>
        <v>0</v>
      </c>
      <c r="AA80" s="153">
        <f>IF(AA$3&lt;=Inputs!$C$15*12,IF(AA77=0,0,IF(AA$3-Inputs!$C$16*12&lt;=Inputs!$C$88,0,MIN(PMT(Inputs!$C$85/12,Inputs!$C$86*12,-Inputs!$C$84)-AA77*Inputs!$C$85/12,AA77))),0)</f>
        <v>0</v>
      </c>
      <c r="AB80" s="153">
        <f>IF(AB$3&lt;=Inputs!$C$15*12,IF(AB77=0,0,IF(AB$3-Inputs!$C$16*12&lt;=Inputs!$C$88,0,MIN(PMT(Inputs!$C$85/12,Inputs!$C$86*12,-Inputs!$C$84)-AB77*Inputs!$C$85/12,AB77))),0)</f>
        <v>0</v>
      </c>
      <c r="AC80" s="153">
        <f>IF(AC$3&lt;=Inputs!$C$15*12,IF(AC77=0,0,IF(AC$3-Inputs!$C$16*12&lt;=Inputs!$C$88,0,MIN(PMT(Inputs!$C$85/12,Inputs!$C$86*12,-Inputs!$C$84)-AC77*Inputs!$C$85/12,AC77))),0)</f>
        <v>0</v>
      </c>
      <c r="AD80" s="153">
        <f>IF(AD$3&lt;=Inputs!$C$15*12,IF(AD77=0,0,IF(AD$3-Inputs!$C$16*12&lt;=Inputs!$C$88,0,MIN(PMT(Inputs!$C$85/12,Inputs!$C$86*12,-Inputs!$C$84)-AD77*Inputs!$C$85/12,AD77))),0)</f>
        <v>0</v>
      </c>
      <c r="AE80" s="153">
        <f>IF(AE$3&lt;=Inputs!$C$15*12,IF(AE77=0,0,IF(AE$3-Inputs!$C$16*12&lt;=Inputs!$C$88,0,MIN(PMT(Inputs!$C$85/12,Inputs!$C$86*12,-Inputs!$C$84)-AE77*Inputs!$C$85/12,AE77))),0)</f>
        <v>0</v>
      </c>
      <c r="AF80" s="153">
        <f>IF(AF$3&lt;=Inputs!$C$15*12,IF(AF77=0,0,IF(AF$3-Inputs!$C$16*12&lt;=Inputs!$C$88,0,MIN(PMT(Inputs!$C$85/12,Inputs!$C$86*12,-Inputs!$C$84)-AF77*Inputs!$C$85/12,AF77))),0)</f>
        <v>0</v>
      </c>
      <c r="AG80" s="153">
        <f>IF(AG$3&lt;=Inputs!$C$15*12,IF(AG77=0,0,IF(AG$3-Inputs!$C$16*12&lt;=Inputs!$C$88,0,MIN(PMT(Inputs!$C$85/12,Inputs!$C$86*12,-Inputs!$C$84)-AG77*Inputs!$C$85/12,AG77))),0)</f>
        <v>0</v>
      </c>
      <c r="AH80" s="153">
        <f>IF(AH$3&lt;=Inputs!$C$15*12,IF(AH77=0,0,IF(AH$3-Inputs!$C$16*12&lt;=Inputs!$C$88,0,MIN(PMT(Inputs!$C$85/12,Inputs!$C$86*12,-Inputs!$C$84)-AH77*Inputs!$C$85/12,AH77))),0)</f>
        <v>0</v>
      </c>
      <c r="AI80" s="153">
        <f>IF(AI$3&lt;=Inputs!$C$15*12,IF(AI77=0,0,IF(AI$3-Inputs!$C$16*12&lt;=Inputs!$C$88,0,MIN(PMT(Inputs!$C$85/12,Inputs!$C$86*12,-Inputs!$C$84)-AI77*Inputs!$C$85/12,AI77))),0)</f>
        <v>0</v>
      </c>
      <c r="AJ80" s="153">
        <f>IF(AJ$3&lt;=Inputs!$C$15*12,IF(AJ77=0,0,IF(AJ$3-Inputs!$C$16*12&lt;=Inputs!$C$88,0,MIN(PMT(Inputs!$C$85/12,Inputs!$C$86*12,-Inputs!$C$84)-AJ77*Inputs!$C$85/12,AJ77))),0)</f>
        <v>0</v>
      </c>
      <c r="AK80" s="153">
        <f>IF(AK$3&lt;=Inputs!$C$15*12,IF(AK77=0,0,IF(AK$3-Inputs!$C$16*12&lt;=Inputs!$C$88,0,MIN(PMT(Inputs!$C$85/12,Inputs!$C$86*12,-Inputs!$C$84)-AK77*Inputs!$C$85/12,AK77))),0)</f>
        <v>0</v>
      </c>
      <c r="AL80" s="153">
        <f>IF(AL$3&lt;=Inputs!$C$15*12,IF(AL77=0,0,IF(AL$3-Inputs!$C$16*12&lt;=Inputs!$C$88,0,MIN(PMT(Inputs!$C$85/12,Inputs!$C$86*12,-Inputs!$C$84)-AL77*Inputs!$C$85/12,AL77))),0)</f>
        <v>0</v>
      </c>
      <c r="AM80" s="153">
        <f>IF(AM$3&lt;=Inputs!$C$15*12,IF(AM77=0,0,IF(AM$3-Inputs!$C$16*12&lt;=Inputs!$C$88,0,MIN(PMT(Inputs!$C$85/12,Inputs!$C$86*12,-Inputs!$C$84)-AM77*Inputs!$C$85/12,AM77))),0)</f>
        <v>0</v>
      </c>
      <c r="AN80" s="153">
        <f>IF(AN$3&lt;=Inputs!$C$15*12,IF(AN77=0,0,IF(AN$3-Inputs!$C$16*12&lt;=Inputs!$C$88,0,MIN(PMT(Inputs!$C$85/12,Inputs!$C$86*12,-Inputs!$C$84)-AN77*Inputs!$C$85/12,AN77))),0)</f>
        <v>0</v>
      </c>
      <c r="AO80" s="153">
        <f>IF(AO$3&lt;=Inputs!$C$15*12,IF(AO77=0,0,IF(AO$3-Inputs!$C$16*12&lt;=Inputs!$C$88,0,MIN(PMT(Inputs!$C$85/12,Inputs!$C$86*12,-Inputs!$C$84)-AO77*Inputs!$C$85/12,AO77))),0)</f>
        <v>0</v>
      </c>
      <c r="AP80" s="153">
        <f>IF(AP$3&lt;=Inputs!$C$15*12,IF(AP77=0,0,IF(AP$3-Inputs!$C$16*12&lt;=Inputs!$C$88,0,MIN(PMT(Inputs!$C$85/12,Inputs!$C$86*12,-Inputs!$C$84)-AP77*Inputs!$C$85/12,AP77))),0)</f>
        <v>0</v>
      </c>
      <c r="AQ80" s="153">
        <f>IF(AQ$3&lt;=Inputs!$C$15*12,IF(AQ77=0,0,IF(AQ$3-Inputs!$C$16*12&lt;=Inputs!$C$88,0,MIN(PMT(Inputs!$C$85/12,Inputs!$C$86*12,-Inputs!$C$84)-AQ77*Inputs!$C$85/12,AQ77))),0)</f>
        <v>0</v>
      </c>
      <c r="AR80" s="153">
        <f>IF(AR$3&lt;=Inputs!$C$15*12,IF(AR77=0,0,IF(AR$3-Inputs!$C$16*12&lt;=Inputs!$C$88,0,MIN(PMT(Inputs!$C$85/12,Inputs!$C$86*12,-Inputs!$C$84)-AR77*Inputs!$C$85/12,AR77))),0)</f>
        <v>0</v>
      </c>
      <c r="AS80" s="153">
        <f>IF(AS$3&lt;=Inputs!$C$15*12,IF(AS77=0,0,IF(AS$3-Inputs!$C$16*12&lt;=Inputs!$C$88,0,MIN(PMT(Inputs!$C$85/12,Inputs!$C$86*12,-Inputs!$C$84)-AS77*Inputs!$C$85/12,AS77))),0)</f>
        <v>0</v>
      </c>
      <c r="AT80" s="153">
        <f>IF(AT$3&lt;=Inputs!$C$15*12,IF(AT77=0,0,IF(AT$3-Inputs!$C$16*12&lt;=Inputs!$C$88,0,MIN(PMT(Inputs!$C$85/12,Inputs!$C$86*12,-Inputs!$C$84)-AT77*Inputs!$C$85/12,AT77))),0)</f>
        <v>0</v>
      </c>
      <c r="AU80" s="153">
        <f>IF(AU$3&lt;=Inputs!$C$15*12,IF(AU77=0,0,IF(AU$3-Inputs!$C$16*12&lt;=Inputs!$C$88,0,MIN(PMT(Inputs!$C$85/12,Inputs!$C$86*12,-Inputs!$C$84)-AU77*Inputs!$C$85/12,AU77))),0)</f>
        <v>0</v>
      </c>
      <c r="AV80" s="153">
        <f>IF(AV$3&lt;=Inputs!$C$15*12,IF(AV77=0,0,IF(AV$3-Inputs!$C$16*12&lt;=Inputs!$C$88,0,MIN(PMT(Inputs!$C$85/12,Inputs!$C$86*12,-Inputs!$C$84)-AV77*Inputs!$C$85/12,AV77))),0)</f>
        <v>0</v>
      </c>
      <c r="AW80" s="153">
        <f>IF(AW$3&lt;=Inputs!$C$15*12,IF(AW77=0,0,IF(AW$3-Inputs!$C$16*12&lt;=Inputs!$C$88,0,MIN(PMT(Inputs!$C$85/12,Inputs!$C$86*12,-Inputs!$C$84)-AW77*Inputs!$C$85/12,AW77))),0)</f>
        <v>0</v>
      </c>
      <c r="AX80" s="153">
        <f>IF(AX$3&lt;=Inputs!$C$15*12,IF(AX77=0,0,IF(AX$3-Inputs!$C$16*12&lt;=Inputs!$C$88,0,MIN(PMT(Inputs!$C$85/12,Inputs!$C$86*12,-Inputs!$C$84)-AX77*Inputs!$C$85/12,AX77))),0)</f>
        <v>0</v>
      </c>
      <c r="AY80" s="153">
        <f>IF(AY$3&lt;=Inputs!$C$15*12,IF(AY77=0,0,IF(AY$3-Inputs!$C$16*12&lt;=Inputs!$C$88,0,MIN(PMT(Inputs!$C$85/12,Inputs!$C$86*12,-Inputs!$C$84)-AY77*Inputs!$C$85/12,AY77))),0)</f>
        <v>0</v>
      </c>
      <c r="AZ80" s="153">
        <f>IF(AZ$3&lt;=Inputs!$C$15*12,IF(AZ77=0,0,IF(AZ$3-Inputs!$C$16*12&lt;=Inputs!$C$88,0,MIN(PMT(Inputs!$C$85/12,Inputs!$C$86*12,-Inputs!$C$84)-AZ77*Inputs!$C$85/12,AZ77))),0)</f>
        <v>0</v>
      </c>
      <c r="BA80" s="153">
        <f>IF(BA$3&lt;=Inputs!$C$15*12,IF(BA77=0,0,IF(BA$3-Inputs!$C$16*12&lt;=Inputs!$C$88,0,MIN(PMT(Inputs!$C$85/12,Inputs!$C$86*12,-Inputs!$C$84)-BA77*Inputs!$C$85/12,BA77))),0)</f>
        <v>0</v>
      </c>
      <c r="BB80" s="153">
        <f>IF(BB$3&lt;=Inputs!$C$15*12,IF(BB77=0,0,IF(BB$3-Inputs!$C$16*12&lt;=Inputs!$C$88,0,MIN(PMT(Inputs!$C$85/12,Inputs!$C$86*12,-Inputs!$C$84)-BB77*Inputs!$C$85/12,BB77))),0)</f>
        <v>0</v>
      </c>
      <c r="BC80" s="153">
        <f>IF(BC$3&lt;=Inputs!$C$15*12,IF(BC77=0,0,IF(BC$3-Inputs!$C$16*12&lt;=Inputs!$C$88,0,MIN(PMT(Inputs!$C$85/12,Inputs!$C$86*12,-Inputs!$C$84)-BC77*Inputs!$C$85/12,BC77))),0)</f>
        <v>0</v>
      </c>
      <c r="BD80" s="153">
        <f>IF(BD$3&lt;=Inputs!$C$15*12,IF(BD77=0,0,IF(BD$3-Inputs!$C$16*12&lt;=Inputs!$C$88,0,MIN(PMT(Inputs!$C$85/12,Inputs!$C$86*12,-Inputs!$C$84)-BD77*Inputs!$C$85/12,BD77))),0)</f>
        <v>0</v>
      </c>
      <c r="BE80" s="153">
        <f>IF(BE$3&lt;=Inputs!$C$15*12,IF(BE77=0,0,IF(BE$3-Inputs!$C$16*12&lt;=Inputs!$C$88,0,MIN(PMT(Inputs!$C$85/12,Inputs!$C$86*12,-Inputs!$C$84)-BE77*Inputs!$C$85/12,BE77))),0)</f>
        <v>0</v>
      </c>
      <c r="BF80" s="153">
        <f>IF(BF$3&lt;=Inputs!$C$15*12,IF(BF77=0,0,IF(BF$3-Inputs!$C$16*12&lt;=Inputs!$C$88,0,MIN(PMT(Inputs!$C$85/12,Inputs!$C$86*12,-Inputs!$C$84)-BF77*Inputs!$C$85/12,BF77))),0)</f>
        <v>0</v>
      </c>
      <c r="BG80" s="153">
        <f>IF(BG$3&lt;=Inputs!$C$15*12,IF(BG77=0,0,IF(BG$3-Inputs!$C$16*12&lt;=Inputs!$C$88,0,MIN(PMT(Inputs!$C$85/12,Inputs!$C$86*12,-Inputs!$C$84)-BG77*Inputs!$C$85/12,BG77))),0)</f>
        <v>0</v>
      </c>
      <c r="BH80" s="153">
        <f>IF(BH$3&lt;=Inputs!$C$15*12,IF(BH77=0,0,IF(BH$3-Inputs!$C$16*12&lt;=Inputs!$C$88,0,MIN(PMT(Inputs!$C$85/12,Inputs!$C$86*12,-Inputs!$C$84)-BH77*Inputs!$C$85/12,BH77))),0)</f>
        <v>0</v>
      </c>
      <c r="BI80" s="153">
        <f>IF(BI$3&lt;=Inputs!$C$15*12,IF(BI77=0,0,IF(BI$3-Inputs!$C$16*12&lt;=Inputs!$C$88,0,MIN(PMT(Inputs!$C$85/12,Inputs!$C$86*12,-Inputs!$C$84)-BI77*Inputs!$C$85/12,BI77))),0)</f>
        <v>0</v>
      </c>
      <c r="BJ80" s="153">
        <f>IF(BJ$3&lt;=Inputs!$C$15*12,IF(BJ77=0,0,IF(BJ$3-Inputs!$C$16*12&lt;=Inputs!$C$88,0,MIN(PMT(Inputs!$C$85/12,Inputs!$C$86*12,-Inputs!$C$84)-BJ77*Inputs!$C$85/12,BJ77))),0)</f>
        <v>0</v>
      </c>
      <c r="BK80" s="153">
        <f>IF(BK$3&lt;=Inputs!$C$15*12,IF(BK77=0,0,IF(BK$3-Inputs!$C$16*12&lt;=Inputs!$C$88,0,MIN(PMT(Inputs!$C$85/12,Inputs!$C$86*12,-Inputs!$C$84)-BK77*Inputs!$C$85/12,BK77))),0)</f>
        <v>0</v>
      </c>
      <c r="BL80" s="153">
        <f>IF(BL$3&lt;=Inputs!$C$15*12,IF(BL77=0,0,IF(BL$3-Inputs!$C$16*12&lt;=Inputs!$C$88,0,MIN(PMT(Inputs!$C$85/12,Inputs!$C$86*12,-Inputs!$C$84)-BL77*Inputs!$C$85/12,BL77))),0)</f>
        <v>0</v>
      </c>
      <c r="BM80" s="153">
        <f>IF(BM$3&lt;=Inputs!$C$15*12,IF(BM77=0,0,IF(BM$3-Inputs!$C$16*12&lt;=Inputs!$C$88,0,MIN(PMT(Inputs!$C$85/12,Inputs!$C$86*12,-Inputs!$C$84)-BM77*Inputs!$C$85/12,BM77))),0)</f>
        <v>0</v>
      </c>
      <c r="BN80" s="153">
        <f>IF(BN$3&lt;=Inputs!$C$15*12,IF(BN77=0,0,IF(BN$3-Inputs!$C$16*12&lt;=Inputs!$C$88,0,MIN(PMT(Inputs!$C$85/12,Inputs!$C$86*12,-Inputs!$C$84)-BN77*Inputs!$C$85/12,BN77))),0)</f>
        <v>0</v>
      </c>
      <c r="BO80" s="153">
        <f>IF(BO$3&lt;=Inputs!$C$15*12,IF(BO77=0,0,IF(BO$3-Inputs!$C$16*12&lt;=Inputs!$C$88,0,MIN(PMT(Inputs!$C$85/12,Inputs!$C$86*12,-Inputs!$C$84)-BO77*Inputs!$C$85/12,BO77))),0)</f>
        <v>0</v>
      </c>
      <c r="BP80" s="153">
        <f>IF(BP$3&lt;=Inputs!$C$15*12,IF(BP77=0,0,IF(BP$3-Inputs!$C$16*12&lt;=Inputs!$C$88,0,MIN(PMT(Inputs!$C$85/12,Inputs!$C$86*12,-Inputs!$C$84)-BP77*Inputs!$C$85/12,BP77))),0)</f>
        <v>0</v>
      </c>
      <c r="BQ80" s="153">
        <f>IF(BQ$3&lt;=Inputs!$C$15*12,IF(BQ77=0,0,IF(BQ$3-Inputs!$C$16*12&lt;=Inputs!$C$88,0,MIN(PMT(Inputs!$C$85/12,Inputs!$C$86*12,-Inputs!$C$84)-BQ77*Inputs!$C$85/12,BQ77))),0)</f>
        <v>0</v>
      </c>
      <c r="BR80" s="153">
        <f>IF(BR$3&lt;=Inputs!$C$15*12,IF(BR77=0,0,IF(BR$3-Inputs!$C$16*12&lt;=Inputs!$C$88,0,MIN(PMT(Inputs!$C$85/12,Inputs!$C$86*12,-Inputs!$C$84)-BR77*Inputs!$C$85/12,BR77))),0)</f>
        <v>0</v>
      </c>
      <c r="BS80" s="153">
        <f>IF(BS$3&lt;=Inputs!$C$15*12,IF(BS77=0,0,IF(BS$3-Inputs!$C$16*12&lt;=Inputs!$C$88,0,MIN(PMT(Inputs!$C$85/12,Inputs!$C$86*12,-Inputs!$C$84)-BS77*Inputs!$C$85/12,BS77))),0)</f>
        <v>0</v>
      </c>
      <c r="BT80" s="153">
        <f>IF(BT$3&lt;=Inputs!$C$15*12,IF(BT77=0,0,IF(BT$3-Inputs!$C$16*12&lt;=Inputs!$C$88,0,MIN(PMT(Inputs!$C$85/12,Inputs!$C$86*12,-Inputs!$C$84)-BT77*Inputs!$C$85/12,BT77))),0)</f>
        <v>0</v>
      </c>
      <c r="BU80" s="153">
        <f>IF(BU$3&lt;=Inputs!$C$15*12,IF(BU77=0,0,IF(BU$3-Inputs!$C$16*12&lt;=Inputs!$C$88,0,MIN(PMT(Inputs!$C$85/12,Inputs!$C$86*12,-Inputs!$C$84)-BU77*Inputs!$C$85/12,BU77))),0)</f>
        <v>0</v>
      </c>
      <c r="BV80" s="153">
        <f>IF(BV$3&lt;=Inputs!$C$15*12,IF(BV77=0,0,IF(BV$3-Inputs!$C$16*12&lt;=Inputs!$C$88,0,MIN(PMT(Inputs!$C$85/12,Inputs!$C$86*12,-Inputs!$C$84)-BV77*Inputs!$C$85/12,BV77))),0)</f>
        <v>0</v>
      </c>
      <c r="BW80" s="153">
        <f>IF(BW$3&lt;=Inputs!$C$15*12,IF(BW77=0,0,IF(BW$3-Inputs!$C$16*12&lt;=Inputs!$C$88,0,MIN(PMT(Inputs!$C$85/12,Inputs!$C$86*12,-Inputs!$C$84)-BW77*Inputs!$C$85/12,BW77))),0)</f>
        <v>0</v>
      </c>
      <c r="BX80" s="153">
        <f>IF(BX$3&lt;=Inputs!$C$15*12,IF(BX77=0,0,IF(BX$3-Inputs!$C$16*12&lt;=Inputs!$C$88,0,MIN(PMT(Inputs!$C$85/12,Inputs!$C$86*12,-Inputs!$C$84)-BX77*Inputs!$C$85/12,BX77))),0)</f>
        <v>0</v>
      </c>
      <c r="BY80" s="153">
        <f>IF(BY$3&lt;=Inputs!$C$15*12,IF(BY77=0,0,IF(BY$3-Inputs!$C$16*12&lt;=Inputs!$C$88,0,MIN(PMT(Inputs!$C$85/12,Inputs!$C$86*12,-Inputs!$C$84)-BY77*Inputs!$C$85/12,BY77))),0)</f>
        <v>0</v>
      </c>
      <c r="BZ80" s="153">
        <f>IF(BZ$3&lt;=Inputs!$C$15*12,IF(BZ77=0,0,IF(BZ$3-Inputs!$C$16*12&lt;=Inputs!$C$88,0,MIN(PMT(Inputs!$C$85/12,Inputs!$C$86*12,-Inputs!$C$84)-BZ77*Inputs!$C$85/12,BZ77))),0)</f>
        <v>0</v>
      </c>
      <c r="CA80" s="153">
        <f>IF(CA$3&lt;=Inputs!$C$15*12,IF(CA77=0,0,IF(CA$3-Inputs!$C$16*12&lt;=Inputs!$C$88,0,MIN(PMT(Inputs!$C$85/12,Inputs!$C$86*12,-Inputs!$C$84)-CA77*Inputs!$C$85/12,CA77))),0)</f>
        <v>0</v>
      </c>
      <c r="CB80" s="153">
        <f>IF(CB$3&lt;=Inputs!$C$15*12,IF(CB77=0,0,IF(CB$3-Inputs!$C$16*12&lt;=Inputs!$C$88,0,MIN(PMT(Inputs!$C$85/12,Inputs!$C$86*12,-Inputs!$C$84)-CB77*Inputs!$C$85/12,CB77))),0)</f>
        <v>0</v>
      </c>
      <c r="CC80" s="153">
        <f>IF(CC$3&lt;=Inputs!$C$15*12,IF(CC77=0,0,IF(CC$3-Inputs!$C$16*12&lt;=Inputs!$C$88,0,MIN(PMT(Inputs!$C$85/12,Inputs!$C$86*12,-Inputs!$C$84)-CC77*Inputs!$C$85/12,CC77))),0)</f>
        <v>0</v>
      </c>
      <c r="CD80" s="153">
        <f>IF(CD$3&lt;=Inputs!$C$15*12,IF(CD77=0,0,IF(CD$3-Inputs!$C$16*12&lt;=Inputs!$C$88,0,MIN(PMT(Inputs!$C$85/12,Inputs!$C$86*12,-Inputs!$C$84)-CD77*Inputs!$C$85/12,CD77))),0)</f>
        <v>0</v>
      </c>
      <c r="CE80" s="153">
        <f>IF(CE$3&lt;=Inputs!$C$15*12,IF(CE77=0,0,IF(CE$3-Inputs!$C$16*12&lt;=Inputs!$C$88,0,MIN(PMT(Inputs!$C$85/12,Inputs!$C$86*12,-Inputs!$C$84)-CE77*Inputs!$C$85/12,CE77))),0)</f>
        <v>0</v>
      </c>
      <c r="CF80" s="153">
        <f>IF(CF$3&lt;=Inputs!$C$15*12,IF(CF77=0,0,IF(CF$3-Inputs!$C$16*12&lt;=Inputs!$C$88,0,MIN(PMT(Inputs!$C$85/12,Inputs!$C$86*12,-Inputs!$C$84)-CF77*Inputs!$C$85/12,CF77))),0)</f>
        <v>0</v>
      </c>
      <c r="CG80" s="153">
        <f>IF(CG$3&lt;=Inputs!$C$15*12,IF(CG77=0,0,IF(CG$3-Inputs!$C$16*12&lt;=Inputs!$C$88,0,MIN(PMT(Inputs!$C$85/12,Inputs!$C$86*12,-Inputs!$C$84)-CG77*Inputs!$C$85/12,CG77))),0)</f>
        <v>0</v>
      </c>
      <c r="CH80" s="153">
        <f>IF(CH$3&lt;=Inputs!$C$15*12,IF(CH77=0,0,IF(CH$3-Inputs!$C$16*12&lt;=Inputs!$C$88,0,MIN(PMT(Inputs!$C$85/12,Inputs!$C$86*12,-Inputs!$C$84)-CH77*Inputs!$C$85/12,CH77))),0)</f>
        <v>0</v>
      </c>
      <c r="CI80" s="153">
        <f>IF(CI$3&lt;=Inputs!$C$15*12,IF(CI77=0,0,IF(CI$3-Inputs!$C$16*12&lt;=Inputs!$C$88,0,MIN(PMT(Inputs!$C$85/12,Inputs!$C$86*12,-Inputs!$C$84)-CI77*Inputs!$C$85/12,CI77))),0)</f>
        <v>0</v>
      </c>
      <c r="CJ80" s="153">
        <f>IF(CJ$3&lt;=Inputs!$C$15*12,IF(CJ77=0,0,IF(CJ$3-Inputs!$C$16*12&lt;=Inputs!$C$88,0,MIN(PMT(Inputs!$C$85/12,Inputs!$C$86*12,-Inputs!$C$84)-CJ77*Inputs!$C$85/12,CJ77))),0)</f>
        <v>0</v>
      </c>
      <c r="CK80" s="153">
        <f>IF(CK$3&lt;=Inputs!$C$15*12,IF(CK77=0,0,IF(CK$3-Inputs!$C$16*12&lt;=Inputs!$C$88,0,MIN(PMT(Inputs!$C$85/12,Inputs!$C$86*12,-Inputs!$C$84)-CK77*Inputs!$C$85/12,CK77))),0)</f>
        <v>0</v>
      </c>
      <c r="CL80" s="153">
        <f>IF(CL$3&lt;=Inputs!$C$15*12,IF(CL77=0,0,IF(CL$3-Inputs!$C$16*12&lt;=Inputs!$C$88,0,MIN(PMT(Inputs!$C$85/12,Inputs!$C$86*12,-Inputs!$C$84)-CL77*Inputs!$C$85/12,CL77))),0)</f>
        <v>0</v>
      </c>
      <c r="CM80" s="153">
        <f>IF(CM$3&lt;=Inputs!$C$15*12,IF(CM77=0,0,IF(CM$3-Inputs!$C$16*12&lt;=Inputs!$C$88,0,MIN(PMT(Inputs!$C$85/12,Inputs!$C$86*12,-Inputs!$C$84)-CM77*Inputs!$C$85/12,CM77))),0)</f>
        <v>0</v>
      </c>
      <c r="CN80" s="153">
        <f>IF(CN$3&lt;=Inputs!$C$15*12,IF(CN77=0,0,IF(CN$3-Inputs!$C$16*12&lt;=Inputs!$C$88,0,MIN(PMT(Inputs!$C$85/12,Inputs!$C$86*12,-Inputs!$C$84)-CN77*Inputs!$C$85/12,CN77))),0)</f>
        <v>0</v>
      </c>
      <c r="CO80" s="153">
        <f>IF(CO$3&lt;=Inputs!$C$15*12,IF(CO77=0,0,IF(CO$3-Inputs!$C$16*12&lt;=Inputs!$C$88,0,MIN(PMT(Inputs!$C$85/12,Inputs!$C$86*12,-Inputs!$C$84)-CO77*Inputs!$C$85/12,CO77))),0)</f>
        <v>0</v>
      </c>
      <c r="CP80" s="153">
        <f>IF(CP$3&lt;=Inputs!$C$15*12,IF(CP77=0,0,IF(CP$3-Inputs!$C$16*12&lt;=Inputs!$C$88,0,MIN(PMT(Inputs!$C$85/12,Inputs!$C$86*12,-Inputs!$C$84)-CP77*Inputs!$C$85/12,CP77))),0)</f>
        <v>0</v>
      </c>
      <c r="CQ80" s="153">
        <f>IF(CQ$3&lt;=Inputs!$C$15*12,IF(CQ77=0,0,IF(CQ$3-Inputs!$C$16*12&lt;=Inputs!$C$88,0,MIN(PMT(Inputs!$C$85/12,Inputs!$C$86*12,-Inputs!$C$84)-CQ77*Inputs!$C$85/12,CQ77))),0)</f>
        <v>0</v>
      </c>
      <c r="CR80" s="153">
        <f>IF(CR$3&lt;=Inputs!$C$15*12,IF(CR77=0,0,IF(CR$3-Inputs!$C$16*12&lt;=Inputs!$C$88,0,MIN(PMT(Inputs!$C$85/12,Inputs!$C$86*12,-Inputs!$C$84)-CR77*Inputs!$C$85/12,CR77))),0)</f>
        <v>0</v>
      </c>
      <c r="CS80" s="153">
        <f>IF(CS$3&lt;=Inputs!$C$15*12,IF(CS77=0,0,IF(CS$3-Inputs!$C$16*12&lt;=Inputs!$C$88,0,MIN(PMT(Inputs!$C$85/12,Inputs!$C$86*12,-Inputs!$C$84)-CS77*Inputs!$C$85/12,CS77))),0)</f>
        <v>0</v>
      </c>
      <c r="CT80" s="153">
        <f>IF(CT$3&lt;=Inputs!$C$15*12,IF(CT77=0,0,IF(CT$3-Inputs!$C$16*12&lt;=Inputs!$C$88,0,MIN(PMT(Inputs!$C$85/12,Inputs!$C$86*12,-Inputs!$C$84)-CT77*Inputs!$C$85/12,CT77))),0)</f>
        <v>0</v>
      </c>
      <c r="CU80" s="153">
        <f>IF(CU$3&lt;=Inputs!$C$15*12,IF(CU77=0,0,IF(CU$3-Inputs!$C$16*12&lt;=Inputs!$C$88,0,MIN(PMT(Inputs!$C$85/12,Inputs!$C$86*12,-Inputs!$C$84)-CU77*Inputs!$C$85/12,CU77))),0)</f>
        <v>0</v>
      </c>
      <c r="CV80" s="153">
        <f>IF(CV$3&lt;=Inputs!$C$15*12,IF(CV77=0,0,IF(CV$3-Inputs!$C$16*12&lt;=Inputs!$C$88,0,MIN(PMT(Inputs!$C$85/12,Inputs!$C$86*12,-Inputs!$C$84)-CV77*Inputs!$C$85/12,CV77))),0)</f>
        <v>0</v>
      </c>
      <c r="CW80" s="153">
        <f>IF(CW$3&lt;=Inputs!$C$15*12,IF(CW77=0,0,IF(CW$3-Inputs!$C$16*12&lt;=Inputs!$C$88,0,MIN(PMT(Inputs!$C$85/12,Inputs!$C$86*12,-Inputs!$C$84)-CW77*Inputs!$C$85/12,CW77))),0)</f>
        <v>0</v>
      </c>
      <c r="CX80" s="153">
        <f>IF(CX$3&lt;=Inputs!$C$15*12,IF(CX77=0,0,IF(CX$3-Inputs!$C$16*12&lt;=Inputs!$C$88,0,MIN(PMT(Inputs!$C$85/12,Inputs!$C$86*12,-Inputs!$C$84)-CX77*Inputs!$C$85/12,CX77))),0)</f>
        <v>0</v>
      </c>
      <c r="CY80" s="153">
        <f>IF(CY$3&lt;=Inputs!$C$15*12,IF(CY77=0,0,IF(CY$3-Inputs!$C$16*12&lt;=Inputs!$C$88,0,MIN(PMT(Inputs!$C$85/12,Inputs!$C$86*12,-Inputs!$C$84)-CY77*Inputs!$C$85/12,CY77))),0)</f>
        <v>0</v>
      </c>
      <c r="CZ80" s="153">
        <f>IF(CZ$3&lt;=Inputs!$C$15*12,IF(CZ77=0,0,IF(CZ$3-Inputs!$C$16*12&lt;=Inputs!$C$88,0,MIN(PMT(Inputs!$C$85/12,Inputs!$C$86*12,-Inputs!$C$84)-CZ77*Inputs!$C$85/12,CZ77))),0)</f>
        <v>0</v>
      </c>
      <c r="DA80" s="153">
        <f>IF(DA$3&lt;=Inputs!$C$15*12,IF(DA77=0,0,IF(DA$3-Inputs!$C$16*12&lt;=Inputs!$C$88,0,MIN(PMT(Inputs!$C$85/12,Inputs!$C$86*12,-Inputs!$C$84)-DA77*Inputs!$C$85/12,DA77))),0)</f>
        <v>0</v>
      </c>
      <c r="DB80" s="153">
        <f>IF(DB$3&lt;=Inputs!$C$15*12,IF(DB77=0,0,IF(DB$3-Inputs!$C$16*12&lt;=Inputs!$C$88,0,MIN(PMT(Inputs!$C$85/12,Inputs!$C$86*12,-Inputs!$C$84)-DB77*Inputs!$C$85/12,DB77))),0)</f>
        <v>0</v>
      </c>
      <c r="DC80" s="153">
        <f>IF(DC$3&lt;=Inputs!$C$15*12,IF(DC77=0,0,IF(DC$3-Inputs!$C$16*12&lt;=Inputs!$C$88,0,MIN(PMT(Inputs!$C$85/12,Inputs!$C$86*12,-Inputs!$C$84)-DC77*Inputs!$C$85/12,DC77))),0)</f>
        <v>0</v>
      </c>
      <c r="DD80" s="153">
        <f>IF(DD$3&lt;=Inputs!$C$15*12,IF(DD77=0,0,IF(DD$3-Inputs!$C$16*12&lt;=Inputs!$C$88,0,MIN(PMT(Inputs!$C$85/12,Inputs!$C$86*12,-Inputs!$C$84)-DD77*Inputs!$C$85/12,DD77))),0)</f>
        <v>0</v>
      </c>
      <c r="DE80" s="153">
        <f>IF(DE$3&lt;=Inputs!$C$15*12,IF(DE77=0,0,IF(DE$3-Inputs!$C$16*12&lt;=Inputs!$C$88,0,MIN(PMT(Inputs!$C$85/12,Inputs!$C$86*12,-Inputs!$C$84)-DE77*Inputs!$C$85/12,DE77))),0)</f>
        <v>0</v>
      </c>
      <c r="DF80" s="153">
        <f>IF(DF$3&lt;=Inputs!$C$15*12,IF(DF77=0,0,IF(DF$3-Inputs!$C$16*12&lt;=Inputs!$C$88,0,MIN(PMT(Inputs!$C$85/12,Inputs!$C$86*12,-Inputs!$C$84)-DF77*Inputs!$C$85/12,DF77))),0)</f>
        <v>0</v>
      </c>
      <c r="DG80" s="153">
        <f>IF(DG$3&lt;=Inputs!$C$15*12,IF(DG77=0,0,IF(DG$3-Inputs!$C$16*12&lt;=Inputs!$C$88,0,MIN(PMT(Inputs!$C$85/12,Inputs!$C$86*12,-Inputs!$C$84)-DG77*Inputs!$C$85/12,DG77))),0)</f>
        <v>0</v>
      </c>
      <c r="DH80" s="153">
        <f>IF(DH$3&lt;=Inputs!$C$15*12,IF(DH77=0,0,IF(DH$3-Inputs!$C$16*12&lt;=Inputs!$C$88,0,MIN(PMT(Inputs!$C$85/12,Inputs!$C$86*12,-Inputs!$C$84)-DH77*Inputs!$C$85/12,DH77))),0)</f>
        <v>0</v>
      </c>
      <c r="DI80" s="153">
        <f>IF(DI$3&lt;=Inputs!$C$15*12,IF(DI77=0,0,IF(DI$3-Inputs!$C$16*12&lt;=Inputs!$C$88,0,MIN(PMT(Inputs!$C$85/12,Inputs!$C$86*12,-Inputs!$C$84)-DI77*Inputs!$C$85/12,DI77))),0)</f>
        <v>0</v>
      </c>
      <c r="DJ80" s="153">
        <f>IF(DJ$3&lt;=Inputs!$C$15*12,IF(DJ77=0,0,IF(DJ$3-Inputs!$C$16*12&lt;=Inputs!$C$88,0,MIN(PMT(Inputs!$C$85/12,Inputs!$C$86*12,-Inputs!$C$84)-DJ77*Inputs!$C$85/12,DJ77))),0)</f>
        <v>0</v>
      </c>
      <c r="DK80" s="153">
        <f>IF(DK$3&lt;=Inputs!$C$15*12,IF(DK77=0,0,IF(DK$3-Inputs!$C$16*12&lt;=Inputs!$C$88,0,MIN(PMT(Inputs!$C$85/12,Inputs!$C$86*12,-Inputs!$C$84)-DK77*Inputs!$C$85/12,DK77))),0)</f>
        <v>0</v>
      </c>
      <c r="DL80" s="153">
        <f>IF(DL$3&lt;=Inputs!$C$15*12,IF(DL77=0,0,IF(DL$3-Inputs!$C$16*12&lt;=Inputs!$C$88,0,MIN(PMT(Inputs!$C$85/12,Inputs!$C$86*12,-Inputs!$C$84)-DL77*Inputs!$C$85/12,DL77))),0)</f>
        <v>0</v>
      </c>
      <c r="DM80" s="153">
        <f>IF(DM$3&lt;=Inputs!$C$15*12,IF(DM77=0,0,IF(DM$3-Inputs!$C$16*12&lt;=Inputs!$C$88,0,MIN(PMT(Inputs!$C$85/12,Inputs!$C$86*12,-Inputs!$C$84)-DM77*Inputs!$C$85/12,DM77))),0)</f>
        <v>0</v>
      </c>
      <c r="DN80" s="153">
        <f>IF(DN$3&lt;=Inputs!$C$15*12,IF(DN77=0,0,IF(DN$3-Inputs!$C$16*12&lt;=Inputs!$C$88,0,MIN(PMT(Inputs!$C$85/12,Inputs!$C$86*12,-Inputs!$C$84)-DN77*Inputs!$C$85/12,DN77))),0)</f>
        <v>0</v>
      </c>
      <c r="DO80" s="153">
        <f>IF(DO$3&lt;=Inputs!$C$15*12,IF(DO77=0,0,IF(DO$3-Inputs!$C$16*12&lt;=Inputs!$C$88,0,MIN(PMT(Inputs!$C$85/12,Inputs!$C$86*12,-Inputs!$C$84)-DO77*Inputs!$C$85/12,DO77))),0)</f>
        <v>0</v>
      </c>
      <c r="DP80" s="153">
        <f>IF(DP$3&lt;=Inputs!$C$15*12,IF(DP77=0,0,IF(DP$3-Inputs!$C$16*12&lt;=Inputs!$C$88,0,MIN(PMT(Inputs!$C$85/12,Inputs!$C$86*12,-Inputs!$C$84)-DP77*Inputs!$C$85/12,DP77))),0)</f>
        <v>0</v>
      </c>
      <c r="DQ80" s="153">
        <f>IF(DQ$3&lt;=Inputs!$C$15*12,IF(DQ77=0,0,IF(DQ$3-Inputs!$C$16*12&lt;=Inputs!$C$88,0,MIN(PMT(Inputs!$C$85/12,Inputs!$C$86*12,-Inputs!$C$84)-DQ77*Inputs!$C$85/12,DQ77))),0)</f>
        <v>0</v>
      </c>
      <c r="DR80" s="153">
        <f>IF(DR$3&lt;=Inputs!$C$15*12,IF(DR77=0,0,IF(DR$3-Inputs!$C$16*12&lt;=Inputs!$C$88,0,MIN(PMT(Inputs!$C$85/12,Inputs!$C$86*12,-Inputs!$C$84)-DR77*Inputs!$C$85/12,DR77))),0)</f>
        <v>0</v>
      </c>
      <c r="DS80" s="54"/>
    </row>
    <row r="81" ht="15.0" customHeight="1">
      <c r="A81" s="54"/>
      <c r="B81" s="56" t="s">
        <v>327</v>
      </c>
      <c r="C81" s="153">
        <f>IF(C$3&lt;=Inputs!$C$15*12,IF(OR(C$3=(Inputs!$C$16+Inputs!$C$87)*12,C$3=Inputs!$C$15*12),-MAX(C77+C78-C80,0),0),0)</f>
        <v>0</v>
      </c>
      <c r="D81" s="153">
        <f>IF(D$3&lt;=Inputs!$C$15*12,IF(OR(D$3=(Inputs!$C$16+Inputs!$C$87)*12,D$3=Inputs!$C$15*12),-MAX(D77+D78-D80,0),0),0)</f>
        <v>0</v>
      </c>
      <c r="E81" s="153">
        <f>IF(E$3&lt;=Inputs!$C$15*12,IF(OR(E$3=(Inputs!$C$16+Inputs!$C$87)*12,E$3=Inputs!$C$15*12),-MAX(E77+E78-E80,0),0),0)</f>
        <v>0</v>
      </c>
      <c r="F81" s="153">
        <f>IF(F$3&lt;=Inputs!$C$15*12,IF(OR(F$3=(Inputs!$C$16+Inputs!$C$87)*12,F$3=Inputs!$C$15*12),-MAX(F77+F78-F80,0),0),0)</f>
        <v>0</v>
      </c>
      <c r="G81" s="153">
        <f>IF(G$3&lt;=Inputs!$C$15*12,IF(OR(G$3=(Inputs!$C$16+Inputs!$C$87)*12,G$3=Inputs!$C$15*12),-MAX(G77+G78-G80,0),0),0)</f>
        <v>0</v>
      </c>
      <c r="H81" s="153">
        <f>IF(H$3&lt;=Inputs!$C$15*12,IF(OR(H$3=(Inputs!$C$16+Inputs!$C$87)*12,H$3=Inputs!$C$15*12),-MAX(H77+H78-H80,0),0),0)</f>
        <v>0</v>
      </c>
      <c r="I81" s="153">
        <f>IF(I$3&lt;=Inputs!$C$15*12,IF(OR(I$3=(Inputs!$C$16+Inputs!$C$87)*12,I$3=Inputs!$C$15*12),-MAX(I77+I78-I80,0),0),0)</f>
        <v>0</v>
      </c>
      <c r="J81" s="153">
        <f>IF(J$3&lt;=Inputs!$C$15*12,IF(OR(J$3=(Inputs!$C$16+Inputs!$C$87)*12,J$3=Inputs!$C$15*12),-MAX(J77+J78-J80,0),0),0)</f>
        <v>0</v>
      </c>
      <c r="K81" s="153">
        <f>IF(K$3&lt;=Inputs!$C$15*12,IF(OR(K$3=(Inputs!$C$16+Inputs!$C$87)*12,K$3=Inputs!$C$15*12),-MAX(K77+K78-K80,0),0),0)</f>
        <v>0</v>
      </c>
      <c r="L81" s="153">
        <f>IF(L$3&lt;=Inputs!$C$15*12,IF(OR(L$3=(Inputs!$C$16+Inputs!$C$87)*12,L$3=Inputs!$C$15*12),-MAX(L77+L78-L80,0),0),0)</f>
        <v>0</v>
      </c>
      <c r="M81" s="153">
        <f>IF(M$3&lt;=Inputs!$C$15*12,IF(OR(M$3=(Inputs!$C$16+Inputs!$C$87)*12,M$3=Inputs!$C$15*12),-MAX(M77+M78-M80,0),0),0)</f>
        <v>0</v>
      </c>
      <c r="N81" s="153">
        <f>IF(N$3&lt;=Inputs!$C$15*12,IF(OR(N$3=(Inputs!$C$16+Inputs!$C$87)*12,N$3=Inputs!$C$15*12),-MAX(N77+N78-N80,0),0),0)</f>
        <v>0</v>
      </c>
      <c r="O81" s="153">
        <f>IF(O$3&lt;=Inputs!$C$15*12,IF(OR(O$3=(Inputs!$C$16+Inputs!$C$87)*12,O$3=Inputs!$C$15*12),-MAX(O77+O78-O80,0),0),0)</f>
        <v>0</v>
      </c>
      <c r="P81" s="153">
        <f>IF(P$3&lt;=Inputs!$C$15*12,IF(OR(P$3=(Inputs!$C$16+Inputs!$C$87)*12,P$3=Inputs!$C$15*12),-MAX(P77+P78-P80,0),0),0)</f>
        <v>0</v>
      </c>
      <c r="Q81" s="153">
        <f>IF(Q$3&lt;=Inputs!$C$15*12,IF(OR(Q$3=(Inputs!$C$16+Inputs!$C$87)*12,Q$3=Inputs!$C$15*12),-MAX(Q77+Q78-Q80,0),0),0)</f>
        <v>0</v>
      </c>
      <c r="R81" s="153">
        <f>IF(R$3&lt;=Inputs!$C$15*12,IF(OR(R$3=(Inputs!$C$16+Inputs!$C$87)*12,R$3=Inputs!$C$15*12),-MAX(R77+R78-R80,0),0),0)</f>
        <v>0</v>
      </c>
      <c r="S81" s="153">
        <f>IF(S$3&lt;=Inputs!$C$15*12,IF(OR(S$3=(Inputs!$C$16+Inputs!$C$87)*12,S$3=Inputs!$C$15*12),-MAX(S77+S78-S80,0),0),0)</f>
        <v>0</v>
      </c>
      <c r="T81" s="153">
        <f>IF(T$3&lt;=Inputs!$C$15*12,IF(OR(T$3=(Inputs!$C$16+Inputs!$C$87)*12,T$3=Inputs!$C$15*12),-MAX(T77+T78-T80,0),0),0)</f>
        <v>0</v>
      </c>
      <c r="U81" s="153">
        <f>IF(U$3&lt;=Inputs!$C$15*12,IF(OR(U$3=(Inputs!$C$16+Inputs!$C$87)*12,U$3=Inputs!$C$15*12),-MAX(U77+U78-U80,0),0),0)</f>
        <v>0</v>
      </c>
      <c r="V81" s="153">
        <f>IF(V$3&lt;=Inputs!$C$15*12,IF(OR(V$3=(Inputs!$C$16+Inputs!$C$87)*12,V$3=Inputs!$C$15*12),-MAX(V77+V78-V80,0),0),0)</f>
        <v>0</v>
      </c>
      <c r="W81" s="153">
        <f>IF(W$3&lt;=Inputs!$C$15*12,IF(OR(W$3=(Inputs!$C$16+Inputs!$C$87)*12,W$3=Inputs!$C$15*12),-MAX(W77+W78-W80,0),0),0)</f>
        <v>0</v>
      </c>
      <c r="X81" s="153">
        <f>IF(X$3&lt;=Inputs!$C$15*12,IF(OR(X$3=(Inputs!$C$16+Inputs!$C$87)*12,X$3=Inputs!$C$15*12),-MAX(X77+X78-X80,0),0),0)</f>
        <v>0</v>
      </c>
      <c r="Y81" s="153">
        <f>IF(Y$3&lt;=Inputs!$C$15*12,IF(OR(Y$3=(Inputs!$C$16+Inputs!$C$87)*12,Y$3=Inputs!$C$15*12),-MAX(Y77+Y78-Y80,0),0),0)</f>
        <v>0</v>
      </c>
      <c r="Z81" s="153">
        <f>IF(Z$3&lt;=Inputs!$C$15*12,IF(OR(Z$3=(Inputs!$C$16+Inputs!$C$87)*12,Z$3=Inputs!$C$15*12),-MAX(Z77+Z78-Z80,0),0),0)</f>
        <v>0</v>
      </c>
      <c r="AA81" s="153">
        <f>IF(AA$3&lt;=Inputs!$C$15*12,IF(OR(AA$3=(Inputs!$C$16+Inputs!$C$87)*12,AA$3=Inputs!$C$15*12),-MAX(AA77+AA78-AA80,0),0),0)</f>
        <v>0</v>
      </c>
      <c r="AB81" s="153">
        <f>IF(AB$3&lt;=Inputs!$C$15*12,IF(OR(AB$3=(Inputs!$C$16+Inputs!$C$87)*12,AB$3=Inputs!$C$15*12),-MAX(AB77+AB78-AB80,0),0),0)</f>
        <v>0</v>
      </c>
      <c r="AC81" s="153">
        <f>IF(AC$3&lt;=Inputs!$C$15*12,IF(OR(AC$3=(Inputs!$C$16+Inputs!$C$87)*12,AC$3=Inputs!$C$15*12),-MAX(AC77+AC78-AC80,0),0),0)</f>
        <v>0</v>
      </c>
      <c r="AD81" s="153">
        <f>IF(AD$3&lt;=Inputs!$C$15*12,IF(OR(AD$3=(Inputs!$C$16+Inputs!$C$87)*12,AD$3=Inputs!$C$15*12),-MAX(AD77+AD78-AD80,0),0),0)</f>
        <v>0</v>
      </c>
      <c r="AE81" s="153">
        <f>IF(AE$3&lt;=Inputs!$C$15*12,IF(OR(AE$3=(Inputs!$C$16+Inputs!$C$87)*12,AE$3=Inputs!$C$15*12),-MAX(AE77+AE78-AE80,0),0),0)</f>
        <v>0</v>
      </c>
      <c r="AF81" s="153">
        <f>IF(AF$3&lt;=Inputs!$C$15*12,IF(OR(AF$3=(Inputs!$C$16+Inputs!$C$87)*12,AF$3=Inputs!$C$15*12),-MAX(AF77+AF78-AF80,0),0),0)</f>
        <v>0</v>
      </c>
      <c r="AG81" s="153">
        <f>IF(AG$3&lt;=Inputs!$C$15*12,IF(OR(AG$3=(Inputs!$C$16+Inputs!$C$87)*12,AG$3=Inputs!$C$15*12),-MAX(AG77+AG78-AG80,0),0),0)</f>
        <v>0</v>
      </c>
      <c r="AH81" s="153">
        <f>IF(AH$3&lt;=Inputs!$C$15*12,IF(OR(AH$3=(Inputs!$C$16+Inputs!$C$87)*12,AH$3=Inputs!$C$15*12),-MAX(AH77+AH78-AH80,0),0),0)</f>
        <v>0</v>
      </c>
      <c r="AI81" s="153">
        <f>IF(AI$3&lt;=Inputs!$C$15*12,IF(OR(AI$3=(Inputs!$C$16+Inputs!$C$87)*12,AI$3=Inputs!$C$15*12),-MAX(AI77+AI78-AI80,0),0),0)</f>
        <v>0</v>
      </c>
      <c r="AJ81" s="153">
        <f>IF(AJ$3&lt;=Inputs!$C$15*12,IF(OR(AJ$3=(Inputs!$C$16+Inputs!$C$87)*12,AJ$3=Inputs!$C$15*12),-MAX(AJ77+AJ78-AJ80,0),0),0)</f>
        <v>0</v>
      </c>
      <c r="AK81" s="153">
        <f>IF(AK$3&lt;=Inputs!$C$15*12,IF(OR(AK$3=(Inputs!$C$16+Inputs!$C$87)*12,AK$3=Inputs!$C$15*12),-MAX(AK77+AK78-AK80,0),0),0)</f>
        <v>0</v>
      </c>
      <c r="AL81" s="153">
        <f>IF(AL$3&lt;=Inputs!$C$15*12,IF(OR(AL$3=(Inputs!$C$16+Inputs!$C$87)*12,AL$3=Inputs!$C$15*12),-MAX(AL77+AL78-AL80,0),0),0)</f>
        <v>0</v>
      </c>
      <c r="AM81" s="153">
        <f>IF(AM$3&lt;=Inputs!$C$15*12,IF(OR(AM$3=(Inputs!$C$16+Inputs!$C$87)*12,AM$3=Inputs!$C$15*12),-MAX(AM77+AM78-AM80,0),0),0)</f>
        <v>0</v>
      </c>
      <c r="AN81" s="153">
        <f>IF(AN$3&lt;=Inputs!$C$15*12,IF(OR(AN$3=(Inputs!$C$16+Inputs!$C$87)*12,AN$3=Inputs!$C$15*12),-MAX(AN77+AN78-AN80,0),0),0)</f>
        <v>0</v>
      </c>
      <c r="AO81" s="153">
        <f>IF(AO$3&lt;=Inputs!$C$15*12,IF(OR(AO$3=(Inputs!$C$16+Inputs!$C$87)*12,AO$3=Inputs!$C$15*12),-MAX(AO77+AO78-AO80,0),0),0)</f>
        <v>0</v>
      </c>
      <c r="AP81" s="153">
        <f>IF(AP$3&lt;=Inputs!$C$15*12,IF(OR(AP$3=(Inputs!$C$16+Inputs!$C$87)*12,AP$3=Inputs!$C$15*12),-MAX(AP77+AP78-AP80,0),0),0)</f>
        <v>0</v>
      </c>
      <c r="AQ81" s="153">
        <f>IF(AQ$3&lt;=Inputs!$C$15*12,IF(OR(AQ$3=(Inputs!$C$16+Inputs!$C$87)*12,AQ$3=Inputs!$C$15*12),-MAX(AQ77+AQ78-AQ80,0),0),0)</f>
        <v>0</v>
      </c>
      <c r="AR81" s="153">
        <f>IF(AR$3&lt;=Inputs!$C$15*12,IF(OR(AR$3=(Inputs!$C$16+Inputs!$C$87)*12,AR$3=Inputs!$C$15*12),-MAX(AR77+AR78-AR80,0),0),0)</f>
        <v>0</v>
      </c>
      <c r="AS81" s="153">
        <f>IF(AS$3&lt;=Inputs!$C$15*12,IF(OR(AS$3=(Inputs!$C$16+Inputs!$C$87)*12,AS$3=Inputs!$C$15*12),-MAX(AS77+AS78-AS80,0),0),0)</f>
        <v>0</v>
      </c>
      <c r="AT81" s="153">
        <f>IF(AT$3&lt;=Inputs!$C$15*12,IF(OR(AT$3=(Inputs!$C$16+Inputs!$C$87)*12,AT$3=Inputs!$C$15*12),-MAX(AT77+AT78-AT80,0),0),0)</f>
        <v>0</v>
      </c>
      <c r="AU81" s="153">
        <f>IF(AU$3&lt;=Inputs!$C$15*12,IF(OR(AU$3=(Inputs!$C$16+Inputs!$C$87)*12,AU$3=Inputs!$C$15*12),-MAX(AU77+AU78-AU80,0),0),0)</f>
        <v>0</v>
      </c>
      <c r="AV81" s="153">
        <f>IF(AV$3&lt;=Inputs!$C$15*12,IF(OR(AV$3=(Inputs!$C$16+Inputs!$C$87)*12,AV$3=Inputs!$C$15*12),-MAX(AV77+AV78-AV80,0),0),0)</f>
        <v>0</v>
      </c>
      <c r="AW81" s="153">
        <f>IF(AW$3&lt;=Inputs!$C$15*12,IF(OR(AW$3=(Inputs!$C$16+Inputs!$C$87)*12,AW$3=Inputs!$C$15*12),-MAX(AW77+AW78-AW80,0),0),0)</f>
        <v>0</v>
      </c>
      <c r="AX81" s="153">
        <f>IF(AX$3&lt;=Inputs!$C$15*12,IF(OR(AX$3=(Inputs!$C$16+Inputs!$C$87)*12,AX$3=Inputs!$C$15*12),-MAX(AX77+AX78-AX80,0),0),0)</f>
        <v>0</v>
      </c>
      <c r="AY81" s="153">
        <f>IF(AY$3&lt;=Inputs!$C$15*12,IF(OR(AY$3=(Inputs!$C$16+Inputs!$C$87)*12,AY$3=Inputs!$C$15*12),-MAX(AY77+AY78-AY80,0),0),0)</f>
        <v>0</v>
      </c>
      <c r="AZ81" s="153">
        <f>IF(AZ$3&lt;=Inputs!$C$15*12,IF(OR(AZ$3=(Inputs!$C$16+Inputs!$C$87)*12,AZ$3=Inputs!$C$15*12),-MAX(AZ77+AZ78-AZ80,0),0),0)</f>
        <v>0</v>
      </c>
      <c r="BA81" s="153">
        <f>IF(BA$3&lt;=Inputs!$C$15*12,IF(OR(BA$3=(Inputs!$C$16+Inputs!$C$87)*12,BA$3=Inputs!$C$15*12),-MAX(BA77+BA78-BA80,0),0),0)</f>
        <v>0</v>
      </c>
      <c r="BB81" s="153">
        <f>IF(BB$3&lt;=Inputs!$C$15*12,IF(OR(BB$3=(Inputs!$C$16+Inputs!$C$87)*12,BB$3=Inputs!$C$15*12),-MAX(BB77+BB78-BB80,0),0),0)</f>
        <v>0</v>
      </c>
      <c r="BC81" s="153">
        <f>IF(BC$3&lt;=Inputs!$C$15*12,IF(OR(BC$3=(Inputs!$C$16+Inputs!$C$87)*12,BC$3=Inputs!$C$15*12),-MAX(BC77+BC78-BC80,0),0),0)</f>
        <v>0</v>
      </c>
      <c r="BD81" s="153">
        <f>IF(BD$3&lt;=Inputs!$C$15*12,IF(OR(BD$3=(Inputs!$C$16+Inputs!$C$87)*12,BD$3=Inputs!$C$15*12),-MAX(BD77+BD78-BD80,0),0),0)</f>
        <v>0</v>
      </c>
      <c r="BE81" s="153">
        <f>IF(BE$3&lt;=Inputs!$C$15*12,IF(OR(BE$3=(Inputs!$C$16+Inputs!$C$87)*12,BE$3=Inputs!$C$15*12),-MAX(BE77+BE78-BE80,0),0),0)</f>
        <v>0</v>
      </c>
      <c r="BF81" s="153">
        <f>IF(BF$3&lt;=Inputs!$C$15*12,IF(OR(BF$3=(Inputs!$C$16+Inputs!$C$87)*12,BF$3=Inputs!$C$15*12),-MAX(BF77+BF78-BF80,0),0),0)</f>
        <v>0</v>
      </c>
      <c r="BG81" s="153">
        <f>IF(BG$3&lt;=Inputs!$C$15*12,IF(OR(BG$3=(Inputs!$C$16+Inputs!$C$87)*12,BG$3=Inputs!$C$15*12),-MAX(BG77+BG78-BG80,0),0),0)</f>
        <v>0</v>
      </c>
      <c r="BH81" s="153">
        <f>IF(BH$3&lt;=Inputs!$C$15*12,IF(OR(BH$3=(Inputs!$C$16+Inputs!$C$87)*12,BH$3=Inputs!$C$15*12),-MAX(BH77+BH78-BH80,0),0),0)</f>
        <v>0</v>
      </c>
      <c r="BI81" s="153">
        <f>IF(BI$3&lt;=Inputs!$C$15*12,IF(OR(BI$3=(Inputs!$C$16+Inputs!$C$87)*12,BI$3=Inputs!$C$15*12),-MAX(BI77+BI78-BI80,0),0),0)</f>
        <v>0</v>
      </c>
      <c r="BJ81" s="153">
        <f>IF(BJ$3&lt;=Inputs!$C$15*12,IF(OR(BJ$3=(Inputs!$C$16+Inputs!$C$87)*12,BJ$3=Inputs!$C$15*12),-MAX(BJ77+BJ78-BJ80,0),0),0)</f>
        <v>0</v>
      </c>
      <c r="BK81" s="153">
        <f>IF(BK$3&lt;=Inputs!$C$15*12,IF(OR(BK$3=(Inputs!$C$16+Inputs!$C$87)*12,BK$3=Inputs!$C$15*12),-MAX(BK77+BK78-BK80,0),0),0)</f>
        <v>0</v>
      </c>
      <c r="BL81" s="153">
        <f>IF(BL$3&lt;=Inputs!$C$15*12,IF(OR(BL$3=(Inputs!$C$16+Inputs!$C$87)*12,BL$3=Inputs!$C$15*12),-MAX(BL77+BL78-BL80,0),0),0)</f>
        <v>0</v>
      </c>
      <c r="BM81" s="153">
        <f>IF(BM$3&lt;=Inputs!$C$15*12,IF(OR(BM$3=(Inputs!$C$16+Inputs!$C$87)*12,BM$3=Inputs!$C$15*12),-MAX(BM77+BM78-BM80,0),0),0)</f>
        <v>0</v>
      </c>
      <c r="BN81" s="153">
        <f>IF(BN$3&lt;=Inputs!$C$15*12,IF(OR(BN$3=(Inputs!$C$16+Inputs!$C$87)*12,BN$3=Inputs!$C$15*12),-MAX(BN77+BN78-BN80,0),0),0)</f>
        <v>0</v>
      </c>
      <c r="BO81" s="153">
        <f>IF(BO$3&lt;=Inputs!$C$15*12,IF(OR(BO$3=(Inputs!$C$16+Inputs!$C$87)*12,BO$3=Inputs!$C$15*12),-MAX(BO77+BO78-BO80,0),0),0)</f>
        <v>0</v>
      </c>
      <c r="BP81" s="153">
        <f>IF(BP$3&lt;=Inputs!$C$15*12,IF(OR(BP$3=(Inputs!$C$16+Inputs!$C$87)*12,BP$3=Inputs!$C$15*12),-MAX(BP77+BP78-BP80,0),0),0)</f>
        <v>0</v>
      </c>
      <c r="BQ81" s="153">
        <f>IF(BQ$3&lt;=Inputs!$C$15*12,IF(OR(BQ$3=(Inputs!$C$16+Inputs!$C$87)*12,BQ$3=Inputs!$C$15*12),-MAX(BQ77+BQ78-BQ80,0),0),0)</f>
        <v>0</v>
      </c>
      <c r="BR81" s="153">
        <f>IF(BR$3&lt;=Inputs!$C$15*12,IF(OR(BR$3=(Inputs!$C$16+Inputs!$C$87)*12,BR$3=Inputs!$C$15*12),-MAX(BR77+BR78-BR80,0),0),0)</f>
        <v>0</v>
      </c>
      <c r="BS81" s="153">
        <f>IF(BS$3&lt;=Inputs!$C$15*12,IF(OR(BS$3=(Inputs!$C$16+Inputs!$C$87)*12,BS$3=Inputs!$C$15*12),-MAX(BS77+BS78-BS80,0),0),0)</f>
        <v>0</v>
      </c>
      <c r="BT81" s="153">
        <f>IF(BT$3&lt;=Inputs!$C$15*12,IF(OR(BT$3=(Inputs!$C$16+Inputs!$C$87)*12,BT$3=Inputs!$C$15*12),-MAX(BT77+BT78-BT80,0),0),0)</f>
        <v>0</v>
      </c>
      <c r="BU81" s="153">
        <f>IF(BU$3&lt;=Inputs!$C$15*12,IF(OR(BU$3=(Inputs!$C$16+Inputs!$C$87)*12,BU$3=Inputs!$C$15*12),-MAX(BU77+BU78-BU80,0),0),0)</f>
        <v>0</v>
      </c>
      <c r="BV81" s="153">
        <f>IF(BV$3&lt;=Inputs!$C$15*12,IF(OR(BV$3=(Inputs!$C$16+Inputs!$C$87)*12,BV$3=Inputs!$C$15*12),-MAX(BV77+BV78-BV80,0),0),0)</f>
        <v>0</v>
      </c>
      <c r="BW81" s="153">
        <f>IF(BW$3&lt;=Inputs!$C$15*12,IF(OR(BW$3=(Inputs!$C$16+Inputs!$C$87)*12,BW$3=Inputs!$C$15*12),-MAX(BW77+BW78-BW80,0),0),0)</f>
        <v>0</v>
      </c>
      <c r="BX81" s="153">
        <f>IF(BX$3&lt;=Inputs!$C$15*12,IF(OR(BX$3=(Inputs!$C$16+Inputs!$C$87)*12,BX$3=Inputs!$C$15*12),-MAX(BX77+BX78-BX80,0),0),0)</f>
        <v>0</v>
      </c>
      <c r="BY81" s="153">
        <f>IF(BY$3&lt;=Inputs!$C$15*12,IF(OR(BY$3=(Inputs!$C$16+Inputs!$C$87)*12,BY$3=Inputs!$C$15*12),-MAX(BY77+BY78-BY80,0),0),0)</f>
        <v>0</v>
      </c>
      <c r="BZ81" s="153">
        <f>IF(BZ$3&lt;=Inputs!$C$15*12,IF(OR(BZ$3=(Inputs!$C$16+Inputs!$C$87)*12,BZ$3=Inputs!$C$15*12),-MAX(BZ77+BZ78-BZ80,0),0),0)</f>
        <v>0</v>
      </c>
      <c r="CA81" s="153">
        <f>IF(CA$3&lt;=Inputs!$C$15*12,IF(OR(CA$3=(Inputs!$C$16+Inputs!$C$87)*12,CA$3=Inputs!$C$15*12),-MAX(CA77+CA78-CA80,0),0),0)</f>
        <v>0</v>
      </c>
      <c r="CB81" s="153">
        <f>IF(CB$3&lt;=Inputs!$C$15*12,IF(OR(CB$3=(Inputs!$C$16+Inputs!$C$87)*12,CB$3=Inputs!$C$15*12),-MAX(CB77+CB78-CB80,0),0),0)</f>
        <v>0</v>
      </c>
      <c r="CC81" s="153">
        <f>IF(CC$3&lt;=Inputs!$C$15*12,IF(OR(CC$3=(Inputs!$C$16+Inputs!$C$87)*12,CC$3=Inputs!$C$15*12),-MAX(CC77+CC78-CC80,0),0),0)</f>
        <v>0</v>
      </c>
      <c r="CD81" s="153">
        <f>IF(CD$3&lt;=Inputs!$C$15*12,IF(OR(CD$3=(Inputs!$C$16+Inputs!$C$87)*12,CD$3=Inputs!$C$15*12),-MAX(CD77+CD78-CD80,0),0),0)</f>
        <v>0</v>
      </c>
      <c r="CE81" s="153">
        <f>IF(CE$3&lt;=Inputs!$C$15*12,IF(OR(CE$3=(Inputs!$C$16+Inputs!$C$87)*12,CE$3=Inputs!$C$15*12),-MAX(CE77+CE78-CE80,0),0),0)</f>
        <v>0</v>
      </c>
      <c r="CF81" s="153">
        <f>IF(CF$3&lt;=Inputs!$C$15*12,IF(OR(CF$3=(Inputs!$C$16+Inputs!$C$87)*12,CF$3=Inputs!$C$15*12),-MAX(CF77+CF78-CF80,0),0),0)</f>
        <v>0</v>
      </c>
      <c r="CG81" s="153">
        <f>IF(CG$3&lt;=Inputs!$C$15*12,IF(OR(CG$3=(Inputs!$C$16+Inputs!$C$87)*12,CG$3=Inputs!$C$15*12),-MAX(CG77+CG78-CG80,0),0),0)</f>
        <v>0</v>
      </c>
      <c r="CH81" s="153">
        <f>IF(CH$3&lt;=Inputs!$C$15*12,IF(OR(CH$3=(Inputs!$C$16+Inputs!$C$87)*12,CH$3=Inputs!$C$15*12),-MAX(CH77+CH78-CH80,0),0),0)</f>
        <v>0</v>
      </c>
      <c r="CI81" s="153">
        <f>IF(CI$3&lt;=Inputs!$C$15*12,IF(OR(CI$3=(Inputs!$C$16+Inputs!$C$87)*12,CI$3=Inputs!$C$15*12),-MAX(CI77+CI78-CI80,0),0),0)</f>
        <v>0</v>
      </c>
      <c r="CJ81" s="153">
        <f>IF(CJ$3&lt;=Inputs!$C$15*12,IF(OR(CJ$3=(Inputs!$C$16+Inputs!$C$87)*12,CJ$3=Inputs!$C$15*12),-MAX(CJ77+CJ78-CJ80,0),0),0)</f>
        <v>0</v>
      </c>
      <c r="CK81" s="153">
        <f>IF(CK$3&lt;=Inputs!$C$15*12,IF(OR(CK$3=(Inputs!$C$16+Inputs!$C$87)*12,CK$3=Inputs!$C$15*12),-MAX(CK77+CK78-CK80,0),0),0)</f>
        <v>0</v>
      </c>
      <c r="CL81" s="153">
        <f>IF(CL$3&lt;=Inputs!$C$15*12,IF(OR(CL$3=(Inputs!$C$16+Inputs!$C$87)*12,CL$3=Inputs!$C$15*12),-MAX(CL77+CL78-CL80,0),0),0)</f>
        <v>0</v>
      </c>
      <c r="CM81" s="153">
        <f>IF(CM$3&lt;=Inputs!$C$15*12,IF(OR(CM$3=(Inputs!$C$16+Inputs!$C$87)*12,CM$3=Inputs!$C$15*12),-MAX(CM77+CM78-CM80,0),0),0)</f>
        <v>0</v>
      </c>
      <c r="CN81" s="153">
        <f>IF(CN$3&lt;=Inputs!$C$15*12,IF(OR(CN$3=(Inputs!$C$16+Inputs!$C$87)*12,CN$3=Inputs!$C$15*12),-MAX(CN77+CN78-CN80,0),0),0)</f>
        <v>0</v>
      </c>
      <c r="CO81" s="153">
        <f>IF(CO$3&lt;=Inputs!$C$15*12,IF(OR(CO$3=(Inputs!$C$16+Inputs!$C$87)*12,CO$3=Inputs!$C$15*12),-MAX(CO77+CO78-CO80,0),0),0)</f>
        <v>0</v>
      </c>
      <c r="CP81" s="153">
        <f>IF(CP$3&lt;=Inputs!$C$15*12,IF(OR(CP$3=(Inputs!$C$16+Inputs!$C$87)*12,CP$3=Inputs!$C$15*12),-MAX(CP77+CP78-CP80,0),0),0)</f>
        <v>0</v>
      </c>
      <c r="CQ81" s="153">
        <f>IF(CQ$3&lt;=Inputs!$C$15*12,IF(OR(CQ$3=(Inputs!$C$16+Inputs!$C$87)*12,CQ$3=Inputs!$C$15*12),-MAX(CQ77+CQ78-CQ80,0),0),0)</f>
        <v>0</v>
      </c>
      <c r="CR81" s="153">
        <f>IF(CR$3&lt;=Inputs!$C$15*12,IF(OR(CR$3=(Inputs!$C$16+Inputs!$C$87)*12,CR$3=Inputs!$C$15*12),-MAX(CR77+CR78-CR80,0),0),0)</f>
        <v>0</v>
      </c>
      <c r="CS81" s="153">
        <f>IF(CS$3&lt;=Inputs!$C$15*12,IF(OR(CS$3=(Inputs!$C$16+Inputs!$C$87)*12,CS$3=Inputs!$C$15*12),-MAX(CS77+CS78-CS80,0),0),0)</f>
        <v>0</v>
      </c>
      <c r="CT81" s="153">
        <f>IF(CT$3&lt;=Inputs!$C$15*12,IF(OR(CT$3=(Inputs!$C$16+Inputs!$C$87)*12,CT$3=Inputs!$C$15*12),-MAX(CT77+CT78-CT80,0),0),0)</f>
        <v>0</v>
      </c>
      <c r="CU81" s="153">
        <f>IF(CU$3&lt;=Inputs!$C$15*12,IF(OR(CU$3=(Inputs!$C$16+Inputs!$C$87)*12,CU$3=Inputs!$C$15*12),-MAX(CU77+CU78-CU80,0),0),0)</f>
        <v>0</v>
      </c>
      <c r="CV81" s="153">
        <f>IF(CV$3&lt;=Inputs!$C$15*12,IF(OR(CV$3=(Inputs!$C$16+Inputs!$C$87)*12,CV$3=Inputs!$C$15*12),-MAX(CV77+CV78-CV80,0),0),0)</f>
        <v>0</v>
      </c>
      <c r="CW81" s="153">
        <f>IF(CW$3&lt;=Inputs!$C$15*12,IF(OR(CW$3=(Inputs!$C$16+Inputs!$C$87)*12,CW$3=Inputs!$C$15*12),-MAX(CW77+CW78-CW80,0),0),0)</f>
        <v>0</v>
      </c>
      <c r="CX81" s="153">
        <f>IF(CX$3&lt;=Inputs!$C$15*12,IF(OR(CX$3=(Inputs!$C$16+Inputs!$C$87)*12,CX$3=Inputs!$C$15*12),-MAX(CX77+CX78-CX80,0),0),0)</f>
        <v>0</v>
      </c>
      <c r="CY81" s="153">
        <f>IF(CY$3&lt;=Inputs!$C$15*12,IF(OR(CY$3=(Inputs!$C$16+Inputs!$C$87)*12,CY$3=Inputs!$C$15*12),-MAX(CY77+CY78-CY80,0),0),0)</f>
        <v>0</v>
      </c>
      <c r="CZ81" s="153">
        <f>IF(CZ$3&lt;=Inputs!$C$15*12,IF(OR(CZ$3=(Inputs!$C$16+Inputs!$C$87)*12,CZ$3=Inputs!$C$15*12),-MAX(CZ77+CZ78-CZ80,0),0),0)</f>
        <v>0</v>
      </c>
      <c r="DA81" s="153">
        <f>IF(DA$3&lt;=Inputs!$C$15*12,IF(OR(DA$3=(Inputs!$C$16+Inputs!$C$87)*12,DA$3=Inputs!$C$15*12),-MAX(DA77+DA78-DA80,0),0),0)</f>
        <v>0</v>
      </c>
      <c r="DB81" s="153">
        <f>IF(DB$3&lt;=Inputs!$C$15*12,IF(OR(DB$3=(Inputs!$C$16+Inputs!$C$87)*12,DB$3=Inputs!$C$15*12),-MAX(DB77+DB78-DB80,0),0),0)</f>
        <v>0</v>
      </c>
      <c r="DC81" s="153">
        <f>IF(DC$3&lt;=Inputs!$C$15*12,IF(OR(DC$3=(Inputs!$C$16+Inputs!$C$87)*12,DC$3=Inputs!$C$15*12),-MAX(DC77+DC78-DC80,0),0),0)</f>
        <v>0</v>
      </c>
      <c r="DD81" s="153">
        <f>IF(DD$3&lt;=Inputs!$C$15*12,IF(OR(DD$3=(Inputs!$C$16+Inputs!$C$87)*12,DD$3=Inputs!$C$15*12),-MAX(DD77+DD78-DD80,0),0),0)</f>
        <v>0</v>
      </c>
      <c r="DE81" s="153">
        <f>IF(DE$3&lt;=Inputs!$C$15*12,IF(OR(DE$3=(Inputs!$C$16+Inputs!$C$87)*12,DE$3=Inputs!$C$15*12),-MAX(DE77+DE78-DE80,0),0),0)</f>
        <v>0</v>
      </c>
      <c r="DF81" s="153">
        <f>IF(DF$3&lt;=Inputs!$C$15*12,IF(OR(DF$3=(Inputs!$C$16+Inputs!$C$87)*12,DF$3=Inputs!$C$15*12),-MAX(DF77+DF78-DF80,0),0),0)</f>
        <v>0</v>
      </c>
      <c r="DG81" s="153">
        <f>IF(DG$3&lt;=Inputs!$C$15*12,IF(OR(DG$3=(Inputs!$C$16+Inputs!$C$87)*12,DG$3=Inputs!$C$15*12),-MAX(DG77+DG78-DG80,0),0),0)</f>
        <v>0</v>
      </c>
      <c r="DH81" s="153">
        <f>IF(DH$3&lt;=Inputs!$C$15*12,IF(OR(DH$3=(Inputs!$C$16+Inputs!$C$87)*12,DH$3=Inputs!$C$15*12),-MAX(DH77+DH78-DH80,0),0),0)</f>
        <v>0</v>
      </c>
      <c r="DI81" s="153">
        <f>IF(DI$3&lt;=Inputs!$C$15*12,IF(OR(DI$3=(Inputs!$C$16+Inputs!$C$87)*12,DI$3=Inputs!$C$15*12),-MAX(DI77+DI78-DI80,0),0),0)</f>
        <v>0</v>
      </c>
      <c r="DJ81" s="153">
        <f>IF(DJ$3&lt;=Inputs!$C$15*12,IF(OR(DJ$3=(Inputs!$C$16+Inputs!$C$87)*12,DJ$3=Inputs!$C$15*12),-MAX(DJ77+DJ78-DJ80,0),0),0)</f>
        <v>0</v>
      </c>
      <c r="DK81" s="153">
        <f>IF(DK$3&lt;=Inputs!$C$15*12,IF(OR(DK$3=(Inputs!$C$16+Inputs!$C$87)*12,DK$3=Inputs!$C$15*12),-MAX(DK77+DK78-DK80,0),0),0)</f>
        <v>0</v>
      </c>
      <c r="DL81" s="153">
        <f>IF(DL$3&lt;=Inputs!$C$15*12,IF(OR(DL$3=(Inputs!$C$16+Inputs!$C$87)*12,DL$3=Inputs!$C$15*12),-MAX(DL77+DL78-DL80,0),0),0)</f>
        <v>0</v>
      </c>
      <c r="DM81" s="153">
        <f>IF(DM$3&lt;=Inputs!$C$15*12,IF(OR(DM$3=(Inputs!$C$16+Inputs!$C$87)*12,DM$3=Inputs!$C$15*12),-MAX(DM77+DM78-DM80,0),0),0)</f>
        <v>0</v>
      </c>
      <c r="DN81" s="153">
        <f>IF(DN$3&lt;=Inputs!$C$15*12,IF(OR(DN$3=(Inputs!$C$16+Inputs!$C$87)*12,DN$3=Inputs!$C$15*12),-MAX(DN77+DN78-DN80,0),0),0)</f>
        <v>0</v>
      </c>
      <c r="DO81" s="153">
        <f>IF(DO$3&lt;=Inputs!$C$15*12,IF(OR(DO$3=(Inputs!$C$16+Inputs!$C$87)*12,DO$3=Inputs!$C$15*12),-MAX(DO77+DO78-DO80,0),0),0)</f>
        <v>0</v>
      </c>
      <c r="DP81" s="153">
        <f>IF(DP$3&lt;=Inputs!$C$15*12,IF(OR(DP$3=(Inputs!$C$16+Inputs!$C$87)*12,DP$3=Inputs!$C$15*12),-MAX(DP77+DP78-DP80,0),0),0)</f>
        <v>0</v>
      </c>
      <c r="DQ81" s="153">
        <f>IF(DQ$3&lt;=Inputs!$C$15*12,IF(OR(DQ$3=(Inputs!$C$16+Inputs!$C$87)*12,DQ$3=Inputs!$C$15*12),-MAX(DQ77+DQ78-DQ80,0),0),0)</f>
        <v>0</v>
      </c>
      <c r="DR81" s="153">
        <f>IF(DR$3&lt;=Inputs!$C$15*12,IF(OR(DR$3=(Inputs!$C$16+Inputs!$C$87)*12,DR$3=Inputs!$C$15*12),-MAX(DR77+DR78-DR80,0),0),0)</f>
        <v>0</v>
      </c>
      <c r="DS81" s="54"/>
    </row>
    <row r="82" ht="15.75" customHeight="1">
      <c r="A82" s="54"/>
      <c r="B82" s="108" t="s">
        <v>328</v>
      </c>
      <c r="C82" s="175">
        <f>IF(C$3&lt;=Inputs!$C$15*12,MAX(C77+C78-C80+C81,0),0)</f>
        <v>0</v>
      </c>
      <c r="D82" s="175">
        <f>IF(D$3&lt;=Inputs!$C$15*12,MAX(D77+D78-D80+D81,0),0)</f>
        <v>0</v>
      </c>
      <c r="E82" s="175">
        <f>IF(E$3&lt;=Inputs!$C$15*12,MAX(E77+E78-E80+E81,0),0)</f>
        <v>0</v>
      </c>
      <c r="F82" s="175">
        <f>IF(F$3&lt;=Inputs!$C$15*12,MAX(F77+F78-F80+F81,0),0)</f>
        <v>0</v>
      </c>
      <c r="G82" s="175">
        <f>IF(G$3&lt;=Inputs!$C$15*12,MAX(G77+G78-G80+G81,0),0)</f>
        <v>0</v>
      </c>
      <c r="H82" s="175">
        <f>IF(H$3&lt;=Inputs!$C$15*12,MAX(H77+H78-H80+H81,0),0)</f>
        <v>0</v>
      </c>
      <c r="I82" s="175">
        <f>IF(I$3&lt;=Inputs!$C$15*12,MAX(I77+I78-I80+I81,0),0)</f>
        <v>0</v>
      </c>
      <c r="J82" s="175">
        <f>IF(J$3&lt;=Inputs!$C$15*12,MAX(J77+J78-J80+J81,0),0)</f>
        <v>0</v>
      </c>
      <c r="K82" s="175">
        <f>IF(K$3&lt;=Inputs!$C$15*12,MAX(K77+K78-K80+K81,0),0)</f>
        <v>0</v>
      </c>
      <c r="L82" s="175">
        <f>IF(L$3&lt;=Inputs!$C$15*12,MAX(L77+L78-L80+L81,0),0)</f>
        <v>0</v>
      </c>
      <c r="M82" s="175">
        <f>IF(M$3&lt;=Inputs!$C$15*12,MAX(M77+M78-M80+M81,0),0)</f>
        <v>0</v>
      </c>
      <c r="N82" s="175">
        <f>IF(N$3&lt;=Inputs!$C$15*12,MAX(N77+N78-N80+N81,0),0)</f>
        <v>0</v>
      </c>
      <c r="O82" s="175">
        <f>IF(O$3&lt;=Inputs!$C$15*12,MAX(O77+O78-O80+O81,0),0)</f>
        <v>0</v>
      </c>
      <c r="P82" s="175">
        <f>IF(P$3&lt;=Inputs!$C$15*12,MAX(P77+P78-P80+P81,0),0)</f>
        <v>0</v>
      </c>
      <c r="Q82" s="175">
        <f>IF(Q$3&lt;=Inputs!$C$15*12,MAX(Q77+Q78-Q80+Q81,0),0)</f>
        <v>0</v>
      </c>
      <c r="R82" s="175">
        <f>IF(R$3&lt;=Inputs!$C$15*12,MAX(R77+R78-R80+R81,0),0)</f>
        <v>0</v>
      </c>
      <c r="S82" s="175">
        <f>IF(S$3&lt;=Inputs!$C$15*12,MAX(S77+S78-S80+S81,0),0)</f>
        <v>0</v>
      </c>
      <c r="T82" s="175">
        <f>IF(T$3&lt;=Inputs!$C$15*12,MAX(T77+T78-T80+T81,0),0)</f>
        <v>0</v>
      </c>
      <c r="U82" s="175">
        <f>IF(U$3&lt;=Inputs!$C$15*12,MAX(U77+U78-U80+U81,0),0)</f>
        <v>0</v>
      </c>
      <c r="V82" s="175">
        <f>IF(V$3&lt;=Inputs!$C$15*12,MAX(V77+V78-V80+V81,0),0)</f>
        <v>0</v>
      </c>
      <c r="W82" s="175">
        <f>IF(W$3&lt;=Inputs!$C$15*12,MAX(W77+W78-W80+W81,0),0)</f>
        <v>0</v>
      </c>
      <c r="X82" s="175">
        <f>IF(X$3&lt;=Inputs!$C$15*12,MAX(X77+X78-X80+X81,0),0)</f>
        <v>0</v>
      </c>
      <c r="Y82" s="175">
        <f>IF(Y$3&lt;=Inputs!$C$15*12,MAX(Y77+Y78-Y80+Y81,0),0)</f>
        <v>0</v>
      </c>
      <c r="Z82" s="175">
        <f>IF(Z$3&lt;=Inputs!$C$15*12,MAX(Z77+Z78-Z80+Z81,0),0)</f>
        <v>0</v>
      </c>
      <c r="AA82" s="175">
        <f>IF(AA$3&lt;=Inputs!$C$15*12,MAX(AA77+AA78-AA80+AA81,0),0)</f>
        <v>0</v>
      </c>
      <c r="AB82" s="175">
        <f>IF(AB$3&lt;=Inputs!$C$15*12,MAX(AB77+AB78-AB80+AB81,0),0)</f>
        <v>0</v>
      </c>
      <c r="AC82" s="175">
        <f>IF(AC$3&lt;=Inputs!$C$15*12,MAX(AC77+AC78-AC80+AC81,0),0)</f>
        <v>0</v>
      </c>
      <c r="AD82" s="175">
        <f>IF(AD$3&lt;=Inputs!$C$15*12,MAX(AD77+AD78-AD80+AD81,0),0)</f>
        <v>0</v>
      </c>
      <c r="AE82" s="175">
        <f>IF(AE$3&lt;=Inputs!$C$15*12,MAX(AE77+AE78-AE80+AE81,0),0)</f>
        <v>0</v>
      </c>
      <c r="AF82" s="175">
        <f>IF(AF$3&lt;=Inputs!$C$15*12,MAX(AF77+AF78-AF80+AF81,0),0)</f>
        <v>0</v>
      </c>
      <c r="AG82" s="175">
        <f>IF(AG$3&lt;=Inputs!$C$15*12,MAX(AG77+AG78-AG80+AG81,0),0)</f>
        <v>0</v>
      </c>
      <c r="AH82" s="175">
        <f>IF(AH$3&lt;=Inputs!$C$15*12,MAX(AH77+AH78-AH80+AH81,0),0)</f>
        <v>0</v>
      </c>
      <c r="AI82" s="175">
        <f>IF(AI$3&lt;=Inputs!$C$15*12,MAX(AI77+AI78-AI80+AI81,0),0)</f>
        <v>0</v>
      </c>
      <c r="AJ82" s="175">
        <f>IF(AJ$3&lt;=Inputs!$C$15*12,MAX(AJ77+AJ78-AJ80+AJ81,0),0)</f>
        <v>0</v>
      </c>
      <c r="AK82" s="175">
        <f>IF(AK$3&lt;=Inputs!$C$15*12,MAX(AK77+AK78-AK80+AK81,0),0)</f>
        <v>0</v>
      </c>
      <c r="AL82" s="175">
        <f>IF(AL$3&lt;=Inputs!$C$15*12,MAX(AL77+AL78-AL80+AL81,0),0)</f>
        <v>0</v>
      </c>
      <c r="AM82" s="175">
        <f>IF(AM$3&lt;=Inputs!$C$15*12,MAX(AM77+AM78-AM80+AM81,0),0)</f>
        <v>0</v>
      </c>
      <c r="AN82" s="175">
        <f>IF(AN$3&lt;=Inputs!$C$15*12,MAX(AN77+AN78-AN80+AN81,0),0)</f>
        <v>0</v>
      </c>
      <c r="AO82" s="175">
        <f>IF(AO$3&lt;=Inputs!$C$15*12,MAX(AO77+AO78-AO80+AO81,0),0)</f>
        <v>0</v>
      </c>
      <c r="AP82" s="175">
        <f>IF(AP$3&lt;=Inputs!$C$15*12,MAX(AP77+AP78-AP80+AP81,0),0)</f>
        <v>0</v>
      </c>
      <c r="AQ82" s="175">
        <f>IF(AQ$3&lt;=Inputs!$C$15*12,MAX(AQ77+AQ78-AQ80+AQ81,0),0)</f>
        <v>0</v>
      </c>
      <c r="AR82" s="175">
        <f>IF(AR$3&lt;=Inputs!$C$15*12,MAX(AR77+AR78-AR80+AR81,0),0)</f>
        <v>0</v>
      </c>
      <c r="AS82" s="175">
        <f>IF(AS$3&lt;=Inputs!$C$15*12,MAX(AS77+AS78-AS80+AS81,0),0)</f>
        <v>0</v>
      </c>
      <c r="AT82" s="175">
        <f>IF(AT$3&lt;=Inputs!$C$15*12,MAX(AT77+AT78-AT80+AT81,0),0)</f>
        <v>0</v>
      </c>
      <c r="AU82" s="175">
        <f>IF(AU$3&lt;=Inputs!$C$15*12,MAX(AU77+AU78-AU80+AU81,0),0)</f>
        <v>0</v>
      </c>
      <c r="AV82" s="175">
        <f>IF(AV$3&lt;=Inputs!$C$15*12,MAX(AV77+AV78-AV80+AV81,0),0)</f>
        <v>0</v>
      </c>
      <c r="AW82" s="175">
        <f>IF(AW$3&lt;=Inputs!$C$15*12,MAX(AW77+AW78-AW80+AW81,0),0)</f>
        <v>0</v>
      </c>
      <c r="AX82" s="175">
        <f>IF(AX$3&lt;=Inputs!$C$15*12,MAX(AX77+AX78-AX80+AX81,0),0)</f>
        <v>0</v>
      </c>
      <c r="AY82" s="175">
        <f>IF(AY$3&lt;=Inputs!$C$15*12,MAX(AY77+AY78-AY80+AY81,0),0)</f>
        <v>0</v>
      </c>
      <c r="AZ82" s="175">
        <f>IF(AZ$3&lt;=Inputs!$C$15*12,MAX(AZ77+AZ78-AZ80+AZ81,0),0)</f>
        <v>0</v>
      </c>
      <c r="BA82" s="175">
        <f>IF(BA$3&lt;=Inputs!$C$15*12,MAX(BA77+BA78-BA80+BA81,0),0)</f>
        <v>0</v>
      </c>
      <c r="BB82" s="175">
        <f>IF(BB$3&lt;=Inputs!$C$15*12,MAX(BB77+BB78-BB80+BB81,0),0)</f>
        <v>0</v>
      </c>
      <c r="BC82" s="175">
        <f>IF(BC$3&lt;=Inputs!$C$15*12,MAX(BC77+BC78-BC80+BC81,0),0)</f>
        <v>0</v>
      </c>
      <c r="BD82" s="175">
        <f>IF(BD$3&lt;=Inputs!$C$15*12,MAX(BD77+BD78-BD80+BD81,0),0)</f>
        <v>0</v>
      </c>
      <c r="BE82" s="175">
        <f>IF(BE$3&lt;=Inputs!$C$15*12,MAX(BE77+BE78-BE80+BE81,0),0)</f>
        <v>0</v>
      </c>
      <c r="BF82" s="175">
        <f>IF(BF$3&lt;=Inputs!$C$15*12,MAX(BF77+BF78-BF80+BF81,0),0)</f>
        <v>0</v>
      </c>
      <c r="BG82" s="175">
        <f>IF(BG$3&lt;=Inputs!$C$15*12,MAX(BG77+BG78-BG80+BG81,0),0)</f>
        <v>0</v>
      </c>
      <c r="BH82" s="175">
        <f>IF(BH$3&lt;=Inputs!$C$15*12,MAX(BH77+BH78-BH80+BH81,0),0)</f>
        <v>0</v>
      </c>
      <c r="BI82" s="175">
        <f>IF(BI$3&lt;=Inputs!$C$15*12,MAX(BI77+BI78-BI80+BI81,0),0)</f>
        <v>0</v>
      </c>
      <c r="BJ82" s="175">
        <f>IF(BJ$3&lt;=Inputs!$C$15*12,MAX(BJ77+BJ78-BJ80+BJ81,0),0)</f>
        <v>0</v>
      </c>
      <c r="BK82" s="175">
        <f>IF(BK$3&lt;=Inputs!$C$15*12,MAX(BK77+BK78-BK80+BK81,0),0)</f>
        <v>0</v>
      </c>
      <c r="BL82" s="175">
        <f>IF(BL$3&lt;=Inputs!$C$15*12,MAX(BL77+BL78-BL80+BL81,0),0)</f>
        <v>0</v>
      </c>
      <c r="BM82" s="175">
        <f>IF(BM$3&lt;=Inputs!$C$15*12,MAX(BM77+BM78-BM80+BM81,0),0)</f>
        <v>0</v>
      </c>
      <c r="BN82" s="175">
        <f>IF(BN$3&lt;=Inputs!$C$15*12,MAX(BN77+BN78-BN80+BN81,0),0)</f>
        <v>0</v>
      </c>
      <c r="BO82" s="175">
        <f>IF(BO$3&lt;=Inputs!$C$15*12,MAX(BO77+BO78-BO80+BO81,0),0)</f>
        <v>0</v>
      </c>
      <c r="BP82" s="175">
        <f>IF(BP$3&lt;=Inputs!$C$15*12,MAX(BP77+BP78-BP80+BP81,0),0)</f>
        <v>0</v>
      </c>
      <c r="BQ82" s="175">
        <f>IF(BQ$3&lt;=Inputs!$C$15*12,MAX(BQ77+BQ78-BQ80+BQ81,0),0)</f>
        <v>0</v>
      </c>
      <c r="BR82" s="175">
        <f>IF(BR$3&lt;=Inputs!$C$15*12,MAX(BR77+BR78-BR80+BR81,0),0)</f>
        <v>0</v>
      </c>
      <c r="BS82" s="175">
        <f>IF(BS$3&lt;=Inputs!$C$15*12,MAX(BS77+BS78-BS80+BS81,0),0)</f>
        <v>0</v>
      </c>
      <c r="BT82" s="175">
        <f>IF(BT$3&lt;=Inputs!$C$15*12,MAX(BT77+BT78-BT80+BT81,0),0)</f>
        <v>0</v>
      </c>
      <c r="BU82" s="175">
        <f>IF(BU$3&lt;=Inputs!$C$15*12,MAX(BU77+BU78-BU80+BU81,0),0)</f>
        <v>0</v>
      </c>
      <c r="BV82" s="175">
        <f>IF(BV$3&lt;=Inputs!$C$15*12,MAX(BV77+BV78-BV80+BV81,0),0)</f>
        <v>0</v>
      </c>
      <c r="BW82" s="175">
        <f>IF(BW$3&lt;=Inputs!$C$15*12,MAX(BW77+BW78-BW80+BW81,0),0)</f>
        <v>0</v>
      </c>
      <c r="BX82" s="175">
        <f>IF(BX$3&lt;=Inputs!$C$15*12,MAX(BX77+BX78-BX80+BX81,0),0)</f>
        <v>0</v>
      </c>
      <c r="BY82" s="175">
        <f>IF(BY$3&lt;=Inputs!$C$15*12,MAX(BY77+BY78-BY80+BY81,0),0)</f>
        <v>0</v>
      </c>
      <c r="BZ82" s="175">
        <f>IF(BZ$3&lt;=Inputs!$C$15*12,MAX(BZ77+BZ78-BZ80+BZ81,0),0)</f>
        <v>0</v>
      </c>
      <c r="CA82" s="175">
        <f>IF(CA$3&lt;=Inputs!$C$15*12,MAX(CA77+CA78-CA80+CA81,0),0)</f>
        <v>0</v>
      </c>
      <c r="CB82" s="175">
        <f>IF(CB$3&lt;=Inputs!$C$15*12,MAX(CB77+CB78-CB80+CB81,0),0)</f>
        <v>0</v>
      </c>
      <c r="CC82" s="175">
        <f>IF(CC$3&lt;=Inputs!$C$15*12,MAX(CC77+CC78-CC80+CC81,0),0)</f>
        <v>0</v>
      </c>
      <c r="CD82" s="175">
        <f>IF(CD$3&lt;=Inputs!$C$15*12,MAX(CD77+CD78-CD80+CD81,0),0)</f>
        <v>0</v>
      </c>
      <c r="CE82" s="175">
        <f>IF(CE$3&lt;=Inputs!$C$15*12,MAX(CE77+CE78-CE80+CE81,0),0)</f>
        <v>0</v>
      </c>
      <c r="CF82" s="175">
        <f>IF(CF$3&lt;=Inputs!$C$15*12,MAX(CF77+CF78-CF80+CF81,0),0)</f>
        <v>0</v>
      </c>
      <c r="CG82" s="175">
        <f>IF(CG$3&lt;=Inputs!$C$15*12,MAX(CG77+CG78-CG80+CG81,0),0)</f>
        <v>0</v>
      </c>
      <c r="CH82" s="175">
        <f>IF(CH$3&lt;=Inputs!$C$15*12,MAX(CH77+CH78-CH80+CH81,0),0)</f>
        <v>0</v>
      </c>
      <c r="CI82" s="175">
        <f>IF(CI$3&lt;=Inputs!$C$15*12,MAX(CI77+CI78-CI80+CI81,0),0)</f>
        <v>0</v>
      </c>
      <c r="CJ82" s="175">
        <f>IF(CJ$3&lt;=Inputs!$C$15*12,MAX(CJ77+CJ78-CJ80+CJ81,0),0)</f>
        <v>0</v>
      </c>
      <c r="CK82" s="175">
        <f>IF(CK$3&lt;=Inputs!$C$15*12,MAX(CK77+CK78-CK80+CK81,0),0)</f>
        <v>0</v>
      </c>
      <c r="CL82" s="175">
        <f>IF(CL$3&lt;=Inputs!$C$15*12,MAX(CL77+CL78-CL80+CL81,0),0)</f>
        <v>0</v>
      </c>
      <c r="CM82" s="175">
        <f>IF(CM$3&lt;=Inputs!$C$15*12,MAX(CM77+CM78-CM80+CM81,0),0)</f>
        <v>0</v>
      </c>
      <c r="CN82" s="175">
        <f>IF(CN$3&lt;=Inputs!$C$15*12,MAX(CN77+CN78-CN80+CN81,0),0)</f>
        <v>0</v>
      </c>
      <c r="CO82" s="175">
        <f>IF(CO$3&lt;=Inputs!$C$15*12,MAX(CO77+CO78-CO80+CO81,0),0)</f>
        <v>0</v>
      </c>
      <c r="CP82" s="175">
        <f>IF(CP$3&lt;=Inputs!$C$15*12,MAX(CP77+CP78-CP80+CP81,0),0)</f>
        <v>0</v>
      </c>
      <c r="CQ82" s="175">
        <f>IF(CQ$3&lt;=Inputs!$C$15*12,MAX(CQ77+CQ78-CQ80+CQ81,0),0)</f>
        <v>0</v>
      </c>
      <c r="CR82" s="175">
        <f>IF(CR$3&lt;=Inputs!$C$15*12,MAX(CR77+CR78-CR80+CR81,0),0)</f>
        <v>0</v>
      </c>
      <c r="CS82" s="175">
        <f>IF(CS$3&lt;=Inputs!$C$15*12,MAX(CS77+CS78-CS80+CS81,0),0)</f>
        <v>0</v>
      </c>
      <c r="CT82" s="175">
        <f>IF(CT$3&lt;=Inputs!$C$15*12,MAX(CT77+CT78-CT80+CT81,0),0)</f>
        <v>0</v>
      </c>
      <c r="CU82" s="175">
        <f>IF(CU$3&lt;=Inputs!$C$15*12,MAX(CU77+CU78-CU80+CU81,0),0)</f>
        <v>0</v>
      </c>
      <c r="CV82" s="175">
        <f>IF(CV$3&lt;=Inputs!$C$15*12,MAX(CV77+CV78-CV80+CV81,0),0)</f>
        <v>0</v>
      </c>
      <c r="CW82" s="175">
        <f>IF(CW$3&lt;=Inputs!$C$15*12,MAX(CW77+CW78-CW80+CW81,0),0)</f>
        <v>0</v>
      </c>
      <c r="CX82" s="175">
        <f>IF(CX$3&lt;=Inputs!$C$15*12,MAX(CX77+CX78-CX80+CX81,0),0)</f>
        <v>0</v>
      </c>
      <c r="CY82" s="175">
        <f>IF(CY$3&lt;=Inputs!$C$15*12,MAX(CY77+CY78-CY80+CY81,0),0)</f>
        <v>0</v>
      </c>
      <c r="CZ82" s="175">
        <f>IF(CZ$3&lt;=Inputs!$C$15*12,MAX(CZ77+CZ78-CZ80+CZ81,0),0)</f>
        <v>0</v>
      </c>
      <c r="DA82" s="175">
        <f>IF(DA$3&lt;=Inputs!$C$15*12,MAX(DA77+DA78-DA80+DA81,0),0)</f>
        <v>0</v>
      </c>
      <c r="DB82" s="175">
        <f>IF(DB$3&lt;=Inputs!$C$15*12,MAX(DB77+DB78-DB80+DB81,0),0)</f>
        <v>0</v>
      </c>
      <c r="DC82" s="175">
        <f>IF(DC$3&lt;=Inputs!$C$15*12,MAX(DC77+DC78-DC80+DC81,0),0)</f>
        <v>0</v>
      </c>
      <c r="DD82" s="175">
        <f>IF(DD$3&lt;=Inputs!$C$15*12,MAX(DD77+DD78-DD80+DD81,0),0)</f>
        <v>0</v>
      </c>
      <c r="DE82" s="175">
        <f>IF(DE$3&lt;=Inputs!$C$15*12,MAX(DE77+DE78-DE80+DE81,0),0)</f>
        <v>0</v>
      </c>
      <c r="DF82" s="175">
        <f>IF(DF$3&lt;=Inputs!$C$15*12,MAX(DF77+DF78-DF80+DF81,0),0)</f>
        <v>0</v>
      </c>
      <c r="DG82" s="175">
        <f>IF(DG$3&lt;=Inputs!$C$15*12,MAX(DG77+DG78-DG80+DG81,0),0)</f>
        <v>0</v>
      </c>
      <c r="DH82" s="175">
        <f>IF(DH$3&lt;=Inputs!$C$15*12,MAX(DH77+DH78-DH80+DH81,0),0)</f>
        <v>0</v>
      </c>
      <c r="DI82" s="175">
        <f>IF(DI$3&lt;=Inputs!$C$15*12,MAX(DI77+DI78-DI80+DI81,0),0)</f>
        <v>0</v>
      </c>
      <c r="DJ82" s="175">
        <f>IF(DJ$3&lt;=Inputs!$C$15*12,MAX(DJ77+DJ78-DJ80+DJ81,0),0)</f>
        <v>0</v>
      </c>
      <c r="DK82" s="175">
        <f>IF(DK$3&lt;=Inputs!$C$15*12,MAX(DK77+DK78-DK80+DK81,0),0)</f>
        <v>0</v>
      </c>
      <c r="DL82" s="175">
        <f>IF(DL$3&lt;=Inputs!$C$15*12,MAX(DL77+DL78-DL80+DL81,0),0)</f>
        <v>0</v>
      </c>
      <c r="DM82" s="175">
        <f>IF(DM$3&lt;=Inputs!$C$15*12,MAX(DM77+DM78-DM80+DM81,0),0)</f>
        <v>0</v>
      </c>
      <c r="DN82" s="175">
        <f>IF(DN$3&lt;=Inputs!$C$15*12,MAX(DN77+DN78-DN80+DN81,0),0)</f>
        <v>0</v>
      </c>
      <c r="DO82" s="175">
        <f>IF(DO$3&lt;=Inputs!$C$15*12,MAX(DO77+DO78-DO80+DO81,0),0)</f>
        <v>0</v>
      </c>
      <c r="DP82" s="175">
        <f>IF(DP$3&lt;=Inputs!$C$15*12,MAX(DP77+DP78-DP80+DP81,0),0)</f>
        <v>0</v>
      </c>
      <c r="DQ82" s="175">
        <f>IF(DQ$3&lt;=Inputs!$C$15*12,MAX(DQ77+DQ78-DQ80+DQ81,0),0)</f>
        <v>0</v>
      </c>
      <c r="DR82" s="175">
        <f>IF(DR$3&lt;=Inputs!$C$15*12,MAX(DR77+DR78-DR80+DR81,0),0)</f>
        <v>0</v>
      </c>
      <c r="DS82" s="54"/>
    </row>
    <row r="83" ht="15.0" customHeight="1">
      <c r="A83" s="54"/>
      <c r="B83" s="56" t="s">
        <v>334</v>
      </c>
      <c r="C83" s="153">
        <f>IF(C$3&lt;=Inputs!$C$15*12,C79-C80+C81,0)</f>
        <v>0</v>
      </c>
      <c r="D83" s="153">
        <f>IF(D$3&lt;=Inputs!$C$15*12,D79-D80+D81,0)</f>
        <v>0</v>
      </c>
      <c r="E83" s="153">
        <f>IF(E$3&lt;=Inputs!$C$15*12,E79-E80+E81,0)</f>
        <v>0</v>
      </c>
      <c r="F83" s="153">
        <f>IF(F$3&lt;=Inputs!$C$15*12,F79-F80+F81,0)</f>
        <v>0</v>
      </c>
      <c r="G83" s="153">
        <f>IF(G$3&lt;=Inputs!$C$15*12,G79-G80+G81,0)</f>
        <v>0</v>
      </c>
      <c r="H83" s="153">
        <f>IF(H$3&lt;=Inputs!$C$15*12,H79-H80+H81,0)</f>
        <v>0</v>
      </c>
      <c r="I83" s="153">
        <f>IF(I$3&lt;=Inputs!$C$15*12,I79-I80+I81,0)</f>
        <v>0</v>
      </c>
      <c r="J83" s="153">
        <f>IF(J$3&lt;=Inputs!$C$15*12,J79-J80+J81,0)</f>
        <v>0</v>
      </c>
      <c r="K83" s="153">
        <f>IF(K$3&lt;=Inputs!$C$15*12,K79-K80+K81,0)</f>
        <v>0</v>
      </c>
      <c r="L83" s="153">
        <f>IF(L$3&lt;=Inputs!$C$15*12,L79-L80+L81,0)</f>
        <v>0</v>
      </c>
      <c r="M83" s="153">
        <f>IF(M$3&lt;=Inputs!$C$15*12,M79-M80+M81,0)</f>
        <v>0</v>
      </c>
      <c r="N83" s="153">
        <f>IF(N$3&lt;=Inputs!$C$15*12,N79-N80+N81,0)</f>
        <v>0</v>
      </c>
      <c r="O83" s="153">
        <f>IF(O$3&lt;=Inputs!$C$15*12,O79-O80+O81,0)</f>
        <v>0</v>
      </c>
      <c r="P83" s="153">
        <f>IF(P$3&lt;=Inputs!$C$15*12,P79-P80+P81,0)</f>
        <v>0</v>
      </c>
      <c r="Q83" s="153">
        <f>IF(Q$3&lt;=Inputs!$C$15*12,Q79-Q80+Q81,0)</f>
        <v>0</v>
      </c>
      <c r="R83" s="153">
        <f>IF(R$3&lt;=Inputs!$C$15*12,R79-R80+R81,0)</f>
        <v>0</v>
      </c>
      <c r="S83" s="153">
        <f>IF(S$3&lt;=Inputs!$C$15*12,S79-S80+S81,0)</f>
        <v>0</v>
      </c>
      <c r="T83" s="153">
        <f>IF(T$3&lt;=Inputs!$C$15*12,T79-T80+T81,0)</f>
        <v>0</v>
      </c>
      <c r="U83" s="153">
        <f>IF(U$3&lt;=Inputs!$C$15*12,U79-U80+U81,0)</f>
        <v>0</v>
      </c>
      <c r="V83" s="153">
        <f>IF(V$3&lt;=Inputs!$C$15*12,V79-V80+V81,0)</f>
        <v>0</v>
      </c>
      <c r="W83" s="153">
        <f>IF(W$3&lt;=Inputs!$C$15*12,W79-W80+W81,0)</f>
        <v>0</v>
      </c>
      <c r="X83" s="153">
        <f>IF(X$3&lt;=Inputs!$C$15*12,X79-X80+X81,0)</f>
        <v>0</v>
      </c>
      <c r="Y83" s="153">
        <f>IF(Y$3&lt;=Inputs!$C$15*12,Y79-Y80+Y81,0)</f>
        <v>0</v>
      </c>
      <c r="Z83" s="153">
        <f>IF(Z$3&lt;=Inputs!$C$15*12,Z79-Z80+Z81,0)</f>
        <v>0</v>
      </c>
      <c r="AA83" s="153">
        <f>IF(AA$3&lt;=Inputs!$C$15*12,AA79-AA80+AA81,0)</f>
        <v>0</v>
      </c>
      <c r="AB83" s="153">
        <f>IF(AB$3&lt;=Inputs!$C$15*12,AB79-AB80+AB81,0)</f>
        <v>0</v>
      </c>
      <c r="AC83" s="153">
        <f>IF(AC$3&lt;=Inputs!$C$15*12,AC79-AC80+AC81,0)</f>
        <v>0</v>
      </c>
      <c r="AD83" s="153">
        <f>IF(AD$3&lt;=Inputs!$C$15*12,AD79-AD80+AD81,0)</f>
        <v>0</v>
      </c>
      <c r="AE83" s="153">
        <f>IF(AE$3&lt;=Inputs!$C$15*12,AE79-AE80+AE81,0)</f>
        <v>0</v>
      </c>
      <c r="AF83" s="153">
        <f>IF(AF$3&lt;=Inputs!$C$15*12,AF79-AF80+AF81,0)</f>
        <v>0</v>
      </c>
      <c r="AG83" s="153">
        <f>IF(AG$3&lt;=Inputs!$C$15*12,AG79-AG80+AG81,0)</f>
        <v>0</v>
      </c>
      <c r="AH83" s="153">
        <f>IF(AH$3&lt;=Inputs!$C$15*12,AH79-AH80+AH81,0)</f>
        <v>0</v>
      </c>
      <c r="AI83" s="153">
        <f>IF(AI$3&lt;=Inputs!$C$15*12,AI79-AI80+AI81,0)</f>
        <v>0</v>
      </c>
      <c r="AJ83" s="153">
        <f>IF(AJ$3&lt;=Inputs!$C$15*12,AJ79-AJ80+AJ81,0)</f>
        <v>0</v>
      </c>
      <c r="AK83" s="153">
        <f>IF(AK$3&lt;=Inputs!$C$15*12,AK79-AK80+AK81,0)</f>
        <v>0</v>
      </c>
      <c r="AL83" s="153">
        <f>IF(AL$3&lt;=Inputs!$C$15*12,AL79-AL80+AL81,0)</f>
        <v>0</v>
      </c>
      <c r="AM83" s="153">
        <f>IF(AM$3&lt;=Inputs!$C$15*12,AM79-AM80+AM81,0)</f>
        <v>0</v>
      </c>
      <c r="AN83" s="153">
        <f>IF(AN$3&lt;=Inputs!$C$15*12,AN79-AN80+AN81,0)</f>
        <v>0</v>
      </c>
      <c r="AO83" s="153">
        <f>IF(AO$3&lt;=Inputs!$C$15*12,AO79-AO80+AO81,0)</f>
        <v>0</v>
      </c>
      <c r="AP83" s="153">
        <f>IF(AP$3&lt;=Inputs!$C$15*12,AP79-AP80+AP81,0)</f>
        <v>0</v>
      </c>
      <c r="AQ83" s="153">
        <f>IF(AQ$3&lt;=Inputs!$C$15*12,AQ79-AQ80+AQ81,0)</f>
        <v>0</v>
      </c>
      <c r="AR83" s="153">
        <f>IF(AR$3&lt;=Inputs!$C$15*12,AR79-AR80+AR81,0)</f>
        <v>0</v>
      </c>
      <c r="AS83" s="153">
        <f>IF(AS$3&lt;=Inputs!$C$15*12,AS79-AS80+AS81,0)</f>
        <v>0</v>
      </c>
      <c r="AT83" s="153">
        <f>IF(AT$3&lt;=Inputs!$C$15*12,AT79-AT80+AT81,0)</f>
        <v>0</v>
      </c>
      <c r="AU83" s="153">
        <f>IF(AU$3&lt;=Inputs!$C$15*12,AU79-AU80+AU81,0)</f>
        <v>0</v>
      </c>
      <c r="AV83" s="153">
        <f>IF(AV$3&lt;=Inputs!$C$15*12,AV79-AV80+AV81,0)</f>
        <v>0</v>
      </c>
      <c r="AW83" s="153">
        <f>IF(AW$3&lt;=Inputs!$C$15*12,AW79-AW80+AW81,0)</f>
        <v>0</v>
      </c>
      <c r="AX83" s="153">
        <f>IF(AX$3&lt;=Inputs!$C$15*12,AX79-AX80+AX81,0)</f>
        <v>0</v>
      </c>
      <c r="AY83" s="153">
        <f>IF(AY$3&lt;=Inputs!$C$15*12,AY79-AY80+AY81,0)</f>
        <v>0</v>
      </c>
      <c r="AZ83" s="153">
        <f>IF(AZ$3&lt;=Inputs!$C$15*12,AZ79-AZ80+AZ81,0)</f>
        <v>0</v>
      </c>
      <c r="BA83" s="153">
        <f>IF(BA$3&lt;=Inputs!$C$15*12,BA79-BA80+BA81,0)</f>
        <v>0</v>
      </c>
      <c r="BB83" s="153">
        <f>IF(BB$3&lt;=Inputs!$C$15*12,BB79-BB80+BB81,0)</f>
        <v>0</v>
      </c>
      <c r="BC83" s="153">
        <f>IF(BC$3&lt;=Inputs!$C$15*12,BC79-BC80+BC81,0)</f>
        <v>0</v>
      </c>
      <c r="BD83" s="153">
        <f>IF(BD$3&lt;=Inputs!$C$15*12,BD79-BD80+BD81,0)</f>
        <v>0</v>
      </c>
      <c r="BE83" s="153">
        <f>IF(BE$3&lt;=Inputs!$C$15*12,BE79-BE80+BE81,0)</f>
        <v>0</v>
      </c>
      <c r="BF83" s="153">
        <f>IF(BF$3&lt;=Inputs!$C$15*12,BF79-BF80+BF81,0)</f>
        <v>0</v>
      </c>
      <c r="BG83" s="153">
        <f>IF(BG$3&lt;=Inputs!$C$15*12,BG79-BG80+BG81,0)</f>
        <v>0</v>
      </c>
      <c r="BH83" s="153">
        <f>IF(BH$3&lt;=Inputs!$C$15*12,BH79-BH80+BH81,0)</f>
        <v>0</v>
      </c>
      <c r="BI83" s="153">
        <f>IF(BI$3&lt;=Inputs!$C$15*12,BI79-BI80+BI81,0)</f>
        <v>0</v>
      </c>
      <c r="BJ83" s="153">
        <f>IF(BJ$3&lt;=Inputs!$C$15*12,BJ79-BJ80+BJ81,0)</f>
        <v>0</v>
      </c>
      <c r="BK83" s="153">
        <f>IF(BK$3&lt;=Inputs!$C$15*12,BK79-BK80+BK81,0)</f>
        <v>0</v>
      </c>
      <c r="BL83" s="153">
        <f>IF(BL$3&lt;=Inputs!$C$15*12,BL79-BL80+BL81,0)</f>
        <v>0</v>
      </c>
      <c r="BM83" s="153">
        <f>IF(BM$3&lt;=Inputs!$C$15*12,BM79-BM80+BM81,0)</f>
        <v>0</v>
      </c>
      <c r="BN83" s="153">
        <f>IF(BN$3&lt;=Inputs!$C$15*12,BN79-BN80+BN81,0)</f>
        <v>0</v>
      </c>
      <c r="BO83" s="153">
        <f>IF(BO$3&lt;=Inputs!$C$15*12,BO79-BO80+BO81,0)</f>
        <v>0</v>
      </c>
      <c r="BP83" s="153">
        <f>IF(BP$3&lt;=Inputs!$C$15*12,BP79-BP80+BP81,0)</f>
        <v>0</v>
      </c>
      <c r="BQ83" s="153">
        <f>IF(BQ$3&lt;=Inputs!$C$15*12,BQ79-BQ80+BQ81,0)</f>
        <v>0</v>
      </c>
      <c r="BR83" s="153">
        <f>IF(BR$3&lt;=Inputs!$C$15*12,BR79-BR80+BR81,0)</f>
        <v>0</v>
      </c>
      <c r="BS83" s="153">
        <f>IF(BS$3&lt;=Inputs!$C$15*12,BS79-BS80+BS81,0)</f>
        <v>0</v>
      </c>
      <c r="BT83" s="153">
        <f>IF(BT$3&lt;=Inputs!$C$15*12,BT79-BT80+BT81,0)</f>
        <v>0</v>
      </c>
      <c r="BU83" s="153">
        <f>IF(BU$3&lt;=Inputs!$C$15*12,BU79-BU80+BU81,0)</f>
        <v>0</v>
      </c>
      <c r="BV83" s="153">
        <f>IF(BV$3&lt;=Inputs!$C$15*12,BV79-BV80+BV81,0)</f>
        <v>0</v>
      </c>
      <c r="BW83" s="153">
        <f>IF(BW$3&lt;=Inputs!$C$15*12,BW79-BW80+BW81,0)</f>
        <v>0</v>
      </c>
      <c r="BX83" s="153">
        <f>IF(BX$3&lt;=Inputs!$C$15*12,BX79-BX80+BX81,0)</f>
        <v>0</v>
      </c>
      <c r="BY83" s="153">
        <f>IF(BY$3&lt;=Inputs!$C$15*12,BY79-BY80+BY81,0)</f>
        <v>0</v>
      </c>
      <c r="BZ83" s="153">
        <f>IF(BZ$3&lt;=Inputs!$C$15*12,BZ79-BZ80+BZ81,0)</f>
        <v>0</v>
      </c>
      <c r="CA83" s="153">
        <f>IF(CA$3&lt;=Inputs!$C$15*12,CA79-CA80+CA81,0)</f>
        <v>0</v>
      </c>
      <c r="CB83" s="153">
        <f>IF(CB$3&lt;=Inputs!$C$15*12,CB79-CB80+CB81,0)</f>
        <v>0</v>
      </c>
      <c r="CC83" s="153">
        <f>IF(CC$3&lt;=Inputs!$C$15*12,CC79-CC80+CC81,0)</f>
        <v>0</v>
      </c>
      <c r="CD83" s="153">
        <f>IF(CD$3&lt;=Inputs!$C$15*12,CD79-CD80+CD81,0)</f>
        <v>0</v>
      </c>
      <c r="CE83" s="153">
        <f>IF(CE$3&lt;=Inputs!$C$15*12,CE79-CE80+CE81,0)</f>
        <v>0</v>
      </c>
      <c r="CF83" s="153">
        <f>IF(CF$3&lt;=Inputs!$C$15*12,CF79-CF80+CF81,0)</f>
        <v>0</v>
      </c>
      <c r="CG83" s="153">
        <f>IF(CG$3&lt;=Inputs!$C$15*12,CG79-CG80+CG81,0)</f>
        <v>0</v>
      </c>
      <c r="CH83" s="153">
        <f>IF(CH$3&lt;=Inputs!$C$15*12,CH79-CH80+CH81,0)</f>
        <v>0</v>
      </c>
      <c r="CI83" s="153">
        <f>IF(CI$3&lt;=Inputs!$C$15*12,CI79-CI80+CI81,0)</f>
        <v>0</v>
      </c>
      <c r="CJ83" s="153">
        <f>IF(CJ$3&lt;=Inputs!$C$15*12,CJ79-CJ80+CJ81,0)</f>
        <v>0</v>
      </c>
      <c r="CK83" s="153">
        <f>IF(CK$3&lt;=Inputs!$C$15*12,CK79-CK80+CK81,0)</f>
        <v>0</v>
      </c>
      <c r="CL83" s="153">
        <f>IF(CL$3&lt;=Inputs!$C$15*12,CL79-CL80+CL81,0)</f>
        <v>0</v>
      </c>
      <c r="CM83" s="153">
        <f>IF(CM$3&lt;=Inputs!$C$15*12,CM79-CM80+CM81,0)</f>
        <v>0</v>
      </c>
      <c r="CN83" s="153">
        <f>IF(CN$3&lt;=Inputs!$C$15*12,CN79-CN80+CN81,0)</f>
        <v>0</v>
      </c>
      <c r="CO83" s="153">
        <f>IF(CO$3&lt;=Inputs!$C$15*12,CO79-CO80+CO81,0)</f>
        <v>0</v>
      </c>
      <c r="CP83" s="153">
        <f>IF(CP$3&lt;=Inputs!$C$15*12,CP79-CP80+CP81,0)</f>
        <v>0</v>
      </c>
      <c r="CQ83" s="153">
        <f>IF(CQ$3&lt;=Inputs!$C$15*12,CQ79-CQ80+CQ81,0)</f>
        <v>0</v>
      </c>
      <c r="CR83" s="153">
        <f>IF(CR$3&lt;=Inputs!$C$15*12,CR79-CR80+CR81,0)</f>
        <v>0</v>
      </c>
      <c r="CS83" s="153">
        <f>IF(CS$3&lt;=Inputs!$C$15*12,CS79-CS80+CS81,0)</f>
        <v>0</v>
      </c>
      <c r="CT83" s="153">
        <f>IF(CT$3&lt;=Inputs!$C$15*12,CT79-CT80+CT81,0)</f>
        <v>0</v>
      </c>
      <c r="CU83" s="153">
        <f>IF(CU$3&lt;=Inputs!$C$15*12,CU79-CU80+CU81,0)</f>
        <v>0</v>
      </c>
      <c r="CV83" s="153">
        <f>IF(CV$3&lt;=Inputs!$C$15*12,CV79-CV80+CV81,0)</f>
        <v>0</v>
      </c>
      <c r="CW83" s="153">
        <f>IF(CW$3&lt;=Inputs!$C$15*12,CW79-CW80+CW81,0)</f>
        <v>0</v>
      </c>
      <c r="CX83" s="153">
        <f>IF(CX$3&lt;=Inputs!$C$15*12,CX79-CX80+CX81,0)</f>
        <v>0</v>
      </c>
      <c r="CY83" s="153">
        <f>IF(CY$3&lt;=Inputs!$C$15*12,CY79-CY80+CY81,0)</f>
        <v>0</v>
      </c>
      <c r="CZ83" s="153">
        <f>IF(CZ$3&lt;=Inputs!$C$15*12,CZ79-CZ80+CZ81,0)</f>
        <v>0</v>
      </c>
      <c r="DA83" s="153">
        <f>IF(DA$3&lt;=Inputs!$C$15*12,DA79-DA80+DA81,0)</f>
        <v>0</v>
      </c>
      <c r="DB83" s="153">
        <f>IF(DB$3&lt;=Inputs!$C$15*12,DB79-DB80+DB81,0)</f>
        <v>0</v>
      </c>
      <c r="DC83" s="153">
        <f>IF(DC$3&lt;=Inputs!$C$15*12,DC79-DC80+DC81,0)</f>
        <v>0</v>
      </c>
      <c r="DD83" s="153">
        <f>IF(DD$3&lt;=Inputs!$C$15*12,DD79-DD80+DD81,0)</f>
        <v>0</v>
      </c>
      <c r="DE83" s="153">
        <f>IF(DE$3&lt;=Inputs!$C$15*12,DE79-DE80+DE81,0)</f>
        <v>0</v>
      </c>
      <c r="DF83" s="153">
        <f>IF(DF$3&lt;=Inputs!$C$15*12,DF79-DF80+DF81,0)</f>
        <v>0</v>
      </c>
      <c r="DG83" s="153">
        <f>IF(DG$3&lt;=Inputs!$C$15*12,DG79-DG80+DG81,0)</f>
        <v>0</v>
      </c>
      <c r="DH83" s="153">
        <f>IF(DH$3&lt;=Inputs!$C$15*12,DH79-DH80+DH81,0)</f>
        <v>0</v>
      </c>
      <c r="DI83" s="153">
        <f>IF(DI$3&lt;=Inputs!$C$15*12,DI79-DI80+DI81,0)</f>
        <v>0</v>
      </c>
      <c r="DJ83" s="153">
        <f>IF(DJ$3&lt;=Inputs!$C$15*12,DJ79-DJ80+DJ81,0)</f>
        <v>0</v>
      </c>
      <c r="DK83" s="153">
        <f>IF(DK$3&lt;=Inputs!$C$15*12,DK79-DK80+DK81,0)</f>
        <v>0</v>
      </c>
      <c r="DL83" s="153">
        <f>IF(DL$3&lt;=Inputs!$C$15*12,DL79-DL80+DL81,0)</f>
        <v>0</v>
      </c>
      <c r="DM83" s="153">
        <f>IF(DM$3&lt;=Inputs!$C$15*12,DM79-DM80+DM81,0)</f>
        <v>0</v>
      </c>
      <c r="DN83" s="153">
        <f>IF(DN$3&lt;=Inputs!$C$15*12,DN79-DN80+DN81,0)</f>
        <v>0</v>
      </c>
      <c r="DO83" s="153">
        <f>IF(DO$3&lt;=Inputs!$C$15*12,DO79-DO80+DO81,0)</f>
        <v>0</v>
      </c>
      <c r="DP83" s="153">
        <f>IF(DP$3&lt;=Inputs!$C$15*12,DP79-DP80+DP81,0)</f>
        <v>0</v>
      </c>
      <c r="DQ83" s="153">
        <f>IF(DQ$3&lt;=Inputs!$C$15*12,DQ79-DQ80+DQ81,0)</f>
        <v>0</v>
      </c>
      <c r="DR83" s="153">
        <f>IF(DR$3&lt;=Inputs!$C$15*12,DR79-DR80+DR81,0)</f>
        <v>0</v>
      </c>
      <c r="DS83" s="54"/>
    </row>
    <row r="84" ht="15.75" customHeight="1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  <c r="DO84" s="54"/>
      <c r="DP84" s="54"/>
      <c r="DQ84" s="54"/>
      <c r="DR84" s="54"/>
      <c r="DS84" s="54"/>
    </row>
    <row r="85" ht="15.0" customHeight="1">
      <c r="A85" s="54"/>
      <c r="B85" s="56" t="s">
        <v>335</v>
      </c>
      <c r="C85" s="153">
        <f>IF(C$3&lt;=Inputs!$C$15*12,Inputs!C104,0)</f>
        <v>-745000</v>
      </c>
      <c r="D85" s="153">
        <f>IF(D$3&lt;=Inputs!$C$15*12,0,0)</f>
        <v>0</v>
      </c>
      <c r="E85" s="153">
        <f>IF(E$3&lt;=Inputs!$C$15*12,0,0)</f>
        <v>0</v>
      </c>
      <c r="F85" s="153">
        <f>IF(F$3&lt;=Inputs!$C$15*12,0,0)</f>
        <v>0</v>
      </c>
      <c r="G85" s="153">
        <f>IF(G$3&lt;=Inputs!$C$15*12,0,0)</f>
        <v>0</v>
      </c>
      <c r="H85" s="153">
        <f>IF(H$3&lt;=Inputs!$C$15*12,0,0)</f>
        <v>0</v>
      </c>
      <c r="I85" s="153">
        <f>IF(I$3&lt;=Inputs!$C$15*12,0,0)</f>
        <v>0</v>
      </c>
      <c r="J85" s="153">
        <f>IF(J$3&lt;=Inputs!$C$15*12,0,0)</f>
        <v>0</v>
      </c>
      <c r="K85" s="153">
        <f>IF(K$3&lt;=Inputs!$C$15*12,0,0)</f>
        <v>0</v>
      </c>
      <c r="L85" s="153">
        <f>IF(L$3&lt;=Inputs!$C$15*12,0,0)</f>
        <v>0</v>
      </c>
      <c r="M85" s="153">
        <f>IF(M$3&lt;=Inputs!$C$15*12,0,0)</f>
        <v>0</v>
      </c>
      <c r="N85" s="153">
        <f>IF(N$3&lt;=Inputs!$C$15*12,0,0)</f>
        <v>0</v>
      </c>
      <c r="O85" s="153">
        <f>IF(O$3&lt;=Inputs!$C$15*12,0,0)</f>
        <v>0</v>
      </c>
      <c r="P85" s="153">
        <f>IF(P$3&lt;=Inputs!$C$15*12,0,0)</f>
        <v>0</v>
      </c>
      <c r="Q85" s="153">
        <f>IF(Q$3&lt;=Inputs!$C$15*12,0,0)</f>
        <v>0</v>
      </c>
      <c r="R85" s="153">
        <f>IF(R$3&lt;=Inputs!$C$15*12,0,0)</f>
        <v>0</v>
      </c>
      <c r="S85" s="153">
        <f>IF(S$3&lt;=Inputs!$C$15*12,0,0)</f>
        <v>0</v>
      </c>
      <c r="T85" s="153">
        <f>IF(T$3&lt;=Inputs!$C$15*12,0,0)</f>
        <v>0</v>
      </c>
      <c r="U85" s="153">
        <f>IF(U$3&lt;=Inputs!$C$15*12,0,0)</f>
        <v>0</v>
      </c>
      <c r="V85" s="153">
        <f>IF(V$3&lt;=Inputs!$C$15*12,0,0)</f>
        <v>0</v>
      </c>
      <c r="W85" s="153">
        <f>IF(W$3&lt;=Inputs!$C$15*12,0,0)</f>
        <v>0</v>
      </c>
      <c r="X85" s="153">
        <f>IF(X$3&lt;=Inputs!$C$15*12,0,0)</f>
        <v>0</v>
      </c>
      <c r="Y85" s="153">
        <f>IF(Y$3&lt;=Inputs!$C$15*12,0,0)</f>
        <v>0</v>
      </c>
      <c r="Z85" s="153">
        <f>IF(Z$3&lt;=Inputs!$C$15*12,0,0)</f>
        <v>0</v>
      </c>
      <c r="AA85" s="153">
        <f>IF(AA$3&lt;=Inputs!$C$15*12,0,0)</f>
        <v>0</v>
      </c>
      <c r="AB85" s="153">
        <f>IF(AB$3&lt;=Inputs!$C$15*12,0,0)</f>
        <v>0</v>
      </c>
      <c r="AC85" s="153">
        <f>IF(AC$3&lt;=Inputs!$C$15*12,0,0)</f>
        <v>0</v>
      </c>
      <c r="AD85" s="153">
        <f>IF(AD$3&lt;=Inputs!$C$15*12,0,0)</f>
        <v>0</v>
      </c>
      <c r="AE85" s="153">
        <f>IF(AE$3&lt;=Inputs!$C$15*12,0,0)</f>
        <v>0</v>
      </c>
      <c r="AF85" s="153">
        <f>IF(AF$3&lt;=Inputs!$C$15*12,0,0)</f>
        <v>0</v>
      </c>
      <c r="AG85" s="153">
        <f>IF(AG$3&lt;=Inputs!$C$15*12,0,0)</f>
        <v>0</v>
      </c>
      <c r="AH85" s="153">
        <f>IF(AH$3&lt;=Inputs!$C$15*12,0,0)</f>
        <v>0</v>
      </c>
      <c r="AI85" s="153">
        <f>IF(AI$3&lt;=Inputs!$C$15*12,0,0)</f>
        <v>0</v>
      </c>
      <c r="AJ85" s="153">
        <f>IF(AJ$3&lt;=Inputs!$C$15*12,0,0)</f>
        <v>0</v>
      </c>
      <c r="AK85" s="153">
        <f>IF(AK$3&lt;=Inputs!$C$15*12,0,0)</f>
        <v>0</v>
      </c>
      <c r="AL85" s="153">
        <f>IF(AL$3&lt;=Inputs!$C$15*12,0,0)</f>
        <v>0</v>
      </c>
      <c r="AM85" s="153">
        <f>IF(AM$3&lt;=Inputs!$C$15*12,0,0)</f>
        <v>0</v>
      </c>
      <c r="AN85" s="153">
        <f>IF(AN$3&lt;=Inputs!$C$15*12,0,0)</f>
        <v>0</v>
      </c>
      <c r="AO85" s="153">
        <f>IF(AO$3&lt;=Inputs!$C$15*12,0,0)</f>
        <v>0</v>
      </c>
      <c r="AP85" s="153">
        <f>IF(AP$3&lt;=Inputs!$C$15*12,0,0)</f>
        <v>0</v>
      </c>
      <c r="AQ85" s="153">
        <f>IF(AQ$3&lt;=Inputs!$C$15*12,0,0)</f>
        <v>0</v>
      </c>
      <c r="AR85" s="153">
        <f>IF(AR$3&lt;=Inputs!$C$15*12,0,0)</f>
        <v>0</v>
      </c>
      <c r="AS85" s="153">
        <f>IF(AS$3&lt;=Inputs!$C$15*12,0,0)</f>
        <v>0</v>
      </c>
      <c r="AT85" s="153">
        <f>IF(AT$3&lt;=Inputs!$C$15*12,0,0)</f>
        <v>0</v>
      </c>
      <c r="AU85" s="153">
        <f>IF(AU$3&lt;=Inputs!$C$15*12,0,0)</f>
        <v>0</v>
      </c>
      <c r="AV85" s="153">
        <f>IF(AV$3&lt;=Inputs!$C$15*12,0,0)</f>
        <v>0</v>
      </c>
      <c r="AW85" s="153">
        <f>IF(AW$3&lt;=Inputs!$C$15*12,0,0)</f>
        <v>0</v>
      </c>
      <c r="AX85" s="153">
        <f>IF(AX$3&lt;=Inputs!$C$15*12,0,0)</f>
        <v>0</v>
      </c>
      <c r="AY85" s="153">
        <f>IF(AY$3&lt;=Inputs!$C$15*12,0,0)</f>
        <v>0</v>
      </c>
      <c r="AZ85" s="153">
        <f>IF(AZ$3&lt;=Inputs!$C$15*12,0,0)</f>
        <v>0</v>
      </c>
      <c r="BA85" s="153">
        <f>IF(BA$3&lt;=Inputs!$C$15*12,0,0)</f>
        <v>0</v>
      </c>
      <c r="BB85" s="153">
        <f>IF(BB$3&lt;=Inputs!$C$15*12,0,0)</f>
        <v>0</v>
      </c>
      <c r="BC85" s="153">
        <f>IF(BC$3&lt;=Inputs!$C$15*12,0,0)</f>
        <v>0</v>
      </c>
      <c r="BD85" s="153">
        <f>IF(BD$3&lt;=Inputs!$C$15*12,0,0)</f>
        <v>0</v>
      </c>
      <c r="BE85" s="153">
        <f>IF(BE$3&lt;=Inputs!$C$15*12,0,0)</f>
        <v>0</v>
      </c>
      <c r="BF85" s="153">
        <f>IF(BF$3&lt;=Inputs!$C$15*12,0,0)</f>
        <v>0</v>
      </c>
      <c r="BG85" s="153">
        <f>IF(BG$3&lt;=Inputs!$C$15*12,0,0)</f>
        <v>0</v>
      </c>
      <c r="BH85" s="153">
        <f>IF(BH$3&lt;=Inputs!$C$15*12,0,0)</f>
        <v>0</v>
      </c>
      <c r="BI85" s="153">
        <f>IF(BI$3&lt;=Inputs!$C$15*12,0,0)</f>
        <v>0</v>
      </c>
      <c r="BJ85" s="153">
        <f>IF(BJ$3&lt;=Inputs!$C$15*12,0,0)</f>
        <v>0</v>
      </c>
      <c r="BK85" s="153">
        <f>IF(BK$3&lt;=Inputs!$C$15*12,0,0)</f>
        <v>0</v>
      </c>
      <c r="BL85" s="153">
        <f>IF(BL$3&lt;=Inputs!$C$15*12,0,0)</f>
        <v>0</v>
      </c>
      <c r="BM85" s="153">
        <f>IF(BM$3&lt;=Inputs!$C$15*12,0,0)</f>
        <v>0</v>
      </c>
      <c r="BN85" s="153">
        <f>IF(BN$3&lt;=Inputs!$C$15*12,0,0)</f>
        <v>0</v>
      </c>
      <c r="BO85" s="153">
        <f>IF(BO$3&lt;=Inputs!$C$15*12,0,0)</f>
        <v>0</v>
      </c>
      <c r="BP85" s="153">
        <f>IF(BP$3&lt;=Inputs!$C$15*12,0,0)</f>
        <v>0</v>
      </c>
      <c r="BQ85" s="153">
        <f>IF(BQ$3&lt;=Inputs!$C$15*12,0,0)</f>
        <v>0</v>
      </c>
      <c r="BR85" s="153">
        <f>IF(BR$3&lt;=Inputs!$C$15*12,0,0)</f>
        <v>0</v>
      </c>
      <c r="BS85" s="153">
        <f>IF(BS$3&lt;=Inputs!$C$15*12,0,0)</f>
        <v>0</v>
      </c>
      <c r="BT85" s="153">
        <f>IF(BT$3&lt;=Inputs!$C$15*12,0,0)</f>
        <v>0</v>
      </c>
      <c r="BU85" s="153">
        <f>IF(BU$3&lt;=Inputs!$C$15*12,0,0)</f>
        <v>0</v>
      </c>
      <c r="BV85" s="153">
        <f>IF(BV$3&lt;=Inputs!$C$15*12,0,0)</f>
        <v>0</v>
      </c>
      <c r="BW85" s="153">
        <f>IF(BW$3&lt;=Inputs!$C$15*12,0,0)</f>
        <v>0</v>
      </c>
      <c r="BX85" s="153">
        <f>IF(BX$3&lt;=Inputs!$C$15*12,0,0)</f>
        <v>0</v>
      </c>
      <c r="BY85" s="153">
        <f>IF(BY$3&lt;=Inputs!$C$15*12,0,0)</f>
        <v>0</v>
      </c>
      <c r="BZ85" s="153">
        <f>IF(BZ$3&lt;=Inputs!$C$15*12,0,0)</f>
        <v>0</v>
      </c>
      <c r="CA85" s="153">
        <f>IF(CA$3&lt;=Inputs!$C$15*12,0,0)</f>
        <v>0</v>
      </c>
      <c r="CB85" s="153">
        <f>IF(CB$3&lt;=Inputs!$C$15*12,0,0)</f>
        <v>0</v>
      </c>
      <c r="CC85" s="153">
        <f>IF(CC$3&lt;=Inputs!$C$15*12,0,0)</f>
        <v>0</v>
      </c>
      <c r="CD85" s="153">
        <f>IF(CD$3&lt;=Inputs!$C$15*12,0,0)</f>
        <v>0</v>
      </c>
      <c r="CE85" s="153">
        <f>IF(CE$3&lt;=Inputs!$C$15*12,0,0)</f>
        <v>0</v>
      </c>
      <c r="CF85" s="153">
        <f>IF(CF$3&lt;=Inputs!$C$15*12,0,0)</f>
        <v>0</v>
      </c>
      <c r="CG85" s="153">
        <f>IF(CG$3&lt;=Inputs!$C$15*12,0,0)</f>
        <v>0</v>
      </c>
      <c r="CH85" s="153">
        <f>IF(CH$3&lt;=Inputs!$C$15*12,0,0)</f>
        <v>0</v>
      </c>
      <c r="CI85" s="153">
        <f>IF(CI$3&lt;=Inputs!$C$15*12,0,0)</f>
        <v>0</v>
      </c>
      <c r="CJ85" s="153">
        <f>IF(CJ$3&lt;=Inputs!$C$15*12,0,0)</f>
        <v>0</v>
      </c>
      <c r="CK85" s="153">
        <f>IF(CK$3&lt;=Inputs!$C$15*12,0,0)</f>
        <v>0</v>
      </c>
      <c r="CL85" s="153">
        <f>IF(CL$3&lt;=Inputs!$C$15*12,0,0)</f>
        <v>0</v>
      </c>
      <c r="CM85" s="153">
        <f>IF(CM$3&lt;=Inputs!$C$15*12,0,0)</f>
        <v>0</v>
      </c>
      <c r="CN85" s="153">
        <f>IF(CN$3&lt;=Inputs!$C$15*12,0,0)</f>
        <v>0</v>
      </c>
      <c r="CO85" s="153">
        <f>IF(CO$3&lt;=Inputs!$C$15*12,0,0)</f>
        <v>0</v>
      </c>
      <c r="CP85" s="153">
        <f>IF(CP$3&lt;=Inputs!$C$15*12,0,0)</f>
        <v>0</v>
      </c>
      <c r="CQ85" s="153">
        <f>IF(CQ$3&lt;=Inputs!$C$15*12,0,0)</f>
        <v>0</v>
      </c>
      <c r="CR85" s="153">
        <f>IF(CR$3&lt;=Inputs!$C$15*12,0,0)</f>
        <v>0</v>
      </c>
      <c r="CS85" s="153">
        <f>IF(CS$3&lt;=Inputs!$C$15*12,0,0)</f>
        <v>0</v>
      </c>
      <c r="CT85" s="153">
        <f>IF(CT$3&lt;=Inputs!$C$15*12,0,0)</f>
        <v>0</v>
      </c>
      <c r="CU85" s="153">
        <f>IF(CU$3&lt;=Inputs!$C$15*12,0,0)</f>
        <v>0</v>
      </c>
      <c r="CV85" s="153">
        <f>IF(CV$3&lt;=Inputs!$C$15*12,0,0)</f>
        <v>0</v>
      </c>
      <c r="CW85" s="153">
        <f>IF(CW$3&lt;=Inputs!$C$15*12,0,0)</f>
        <v>0</v>
      </c>
      <c r="CX85" s="153">
        <f>IF(CX$3&lt;=Inputs!$C$15*12,0,0)</f>
        <v>0</v>
      </c>
      <c r="CY85" s="153">
        <f>IF(CY$3&lt;=Inputs!$C$15*12,0,0)</f>
        <v>0</v>
      </c>
      <c r="CZ85" s="153">
        <f>IF(CZ$3&lt;=Inputs!$C$15*12,0,0)</f>
        <v>0</v>
      </c>
      <c r="DA85" s="153">
        <f>IF(DA$3&lt;=Inputs!$C$15*12,0,0)</f>
        <v>0</v>
      </c>
      <c r="DB85" s="153">
        <f>IF(DB$3&lt;=Inputs!$C$15*12,0,0)</f>
        <v>0</v>
      </c>
      <c r="DC85" s="153">
        <f>IF(DC$3&lt;=Inputs!$C$15*12,0,0)</f>
        <v>0</v>
      </c>
      <c r="DD85" s="153">
        <f>IF(DD$3&lt;=Inputs!$C$15*12,0,0)</f>
        <v>0</v>
      </c>
      <c r="DE85" s="153">
        <f>IF(DE$3&lt;=Inputs!$C$15*12,0,0)</f>
        <v>0</v>
      </c>
      <c r="DF85" s="153">
        <f>IF(DF$3&lt;=Inputs!$C$15*12,0,0)</f>
        <v>0</v>
      </c>
      <c r="DG85" s="153">
        <f>IF(DG$3&lt;=Inputs!$C$15*12,0,0)</f>
        <v>0</v>
      </c>
      <c r="DH85" s="153">
        <f>IF(DH$3&lt;=Inputs!$C$15*12,0,0)</f>
        <v>0</v>
      </c>
      <c r="DI85" s="153">
        <f>IF(DI$3&lt;=Inputs!$C$15*12,0,0)</f>
        <v>0</v>
      </c>
      <c r="DJ85" s="153">
        <f>IF(DJ$3&lt;=Inputs!$C$15*12,0,0)</f>
        <v>0</v>
      </c>
      <c r="DK85" s="153">
        <f>IF(DK$3&lt;=Inputs!$C$15*12,0,0)</f>
        <v>0</v>
      </c>
      <c r="DL85" s="153">
        <f>IF(DL$3&lt;=Inputs!$C$15*12,0,0)</f>
        <v>0</v>
      </c>
      <c r="DM85" s="153">
        <f>IF(DM$3&lt;=Inputs!$C$15*12,0,0)</f>
        <v>0</v>
      </c>
      <c r="DN85" s="153">
        <f>IF(DN$3&lt;=Inputs!$C$15*12,0,0)</f>
        <v>0</v>
      </c>
      <c r="DO85" s="153">
        <f>IF(DO$3&lt;=Inputs!$C$15*12,0,0)</f>
        <v>0</v>
      </c>
      <c r="DP85" s="153">
        <f>IF(DP$3&lt;=Inputs!$C$15*12,0,0)</f>
        <v>0</v>
      </c>
      <c r="DQ85" s="153">
        <f>IF(DQ$3&lt;=Inputs!$C$15*12,0,0)</f>
        <v>0</v>
      </c>
      <c r="DR85" s="153">
        <f>IF(DR$3&lt;=Inputs!$C$15*12,0,0)</f>
        <v>0</v>
      </c>
      <c r="DS85" s="54"/>
    </row>
    <row r="86" ht="15.0" customHeight="1">
      <c r="A86" s="54"/>
      <c r="B86" s="56" t="s">
        <v>336</v>
      </c>
      <c r="C86" s="152">
        <f>IF(C$3&lt;=Inputs!$C$15*12,IF(C$3=Inputs!$C$16*12+1,C78+C72-Inputs!$C$83,0),0)</f>
        <v>0</v>
      </c>
      <c r="D86" s="152">
        <f>IF(D$3&lt;=Inputs!$C$15*12,IF(D$3=Inputs!$C$16*12+1,D78+D72-Inputs!$C$83,0),0)</f>
        <v>0</v>
      </c>
      <c r="E86" s="152">
        <f>IF(E$3&lt;=Inputs!$C$15*12,IF(E$3=Inputs!$C$16*12+1,E78+E72-Inputs!$C$83,0),0)</f>
        <v>0</v>
      </c>
      <c r="F86" s="152">
        <f>IF(F$3&lt;=Inputs!$C$15*12,IF(F$3=Inputs!$C$16*12+1,F78+F72-Inputs!$C$83,0),0)</f>
        <v>0</v>
      </c>
      <c r="G86" s="152">
        <f>IF(G$3&lt;=Inputs!$C$15*12,IF(G$3=Inputs!$C$16*12+1,G78+G72-Inputs!$C$83,0),0)</f>
        <v>0</v>
      </c>
      <c r="H86" s="152">
        <f>IF(H$3&lt;=Inputs!$C$15*12,IF(H$3=Inputs!$C$16*12+1,H78+H72-Inputs!$C$83,0),0)</f>
        <v>0</v>
      </c>
      <c r="I86" s="152">
        <f>IF(I$3&lt;=Inputs!$C$15*12,IF(I$3=Inputs!$C$16*12+1,I78+I72-Inputs!$C$83,0),0)</f>
        <v>0</v>
      </c>
      <c r="J86" s="152">
        <f>IF(J$3&lt;=Inputs!$C$15*12,IF(J$3=Inputs!$C$16*12+1,J78+J72-Inputs!$C$83,0),0)</f>
        <v>0</v>
      </c>
      <c r="K86" s="152">
        <f>IF(K$3&lt;=Inputs!$C$15*12,IF(K$3=Inputs!$C$16*12+1,K78+K72-Inputs!$C$83,0),0)</f>
        <v>0</v>
      </c>
      <c r="L86" s="152">
        <f>IF(L$3&lt;=Inputs!$C$15*12,IF(L$3=Inputs!$C$16*12+1,L78+L72-Inputs!$C$83,0),0)</f>
        <v>0</v>
      </c>
      <c r="M86" s="152">
        <f>IF(M$3&lt;=Inputs!$C$15*12,IF(M$3=Inputs!$C$16*12+1,M78+M72-Inputs!$C$83,0),0)</f>
        <v>0</v>
      </c>
      <c r="N86" s="152">
        <f>IF(N$3&lt;=Inputs!$C$15*12,IF(N$3=Inputs!$C$16*12+1,N78+N72-Inputs!$C$83,0),0)</f>
        <v>0</v>
      </c>
      <c r="O86" s="152">
        <f>IF(O$3&lt;=Inputs!$C$15*12,IF(O$3=Inputs!$C$16*12+1,O78+O72-Inputs!$C$83,0),0)</f>
        <v>0</v>
      </c>
      <c r="P86" s="152">
        <f>IF(P$3&lt;=Inputs!$C$15*12,IF(P$3=Inputs!$C$16*12+1,P78+P72-Inputs!$C$83,0),0)</f>
        <v>0</v>
      </c>
      <c r="Q86" s="152">
        <f>IF(Q$3&lt;=Inputs!$C$15*12,IF(Q$3=Inputs!$C$16*12+1,Q78+Q72-Inputs!$C$83,0),0)</f>
        <v>0</v>
      </c>
      <c r="R86" s="152">
        <f>IF(R$3&lt;=Inputs!$C$15*12,IF(R$3=Inputs!$C$16*12+1,R78+R72-Inputs!$C$83,0),0)</f>
        <v>0</v>
      </c>
      <c r="S86" s="152">
        <f>IF(S$3&lt;=Inputs!$C$15*12,IF(S$3=Inputs!$C$16*12+1,S78+S72-Inputs!$C$83,0),0)</f>
        <v>0</v>
      </c>
      <c r="T86" s="152">
        <f>IF(T$3&lt;=Inputs!$C$15*12,IF(T$3=Inputs!$C$16*12+1,T78+T72-Inputs!$C$83,0),0)</f>
        <v>0</v>
      </c>
      <c r="U86" s="152">
        <f>IF(U$3&lt;=Inputs!$C$15*12,IF(U$3=Inputs!$C$16*12+1,U78+U72-Inputs!$C$83,0),0)</f>
        <v>0</v>
      </c>
      <c r="V86" s="152">
        <f>IF(V$3&lt;=Inputs!$C$15*12,IF(V$3=Inputs!$C$16*12+1,V78+V72-Inputs!$C$83,0),0)</f>
        <v>0</v>
      </c>
      <c r="W86" s="152">
        <f>IF(W$3&lt;=Inputs!$C$15*12,IF(W$3=Inputs!$C$16*12+1,W78+W72-Inputs!$C$83,0),0)</f>
        <v>0</v>
      </c>
      <c r="X86" s="152">
        <f>IF(X$3&lt;=Inputs!$C$15*12,IF(X$3=Inputs!$C$16*12+1,X78+X72-Inputs!$C$83,0),0)</f>
        <v>0</v>
      </c>
      <c r="Y86" s="152">
        <f>IF(Y$3&lt;=Inputs!$C$15*12,IF(Y$3=Inputs!$C$16*12+1,Y78+Y72-Inputs!$C$83,0),0)</f>
        <v>0</v>
      </c>
      <c r="Z86" s="152">
        <f>IF(Z$3&lt;=Inputs!$C$15*12,IF(Z$3=Inputs!$C$16*12+1,Z78+Z72-Inputs!$C$83,0),0)</f>
        <v>0</v>
      </c>
      <c r="AA86" s="152">
        <f>IF(AA$3&lt;=Inputs!$C$15*12,IF(AA$3=Inputs!$C$16*12+1,AA78+AA72-Inputs!$C$83,0),0)</f>
        <v>0</v>
      </c>
      <c r="AB86" s="152">
        <f>IF(AB$3&lt;=Inputs!$C$15*12,IF(AB$3=Inputs!$C$16*12+1,AB78+AB72-Inputs!$C$83,0),0)</f>
        <v>0</v>
      </c>
      <c r="AC86" s="152">
        <f>IF(AC$3&lt;=Inputs!$C$15*12,IF(AC$3=Inputs!$C$16*12+1,AC78+AC72-Inputs!$C$83,0),0)</f>
        <v>0</v>
      </c>
      <c r="AD86" s="152">
        <f>IF(AD$3&lt;=Inputs!$C$15*12,IF(AD$3=Inputs!$C$16*12+1,AD78+AD72-Inputs!$C$83,0),0)</f>
        <v>0</v>
      </c>
      <c r="AE86" s="152">
        <f>IF(AE$3&lt;=Inputs!$C$15*12,IF(AE$3=Inputs!$C$16*12+1,AE78+AE72-Inputs!$C$83,0),0)</f>
        <v>0</v>
      </c>
      <c r="AF86" s="152">
        <f>IF(AF$3&lt;=Inputs!$C$15*12,IF(AF$3=Inputs!$C$16*12+1,AF78+AF72-Inputs!$C$83,0),0)</f>
        <v>0</v>
      </c>
      <c r="AG86" s="152">
        <f>IF(AG$3&lt;=Inputs!$C$15*12,IF(AG$3=Inputs!$C$16*12+1,AG78+AG72-Inputs!$C$83,0),0)</f>
        <v>0</v>
      </c>
      <c r="AH86" s="152">
        <f>IF(AH$3&lt;=Inputs!$C$15*12,IF(AH$3=Inputs!$C$16*12+1,AH78+AH72-Inputs!$C$83,0),0)</f>
        <v>0</v>
      </c>
      <c r="AI86" s="152">
        <f>IF(AI$3&lt;=Inputs!$C$15*12,IF(AI$3=Inputs!$C$16*12+1,AI78+AI72-Inputs!$C$83,0),0)</f>
        <v>0</v>
      </c>
      <c r="AJ86" s="152">
        <f>IF(AJ$3&lt;=Inputs!$C$15*12,IF(AJ$3=Inputs!$C$16*12+1,AJ78+AJ72-Inputs!$C$83,0),0)</f>
        <v>0</v>
      </c>
      <c r="AK86" s="152">
        <f>IF(AK$3&lt;=Inputs!$C$15*12,IF(AK$3=Inputs!$C$16*12+1,AK78+AK72-Inputs!$C$83,0),0)</f>
        <v>0</v>
      </c>
      <c r="AL86" s="152">
        <f>IF(AL$3&lt;=Inputs!$C$15*12,IF(AL$3=Inputs!$C$16*12+1,AL78+AL72-Inputs!$C$83,0),0)</f>
        <v>0</v>
      </c>
      <c r="AM86" s="152">
        <f>IF(AM$3&lt;=Inputs!$C$15*12,IF(AM$3=Inputs!$C$16*12+1,AM78+AM72-Inputs!$C$83,0),0)</f>
        <v>0</v>
      </c>
      <c r="AN86" s="152">
        <f>IF(AN$3&lt;=Inputs!$C$15*12,IF(AN$3=Inputs!$C$16*12+1,AN78+AN72-Inputs!$C$83,0),0)</f>
        <v>0</v>
      </c>
      <c r="AO86" s="152">
        <f>IF(AO$3&lt;=Inputs!$C$15*12,IF(AO$3=Inputs!$C$16*12+1,AO78+AO72-Inputs!$C$83,0),0)</f>
        <v>0</v>
      </c>
      <c r="AP86" s="152">
        <f>IF(AP$3&lt;=Inputs!$C$15*12,IF(AP$3=Inputs!$C$16*12+1,AP78+AP72-Inputs!$C$83,0),0)</f>
        <v>0</v>
      </c>
      <c r="AQ86" s="152">
        <f>IF(AQ$3&lt;=Inputs!$C$15*12,IF(AQ$3=Inputs!$C$16*12+1,AQ78+AQ72-Inputs!$C$83,0),0)</f>
        <v>0</v>
      </c>
      <c r="AR86" s="152">
        <f>IF(AR$3&lt;=Inputs!$C$15*12,IF(AR$3=Inputs!$C$16*12+1,AR78+AR72-Inputs!$C$83,0),0)</f>
        <v>0</v>
      </c>
      <c r="AS86" s="152">
        <f>IF(AS$3&lt;=Inputs!$C$15*12,IF(AS$3=Inputs!$C$16*12+1,AS78+AS72-Inputs!$C$83,0),0)</f>
        <v>0</v>
      </c>
      <c r="AT86" s="152">
        <f>IF(AT$3&lt;=Inputs!$C$15*12,IF(AT$3=Inputs!$C$16*12+1,AT78+AT72-Inputs!$C$83,0),0)</f>
        <v>0</v>
      </c>
      <c r="AU86" s="152">
        <f>IF(AU$3&lt;=Inputs!$C$15*12,IF(AU$3=Inputs!$C$16*12+1,AU78+AU72-Inputs!$C$83,0),0)</f>
        <v>0</v>
      </c>
      <c r="AV86" s="152">
        <f>IF(AV$3&lt;=Inputs!$C$15*12,IF(AV$3=Inputs!$C$16*12+1,AV78+AV72-Inputs!$C$83,0),0)</f>
        <v>0</v>
      </c>
      <c r="AW86" s="152">
        <f>IF(AW$3&lt;=Inputs!$C$15*12,IF(AW$3=Inputs!$C$16*12+1,AW78+AW72-Inputs!$C$83,0),0)</f>
        <v>0</v>
      </c>
      <c r="AX86" s="152">
        <f>IF(AX$3&lt;=Inputs!$C$15*12,IF(AX$3=Inputs!$C$16*12+1,AX78+AX72-Inputs!$C$83,0),0)</f>
        <v>0</v>
      </c>
      <c r="AY86" s="152">
        <f>IF(AY$3&lt;=Inputs!$C$15*12,IF(AY$3=Inputs!$C$16*12+1,AY78+AY72-Inputs!$C$83,0),0)</f>
        <v>0</v>
      </c>
      <c r="AZ86" s="152">
        <f>IF(AZ$3&lt;=Inputs!$C$15*12,IF(AZ$3=Inputs!$C$16*12+1,AZ78+AZ72-Inputs!$C$83,0),0)</f>
        <v>0</v>
      </c>
      <c r="BA86" s="152">
        <f>IF(BA$3&lt;=Inputs!$C$15*12,IF(BA$3=Inputs!$C$16*12+1,BA78+BA72-Inputs!$C$83,0),0)</f>
        <v>0</v>
      </c>
      <c r="BB86" s="152">
        <f>IF(BB$3&lt;=Inputs!$C$15*12,IF(BB$3=Inputs!$C$16*12+1,BB78+BB72-Inputs!$C$83,0),0)</f>
        <v>0</v>
      </c>
      <c r="BC86" s="152">
        <f>IF(BC$3&lt;=Inputs!$C$15*12,IF(BC$3=Inputs!$C$16*12+1,BC78+BC72-Inputs!$C$83,0),0)</f>
        <v>0</v>
      </c>
      <c r="BD86" s="152">
        <f>IF(BD$3&lt;=Inputs!$C$15*12,IF(BD$3=Inputs!$C$16*12+1,BD78+BD72-Inputs!$C$83,0),0)</f>
        <v>0</v>
      </c>
      <c r="BE86" s="152">
        <f>IF(BE$3&lt;=Inputs!$C$15*12,IF(BE$3=Inputs!$C$16*12+1,BE78+BE72-Inputs!$C$83,0),0)</f>
        <v>0</v>
      </c>
      <c r="BF86" s="152">
        <f>IF(BF$3&lt;=Inputs!$C$15*12,IF(BF$3=Inputs!$C$16*12+1,BF78+BF72-Inputs!$C$83,0),0)</f>
        <v>0</v>
      </c>
      <c r="BG86" s="152">
        <f>IF(BG$3&lt;=Inputs!$C$15*12,IF(BG$3=Inputs!$C$16*12+1,BG78+BG72-Inputs!$C$83,0),0)</f>
        <v>0</v>
      </c>
      <c r="BH86" s="152">
        <f>IF(BH$3&lt;=Inputs!$C$15*12,IF(BH$3=Inputs!$C$16*12+1,BH78+BH72-Inputs!$C$83,0),0)</f>
        <v>0</v>
      </c>
      <c r="BI86" s="152">
        <f>IF(BI$3&lt;=Inputs!$C$15*12,IF(BI$3=Inputs!$C$16*12+1,BI78+BI72-Inputs!$C$83,0),0)</f>
        <v>0</v>
      </c>
      <c r="BJ86" s="152">
        <f>IF(BJ$3&lt;=Inputs!$C$15*12,IF(BJ$3=Inputs!$C$16*12+1,BJ78+BJ72-Inputs!$C$83,0),0)</f>
        <v>0</v>
      </c>
      <c r="BK86" s="152">
        <f>IF(BK$3&lt;=Inputs!$C$15*12,IF(BK$3=Inputs!$C$16*12+1,BK78+BK72-Inputs!$C$83,0),0)</f>
        <v>0</v>
      </c>
      <c r="BL86" s="152">
        <f>IF(BL$3&lt;=Inputs!$C$15*12,IF(BL$3=Inputs!$C$16*12+1,BL78+BL72-Inputs!$C$83,0),0)</f>
        <v>0</v>
      </c>
      <c r="BM86" s="152">
        <f>IF(BM$3&lt;=Inputs!$C$15*12,IF(BM$3=Inputs!$C$16*12+1,BM78+BM72-Inputs!$C$83,0),0)</f>
        <v>0</v>
      </c>
      <c r="BN86" s="152">
        <f>IF(BN$3&lt;=Inputs!$C$15*12,IF(BN$3=Inputs!$C$16*12+1,BN78+BN72-Inputs!$C$83,0),0)</f>
        <v>0</v>
      </c>
      <c r="BO86" s="152">
        <f>IF(BO$3&lt;=Inputs!$C$15*12,IF(BO$3=Inputs!$C$16*12+1,BO78+BO72-Inputs!$C$83,0),0)</f>
        <v>0</v>
      </c>
      <c r="BP86" s="152">
        <f>IF(BP$3&lt;=Inputs!$C$15*12,IF(BP$3=Inputs!$C$16*12+1,BP78+BP72-Inputs!$C$83,0),0)</f>
        <v>0</v>
      </c>
      <c r="BQ86" s="152">
        <f>IF(BQ$3&lt;=Inputs!$C$15*12,IF(BQ$3=Inputs!$C$16*12+1,BQ78+BQ72-Inputs!$C$83,0),0)</f>
        <v>0</v>
      </c>
      <c r="BR86" s="152">
        <f>IF(BR$3&lt;=Inputs!$C$15*12,IF(BR$3=Inputs!$C$16*12+1,BR78+BR72-Inputs!$C$83,0),0)</f>
        <v>0</v>
      </c>
      <c r="BS86" s="152">
        <f>IF(BS$3&lt;=Inputs!$C$15*12,IF(BS$3=Inputs!$C$16*12+1,BS78+BS72-Inputs!$C$83,0),0)</f>
        <v>0</v>
      </c>
      <c r="BT86" s="152">
        <f>IF(BT$3&lt;=Inputs!$C$15*12,IF(BT$3=Inputs!$C$16*12+1,BT78+BT72-Inputs!$C$83,0),0)</f>
        <v>0</v>
      </c>
      <c r="BU86" s="152">
        <f>IF(BU$3&lt;=Inputs!$C$15*12,IF(BU$3=Inputs!$C$16*12+1,BU78+BU72-Inputs!$C$83,0),0)</f>
        <v>0</v>
      </c>
      <c r="BV86" s="152">
        <f>IF(BV$3&lt;=Inputs!$C$15*12,IF(BV$3=Inputs!$C$16*12+1,BV78+BV72-Inputs!$C$83,0),0)</f>
        <v>0</v>
      </c>
      <c r="BW86" s="152">
        <f>IF(BW$3&lt;=Inputs!$C$15*12,IF(BW$3=Inputs!$C$16*12+1,BW78+BW72-Inputs!$C$83,0),0)</f>
        <v>0</v>
      </c>
      <c r="BX86" s="152">
        <f>IF(BX$3&lt;=Inputs!$C$15*12,IF(BX$3=Inputs!$C$16*12+1,BX78+BX72-Inputs!$C$83,0),0)</f>
        <v>0</v>
      </c>
      <c r="BY86" s="152">
        <f>IF(BY$3&lt;=Inputs!$C$15*12,IF(BY$3=Inputs!$C$16*12+1,BY78+BY72-Inputs!$C$83,0),0)</f>
        <v>0</v>
      </c>
      <c r="BZ86" s="152">
        <f>IF(BZ$3&lt;=Inputs!$C$15*12,IF(BZ$3=Inputs!$C$16*12+1,BZ78+BZ72-Inputs!$C$83,0),0)</f>
        <v>0</v>
      </c>
      <c r="CA86" s="152">
        <f>IF(CA$3&lt;=Inputs!$C$15*12,IF(CA$3=Inputs!$C$16*12+1,CA78+CA72-Inputs!$C$83,0),0)</f>
        <v>0</v>
      </c>
      <c r="CB86" s="152">
        <f>IF(CB$3&lt;=Inputs!$C$15*12,IF(CB$3=Inputs!$C$16*12+1,CB78+CB72-Inputs!$C$83,0),0)</f>
        <v>0</v>
      </c>
      <c r="CC86" s="152">
        <f>IF(CC$3&lt;=Inputs!$C$15*12,IF(CC$3=Inputs!$C$16*12+1,CC78+CC72-Inputs!$C$83,0),0)</f>
        <v>0</v>
      </c>
      <c r="CD86" s="152">
        <f>IF(CD$3&lt;=Inputs!$C$15*12,IF(CD$3=Inputs!$C$16*12+1,CD78+CD72-Inputs!$C$83,0),0)</f>
        <v>0</v>
      </c>
      <c r="CE86" s="152">
        <f>IF(CE$3&lt;=Inputs!$C$15*12,IF(CE$3=Inputs!$C$16*12+1,CE78+CE72-Inputs!$C$83,0),0)</f>
        <v>0</v>
      </c>
      <c r="CF86" s="152">
        <f>IF(CF$3&lt;=Inputs!$C$15*12,IF(CF$3=Inputs!$C$16*12+1,CF78+CF72-Inputs!$C$83,0),0)</f>
        <v>0</v>
      </c>
      <c r="CG86" s="152">
        <f>IF(CG$3&lt;=Inputs!$C$15*12,IF(CG$3=Inputs!$C$16*12+1,CG78+CG72-Inputs!$C$83,0),0)</f>
        <v>0</v>
      </c>
      <c r="CH86" s="152">
        <f>IF(CH$3&lt;=Inputs!$C$15*12,IF(CH$3=Inputs!$C$16*12+1,CH78+CH72-Inputs!$C$83,0),0)</f>
        <v>0</v>
      </c>
      <c r="CI86" s="152">
        <f>IF(CI$3&lt;=Inputs!$C$15*12,IF(CI$3=Inputs!$C$16*12+1,CI78+CI72-Inputs!$C$83,0),0)</f>
        <v>0</v>
      </c>
      <c r="CJ86" s="152">
        <f>IF(CJ$3&lt;=Inputs!$C$15*12,IF(CJ$3=Inputs!$C$16*12+1,CJ78+CJ72-Inputs!$C$83,0),0)</f>
        <v>0</v>
      </c>
      <c r="CK86" s="152">
        <f>IF(CK$3&lt;=Inputs!$C$15*12,IF(CK$3=Inputs!$C$16*12+1,CK78+CK72-Inputs!$C$83,0),0)</f>
        <v>0</v>
      </c>
      <c r="CL86" s="152">
        <f>IF(CL$3&lt;=Inputs!$C$15*12,IF(CL$3=Inputs!$C$16*12+1,CL78+CL72-Inputs!$C$83,0),0)</f>
        <v>0</v>
      </c>
      <c r="CM86" s="152">
        <f>IF(CM$3&lt;=Inputs!$C$15*12,IF(CM$3=Inputs!$C$16*12+1,CM78+CM72-Inputs!$C$83,0),0)</f>
        <v>0</v>
      </c>
      <c r="CN86" s="152">
        <f>IF(CN$3&lt;=Inputs!$C$15*12,IF(CN$3=Inputs!$C$16*12+1,CN78+CN72-Inputs!$C$83,0),0)</f>
        <v>0</v>
      </c>
      <c r="CO86" s="152">
        <f>IF(CO$3&lt;=Inputs!$C$15*12,IF(CO$3=Inputs!$C$16*12+1,CO78+CO72-Inputs!$C$83,0),0)</f>
        <v>0</v>
      </c>
      <c r="CP86" s="152">
        <f>IF(CP$3&lt;=Inputs!$C$15*12,IF(CP$3=Inputs!$C$16*12+1,CP78+CP72-Inputs!$C$83,0),0)</f>
        <v>0</v>
      </c>
      <c r="CQ86" s="152">
        <f>IF(CQ$3&lt;=Inputs!$C$15*12,IF(CQ$3=Inputs!$C$16*12+1,CQ78+CQ72-Inputs!$C$83,0),0)</f>
        <v>0</v>
      </c>
      <c r="CR86" s="152">
        <f>IF(CR$3&lt;=Inputs!$C$15*12,IF(CR$3=Inputs!$C$16*12+1,CR78+CR72-Inputs!$C$83,0),0)</f>
        <v>0</v>
      </c>
      <c r="CS86" s="152">
        <f>IF(CS$3&lt;=Inputs!$C$15*12,IF(CS$3=Inputs!$C$16*12+1,CS78+CS72-Inputs!$C$83,0),0)</f>
        <v>0</v>
      </c>
      <c r="CT86" s="152">
        <f>IF(CT$3&lt;=Inputs!$C$15*12,IF(CT$3=Inputs!$C$16*12+1,CT78+CT72-Inputs!$C$83,0),0)</f>
        <v>0</v>
      </c>
      <c r="CU86" s="152">
        <f>IF(CU$3&lt;=Inputs!$C$15*12,IF(CU$3=Inputs!$C$16*12+1,CU78+CU72-Inputs!$C$83,0),0)</f>
        <v>0</v>
      </c>
      <c r="CV86" s="152">
        <f>IF(CV$3&lt;=Inputs!$C$15*12,IF(CV$3=Inputs!$C$16*12+1,CV78+CV72-Inputs!$C$83,0),0)</f>
        <v>0</v>
      </c>
      <c r="CW86" s="152">
        <f>IF(CW$3&lt;=Inputs!$C$15*12,IF(CW$3=Inputs!$C$16*12+1,CW78+CW72-Inputs!$C$83,0),0)</f>
        <v>0</v>
      </c>
      <c r="CX86" s="152">
        <f>IF(CX$3&lt;=Inputs!$C$15*12,IF(CX$3=Inputs!$C$16*12+1,CX78+CX72-Inputs!$C$83,0),0)</f>
        <v>0</v>
      </c>
      <c r="CY86" s="152">
        <f>IF(CY$3&lt;=Inputs!$C$15*12,IF(CY$3=Inputs!$C$16*12+1,CY78+CY72-Inputs!$C$83,0),0)</f>
        <v>0</v>
      </c>
      <c r="CZ86" s="152">
        <f>IF(CZ$3&lt;=Inputs!$C$15*12,IF(CZ$3=Inputs!$C$16*12+1,CZ78+CZ72-Inputs!$C$83,0),0)</f>
        <v>0</v>
      </c>
      <c r="DA86" s="152">
        <f>IF(DA$3&lt;=Inputs!$C$15*12,IF(DA$3=Inputs!$C$16*12+1,DA78+DA72-Inputs!$C$83,0),0)</f>
        <v>0</v>
      </c>
      <c r="DB86" s="152">
        <f>IF(DB$3&lt;=Inputs!$C$15*12,IF(DB$3=Inputs!$C$16*12+1,DB78+DB72-Inputs!$C$83,0),0)</f>
        <v>0</v>
      </c>
      <c r="DC86" s="152">
        <f>IF(DC$3&lt;=Inputs!$C$15*12,IF(DC$3=Inputs!$C$16*12+1,DC78+DC72-Inputs!$C$83,0),0)</f>
        <v>0</v>
      </c>
      <c r="DD86" s="152">
        <f>IF(DD$3&lt;=Inputs!$C$15*12,IF(DD$3=Inputs!$C$16*12+1,DD78+DD72-Inputs!$C$83,0),0)</f>
        <v>0</v>
      </c>
      <c r="DE86" s="152">
        <f>IF(DE$3&lt;=Inputs!$C$15*12,IF(DE$3=Inputs!$C$16*12+1,DE78+DE72-Inputs!$C$83,0),0)</f>
        <v>0</v>
      </c>
      <c r="DF86" s="152">
        <f>IF(DF$3&lt;=Inputs!$C$15*12,IF(DF$3=Inputs!$C$16*12+1,DF78+DF72-Inputs!$C$83,0),0)</f>
        <v>0</v>
      </c>
      <c r="DG86" s="152">
        <f>IF(DG$3&lt;=Inputs!$C$15*12,IF(DG$3=Inputs!$C$16*12+1,DG78+DG72-Inputs!$C$83,0),0)</f>
        <v>0</v>
      </c>
      <c r="DH86" s="152">
        <f>IF(DH$3&lt;=Inputs!$C$15*12,IF(DH$3=Inputs!$C$16*12+1,DH78+DH72-Inputs!$C$83,0),0)</f>
        <v>0</v>
      </c>
      <c r="DI86" s="152">
        <f>IF(DI$3&lt;=Inputs!$C$15*12,IF(DI$3=Inputs!$C$16*12+1,DI78+DI72-Inputs!$C$83,0),0)</f>
        <v>0</v>
      </c>
      <c r="DJ86" s="152">
        <f>IF(DJ$3&lt;=Inputs!$C$15*12,IF(DJ$3=Inputs!$C$16*12+1,DJ78+DJ72-Inputs!$C$83,0),0)</f>
        <v>0</v>
      </c>
      <c r="DK86" s="152">
        <f>IF(DK$3&lt;=Inputs!$C$15*12,IF(DK$3=Inputs!$C$16*12+1,DK78+DK72-Inputs!$C$83,0),0)</f>
        <v>0</v>
      </c>
      <c r="DL86" s="152">
        <f>IF(DL$3&lt;=Inputs!$C$15*12,IF(DL$3=Inputs!$C$16*12+1,DL78+DL72-Inputs!$C$83,0),0)</f>
        <v>0</v>
      </c>
      <c r="DM86" s="152">
        <f>IF(DM$3&lt;=Inputs!$C$15*12,IF(DM$3=Inputs!$C$16*12+1,DM78+DM72-Inputs!$C$83,0),0)</f>
        <v>0</v>
      </c>
      <c r="DN86" s="152">
        <f>IF(DN$3&lt;=Inputs!$C$15*12,IF(DN$3=Inputs!$C$16*12+1,DN78+DN72-Inputs!$C$83,0),0)</f>
        <v>0</v>
      </c>
      <c r="DO86" s="152">
        <f>IF(DO$3&lt;=Inputs!$C$15*12,IF(DO$3=Inputs!$C$16*12+1,DO78+DO72-Inputs!$C$83,0),0)</f>
        <v>0</v>
      </c>
      <c r="DP86" s="152">
        <f>IF(DP$3&lt;=Inputs!$C$15*12,IF(DP$3=Inputs!$C$16*12+1,DP78+DP72-Inputs!$C$83,0),0)</f>
        <v>0</v>
      </c>
      <c r="DQ86" s="152">
        <f>IF(DQ$3&lt;=Inputs!$C$15*12,IF(DQ$3=Inputs!$C$16*12+1,DQ78+DQ72-Inputs!$C$83,0),0)</f>
        <v>0</v>
      </c>
      <c r="DR86" s="152">
        <f>IF(DR$3&lt;=Inputs!$C$15*12,IF(DR$3=Inputs!$C$16*12+1,DR78+DR72-Inputs!$C$83,0),0)</f>
        <v>0</v>
      </c>
      <c r="DS86" s="54"/>
    </row>
    <row r="87" ht="15.0" customHeight="1">
      <c r="A87" s="54"/>
      <c r="B87" s="61" t="s">
        <v>337</v>
      </c>
      <c r="C87" s="160">
        <f>IF(C$3&lt;=Inputs!$C$15*12,C60+C69,0)</f>
        <v>750000</v>
      </c>
      <c r="D87" s="160">
        <f>IF(D$3&lt;=Inputs!$C$15*12,D60+D69,0)</f>
        <v>0</v>
      </c>
      <c r="E87" s="160">
        <f>IF(E$3&lt;=Inputs!$C$15*12,E60+E69,0)</f>
        <v>0</v>
      </c>
      <c r="F87" s="160">
        <f>IF(F$3&lt;=Inputs!$C$15*12,F60+F69,0)</f>
        <v>0</v>
      </c>
      <c r="G87" s="160">
        <f>IF(G$3&lt;=Inputs!$C$15*12,G60+G69,0)</f>
        <v>0</v>
      </c>
      <c r="H87" s="160">
        <f>IF(H$3&lt;=Inputs!$C$15*12,H60+H69,0)</f>
        <v>0</v>
      </c>
      <c r="I87" s="160">
        <f>IF(I$3&lt;=Inputs!$C$15*12,I60+I69,0)</f>
        <v>0</v>
      </c>
      <c r="J87" s="160">
        <f>IF(J$3&lt;=Inputs!$C$15*12,J60+J69,0)</f>
        <v>0</v>
      </c>
      <c r="K87" s="160">
        <f>IF(K$3&lt;=Inputs!$C$15*12,K60+K69,0)</f>
        <v>0</v>
      </c>
      <c r="L87" s="160">
        <f>IF(L$3&lt;=Inputs!$C$15*12,L60+L69,0)</f>
        <v>0</v>
      </c>
      <c r="M87" s="160">
        <f>IF(M$3&lt;=Inputs!$C$15*12,M60+M69,0)</f>
        <v>0</v>
      </c>
      <c r="N87" s="160">
        <f>IF(N$3&lt;=Inputs!$C$15*12,N60+N69,0)</f>
        <v>0</v>
      </c>
      <c r="O87" s="160">
        <f>IF(O$3&lt;=Inputs!$C$15*12,O60+O69,0)</f>
        <v>0</v>
      </c>
      <c r="P87" s="160">
        <f>IF(P$3&lt;=Inputs!$C$15*12,P60+P69,0)</f>
        <v>0</v>
      </c>
      <c r="Q87" s="160">
        <f>IF(Q$3&lt;=Inputs!$C$15*12,Q60+Q69,0)</f>
        <v>0</v>
      </c>
      <c r="R87" s="160">
        <f>IF(R$3&lt;=Inputs!$C$15*12,R60+R69,0)</f>
        <v>0</v>
      </c>
      <c r="S87" s="160">
        <f>IF(S$3&lt;=Inputs!$C$15*12,S60+S69,0)</f>
        <v>0</v>
      </c>
      <c r="T87" s="160">
        <f>IF(T$3&lt;=Inputs!$C$15*12,T60+T69,0)</f>
        <v>0</v>
      </c>
      <c r="U87" s="160">
        <f>IF(U$3&lt;=Inputs!$C$15*12,U60+U69,0)</f>
        <v>0</v>
      </c>
      <c r="V87" s="160">
        <f>IF(V$3&lt;=Inputs!$C$15*12,V60+V69,0)</f>
        <v>0</v>
      </c>
      <c r="W87" s="160">
        <f>IF(W$3&lt;=Inputs!$C$15*12,W60+W69,0)</f>
        <v>0</v>
      </c>
      <c r="X87" s="160">
        <f>IF(X$3&lt;=Inputs!$C$15*12,X60+X69,0)</f>
        <v>0</v>
      </c>
      <c r="Y87" s="160">
        <f>IF(Y$3&lt;=Inputs!$C$15*12,Y60+Y69,0)</f>
        <v>0</v>
      </c>
      <c r="Z87" s="160">
        <f>IF(Z$3&lt;=Inputs!$C$15*12,Z60+Z69,0)</f>
        <v>0</v>
      </c>
      <c r="AA87" s="160">
        <f>IF(AA$3&lt;=Inputs!$C$15*12,AA60+AA69,0)</f>
        <v>0</v>
      </c>
      <c r="AB87" s="160">
        <f>IF(AB$3&lt;=Inputs!$C$15*12,AB60+AB69,0)</f>
        <v>0</v>
      </c>
      <c r="AC87" s="160">
        <f>IF(AC$3&lt;=Inputs!$C$15*12,AC60+AC69,0)</f>
        <v>0</v>
      </c>
      <c r="AD87" s="160">
        <f>IF(AD$3&lt;=Inputs!$C$15*12,AD60+AD69,0)</f>
        <v>0</v>
      </c>
      <c r="AE87" s="160">
        <f>IF(AE$3&lt;=Inputs!$C$15*12,AE60+AE69,0)</f>
        <v>0</v>
      </c>
      <c r="AF87" s="160">
        <f>IF(AF$3&lt;=Inputs!$C$15*12,AF60+AF69,0)</f>
        <v>0</v>
      </c>
      <c r="AG87" s="160">
        <f>IF(AG$3&lt;=Inputs!$C$15*12,AG60+AG69,0)</f>
        <v>0</v>
      </c>
      <c r="AH87" s="160">
        <f>IF(AH$3&lt;=Inputs!$C$15*12,AH60+AH69,0)</f>
        <v>0</v>
      </c>
      <c r="AI87" s="160">
        <f>IF(AI$3&lt;=Inputs!$C$15*12,AI60+AI69,0)</f>
        <v>0</v>
      </c>
      <c r="AJ87" s="160">
        <f>IF(AJ$3&lt;=Inputs!$C$15*12,AJ60+AJ69,0)</f>
        <v>0</v>
      </c>
      <c r="AK87" s="160">
        <f>IF(AK$3&lt;=Inputs!$C$15*12,AK60+AK69,0)</f>
        <v>0</v>
      </c>
      <c r="AL87" s="160">
        <f>IF(AL$3&lt;=Inputs!$C$15*12,AL60+AL69,0)</f>
        <v>0</v>
      </c>
      <c r="AM87" s="160">
        <f>IF(AM$3&lt;=Inputs!$C$15*12,AM60+AM69,0)</f>
        <v>0</v>
      </c>
      <c r="AN87" s="160">
        <f>IF(AN$3&lt;=Inputs!$C$15*12,AN60+AN69,0)</f>
        <v>0</v>
      </c>
      <c r="AO87" s="160">
        <f>IF(AO$3&lt;=Inputs!$C$15*12,AO60+AO69,0)</f>
        <v>0</v>
      </c>
      <c r="AP87" s="160">
        <f>IF(AP$3&lt;=Inputs!$C$15*12,AP60+AP69,0)</f>
        <v>0</v>
      </c>
      <c r="AQ87" s="160">
        <f>IF(AQ$3&lt;=Inputs!$C$15*12,AQ60+AQ69,0)</f>
        <v>0</v>
      </c>
      <c r="AR87" s="160">
        <f>IF(AR$3&lt;=Inputs!$C$15*12,AR60+AR69,0)</f>
        <v>0</v>
      </c>
      <c r="AS87" s="160">
        <f>IF(AS$3&lt;=Inputs!$C$15*12,AS60+AS69,0)</f>
        <v>0</v>
      </c>
      <c r="AT87" s="160">
        <f>IF(AT$3&lt;=Inputs!$C$15*12,AT60+AT69,0)</f>
        <v>0</v>
      </c>
      <c r="AU87" s="160">
        <f>IF(AU$3&lt;=Inputs!$C$15*12,AU60+AU69,0)</f>
        <v>0</v>
      </c>
      <c r="AV87" s="160">
        <f>IF(AV$3&lt;=Inputs!$C$15*12,AV60+AV69,0)</f>
        <v>0</v>
      </c>
      <c r="AW87" s="160">
        <f>IF(AW$3&lt;=Inputs!$C$15*12,AW60+AW69,0)</f>
        <v>0</v>
      </c>
      <c r="AX87" s="160">
        <f>IF(AX$3&lt;=Inputs!$C$15*12,AX60+AX69,0)</f>
        <v>0</v>
      </c>
      <c r="AY87" s="160">
        <f>IF(AY$3&lt;=Inputs!$C$15*12,AY60+AY69,0)</f>
        <v>0</v>
      </c>
      <c r="AZ87" s="160">
        <f>IF(AZ$3&lt;=Inputs!$C$15*12,AZ60+AZ69,0)</f>
        <v>0</v>
      </c>
      <c r="BA87" s="160">
        <f>IF(BA$3&lt;=Inputs!$C$15*12,BA60+BA69,0)</f>
        <v>0</v>
      </c>
      <c r="BB87" s="160">
        <f>IF(BB$3&lt;=Inputs!$C$15*12,BB60+BB69,0)</f>
        <v>0</v>
      </c>
      <c r="BC87" s="160">
        <f>IF(BC$3&lt;=Inputs!$C$15*12,BC60+BC69,0)</f>
        <v>0</v>
      </c>
      <c r="BD87" s="160">
        <f>IF(BD$3&lt;=Inputs!$C$15*12,BD60+BD69,0)</f>
        <v>0</v>
      </c>
      <c r="BE87" s="160">
        <f>IF(BE$3&lt;=Inputs!$C$15*12,BE60+BE69,0)</f>
        <v>0</v>
      </c>
      <c r="BF87" s="160">
        <f>IF(BF$3&lt;=Inputs!$C$15*12,BF60+BF69,0)</f>
        <v>0</v>
      </c>
      <c r="BG87" s="160">
        <f>IF(BG$3&lt;=Inputs!$C$15*12,BG60+BG69,0)</f>
        <v>0</v>
      </c>
      <c r="BH87" s="160">
        <f>IF(BH$3&lt;=Inputs!$C$15*12,BH60+BH69,0)</f>
        <v>0</v>
      </c>
      <c r="BI87" s="160">
        <f>IF(BI$3&lt;=Inputs!$C$15*12,BI60+BI69,0)</f>
        <v>0</v>
      </c>
      <c r="BJ87" s="160">
        <f>IF(BJ$3&lt;=Inputs!$C$15*12,BJ60+BJ69,0)</f>
        <v>0</v>
      </c>
      <c r="BK87" s="160">
        <f>IF(BK$3&lt;=Inputs!$C$15*12,BK60+BK69,0)</f>
        <v>0</v>
      </c>
      <c r="BL87" s="160">
        <f>IF(BL$3&lt;=Inputs!$C$15*12,BL60+BL69,0)</f>
        <v>0</v>
      </c>
      <c r="BM87" s="160">
        <f>IF(BM$3&lt;=Inputs!$C$15*12,BM60+BM69,0)</f>
        <v>0</v>
      </c>
      <c r="BN87" s="160">
        <f>IF(BN$3&lt;=Inputs!$C$15*12,BN60+BN69,0)</f>
        <v>0</v>
      </c>
      <c r="BO87" s="160">
        <f>IF(BO$3&lt;=Inputs!$C$15*12,BO60+BO69,0)</f>
        <v>0</v>
      </c>
      <c r="BP87" s="160">
        <f>IF(BP$3&lt;=Inputs!$C$15*12,BP60+BP69,0)</f>
        <v>0</v>
      </c>
      <c r="BQ87" s="160">
        <f>IF(BQ$3&lt;=Inputs!$C$15*12,BQ60+BQ69,0)</f>
        <v>0</v>
      </c>
      <c r="BR87" s="160">
        <f>IF(BR$3&lt;=Inputs!$C$15*12,BR60+BR69,0)</f>
        <v>0</v>
      </c>
      <c r="BS87" s="160">
        <f>IF(BS$3&lt;=Inputs!$C$15*12,BS60+BS69,0)</f>
        <v>0</v>
      </c>
      <c r="BT87" s="160">
        <f>IF(BT$3&lt;=Inputs!$C$15*12,BT60+BT69,0)</f>
        <v>0</v>
      </c>
      <c r="BU87" s="160">
        <f>IF(BU$3&lt;=Inputs!$C$15*12,BU60+BU69,0)</f>
        <v>0</v>
      </c>
      <c r="BV87" s="160">
        <f>IF(BV$3&lt;=Inputs!$C$15*12,BV60+BV69,0)</f>
        <v>0</v>
      </c>
      <c r="BW87" s="160">
        <f>IF(BW$3&lt;=Inputs!$C$15*12,BW60+BW69,0)</f>
        <v>0</v>
      </c>
      <c r="BX87" s="160">
        <f>IF(BX$3&lt;=Inputs!$C$15*12,BX60+BX69,0)</f>
        <v>0</v>
      </c>
      <c r="BY87" s="160">
        <f>IF(BY$3&lt;=Inputs!$C$15*12,BY60+BY69,0)</f>
        <v>0</v>
      </c>
      <c r="BZ87" s="160">
        <f>IF(BZ$3&lt;=Inputs!$C$15*12,BZ60+BZ69,0)</f>
        <v>0</v>
      </c>
      <c r="CA87" s="160">
        <f>IF(CA$3&lt;=Inputs!$C$15*12,CA60+CA69,0)</f>
        <v>0</v>
      </c>
      <c r="CB87" s="160">
        <f>IF(CB$3&lt;=Inputs!$C$15*12,CB60+CB69,0)</f>
        <v>0</v>
      </c>
      <c r="CC87" s="160">
        <f>IF(CC$3&lt;=Inputs!$C$15*12,CC60+CC69,0)</f>
        <v>0</v>
      </c>
      <c r="CD87" s="160">
        <f>IF(CD$3&lt;=Inputs!$C$15*12,CD60+CD69,0)</f>
        <v>0</v>
      </c>
      <c r="CE87" s="160">
        <f>IF(CE$3&lt;=Inputs!$C$15*12,CE60+CE69,0)</f>
        <v>0</v>
      </c>
      <c r="CF87" s="160">
        <f>IF(CF$3&lt;=Inputs!$C$15*12,CF60+CF69,0)</f>
        <v>0</v>
      </c>
      <c r="CG87" s="160">
        <f>IF(CG$3&lt;=Inputs!$C$15*12,CG60+CG69,0)</f>
        <v>0</v>
      </c>
      <c r="CH87" s="160">
        <f>IF(CH$3&lt;=Inputs!$C$15*12,CH60+CH69,0)</f>
        <v>0</v>
      </c>
      <c r="CI87" s="160">
        <f>IF(CI$3&lt;=Inputs!$C$15*12,CI60+CI69,0)</f>
        <v>0</v>
      </c>
      <c r="CJ87" s="160">
        <f>IF(CJ$3&lt;=Inputs!$C$15*12,CJ60+CJ69,0)</f>
        <v>0</v>
      </c>
      <c r="CK87" s="160">
        <f>IF(CK$3&lt;=Inputs!$C$15*12,CK60+CK69,0)</f>
        <v>0</v>
      </c>
      <c r="CL87" s="160">
        <f>IF(CL$3&lt;=Inputs!$C$15*12,CL60+CL69,0)</f>
        <v>0</v>
      </c>
      <c r="CM87" s="160">
        <f>IF(CM$3&lt;=Inputs!$C$15*12,CM60+CM69,0)</f>
        <v>0</v>
      </c>
      <c r="CN87" s="160">
        <f>IF(CN$3&lt;=Inputs!$C$15*12,CN60+CN69,0)</f>
        <v>0</v>
      </c>
      <c r="CO87" s="160">
        <f>IF(CO$3&lt;=Inputs!$C$15*12,CO60+CO69,0)</f>
        <v>0</v>
      </c>
      <c r="CP87" s="160">
        <f>IF(CP$3&lt;=Inputs!$C$15*12,CP60+CP69,0)</f>
        <v>0</v>
      </c>
      <c r="CQ87" s="160">
        <f>IF(CQ$3&lt;=Inputs!$C$15*12,CQ60+CQ69,0)</f>
        <v>0</v>
      </c>
      <c r="CR87" s="160">
        <f>IF(CR$3&lt;=Inputs!$C$15*12,CR60+CR69,0)</f>
        <v>0</v>
      </c>
      <c r="CS87" s="160">
        <f>IF(CS$3&lt;=Inputs!$C$15*12,CS60+CS69,0)</f>
        <v>0</v>
      </c>
      <c r="CT87" s="160">
        <f>IF(CT$3&lt;=Inputs!$C$15*12,CT60+CT69,0)</f>
        <v>0</v>
      </c>
      <c r="CU87" s="160">
        <f>IF(CU$3&lt;=Inputs!$C$15*12,CU60+CU69,0)</f>
        <v>0</v>
      </c>
      <c r="CV87" s="160">
        <f>IF(CV$3&lt;=Inputs!$C$15*12,CV60+CV69,0)</f>
        <v>0</v>
      </c>
      <c r="CW87" s="160">
        <f>IF(CW$3&lt;=Inputs!$C$15*12,CW60+CW69,0)</f>
        <v>0</v>
      </c>
      <c r="CX87" s="160">
        <f>IF(CX$3&lt;=Inputs!$C$15*12,CX60+CX69,0)</f>
        <v>0</v>
      </c>
      <c r="CY87" s="160">
        <f>IF(CY$3&lt;=Inputs!$C$15*12,CY60+CY69,0)</f>
        <v>0</v>
      </c>
      <c r="CZ87" s="160">
        <f>IF(CZ$3&lt;=Inputs!$C$15*12,CZ60+CZ69,0)</f>
        <v>0</v>
      </c>
      <c r="DA87" s="160">
        <f>IF(DA$3&lt;=Inputs!$C$15*12,DA60+DA69,0)</f>
        <v>0</v>
      </c>
      <c r="DB87" s="160">
        <f>IF(DB$3&lt;=Inputs!$C$15*12,DB60+DB69,0)</f>
        <v>0</v>
      </c>
      <c r="DC87" s="160">
        <f>IF(DC$3&lt;=Inputs!$C$15*12,DC60+DC69,0)</f>
        <v>0</v>
      </c>
      <c r="DD87" s="160">
        <f>IF(DD$3&lt;=Inputs!$C$15*12,DD60+DD69,0)</f>
        <v>0</v>
      </c>
      <c r="DE87" s="160">
        <f>IF(DE$3&lt;=Inputs!$C$15*12,DE60+DE69,0)</f>
        <v>0</v>
      </c>
      <c r="DF87" s="160">
        <f>IF(DF$3&lt;=Inputs!$C$15*12,DF60+DF69,0)</f>
        <v>0</v>
      </c>
      <c r="DG87" s="160">
        <f>IF(DG$3&lt;=Inputs!$C$15*12,DG60+DG69,0)</f>
        <v>0</v>
      </c>
      <c r="DH87" s="160">
        <f>IF(DH$3&lt;=Inputs!$C$15*12,DH60+DH69,0)</f>
        <v>0</v>
      </c>
      <c r="DI87" s="160">
        <f>IF(DI$3&lt;=Inputs!$C$15*12,DI60+DI69,0)</f>
        <v>0</v>
      </c>
      <c r="DJ87" s="160">
        <f>IF(DJ$3&lt;=Inputs!$C$15*12,DJ60+DJ69,0)</f>
        <v>0</v>
      </c>
      <c r="DK87" s="160">
        <f>IF(DK$3&lt;=Inputs!$C$15*12,DK60+DK69,0)</f>
        <v>0</v>
      </c>
      <c r="DL87" s="160">
        <f>IF(DL$3&lt;=Inputs!$C$15*12,DL60+DL69,0)</f>
        <v>0</v>
      </c>
      <c r="DM87" s="160">
        <f>IF(DM$3&lt;=Inputs!$C$15*12,DM60+DM69,0)</f>
        <v>0</v>
      </c>
      <c r="DN87" s="160">
        <f>IF(DN$3&lt;=Inputs!$C$15*12,DN60+DN69,0)</f>
        <v>0</v>
      </c>
      <c r="DO87" s="160">
        <f>IF(DO$3&lt;=Inputs!$C$15*12,DO60+DO69,0)</f>
        <v>0</v>
      </c>
      <c r="DP87" s="160">
        <f>IF(DP$3&lt;=Inputs!$C$15*12,DP60+DP69,0)</f>
        <v>0</v>
      </c>
      <c r="DQ87" s="160">
        <f>IF(DQ$3&lt;=Inputs!$C$15*12,DQ60+DQ69,0)</f>
        <v>0</v>
      </c>
      <c r="DR87" s="160">
        <f>IF(DR$3&lt;=Inputs!$C$15*12,DR60+DR69,0)</f>
        <v>0</v>
      </c>
      <c r="DS87" s="54"/>
    </row>
    <row r="88" ht="15.75" customHeight="1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  <c r="DO88" s="54"/>
      <c r="DP88" s="54"/>
      <c r="DQ88" s="54"/>
      <c r="DR88" s="54"/>
      <c r="DS88" s="54"/>
    </row>
    <row r="89" ht="18.0" customHeight="1">
      <c r="A89" s="54"/>
      <c r="B89" s="161" t="s">
        <v>338</v>
      </c>
      <c r="C89" s="163">
        <f t="shared" ref="C89:DR89" si="11">C65+C74+C83</f>
        <v>0</v>
      </c>
      <c r="D89" s="163">
        <f t="shared" si="11"/>
        <v>-4384.425311</v>
      </c>
      <c r="E89" s="163">
        <f t="shared" si="11"/>
        <v>-4384.425311</v>
      </c>
      <c r="F89" s="163">
        <f t="shared" si="11"/>
        <v>-4384.425311</v>
      </c>
      <c r="G89" s="163">
        <f t="shared" si="11"/>
        <v>-4384.425311</v>
      </c>
      <c r="H89" s="163">
        <f t="shared" si="11"/>
        <v>-4384.425311</v>
      </c>
      <c r="I89" s="163">
        <f t="shared" si="11"/>
        <v>-4384.425311</v>
      </c>
      <c r="J89" s="163">
        <f t="shared" si="11"/>
        <v>-4384.425311</v>
      </c>
      <c r="K89" s="163">
        <f t="shared" si="11"/>
        <v>-4384.425311</v>
      </c>
      <c r="L89" s="163">
        <f t="shared" si="11"/>
        <v>-4384.425311</v>
      </c>
      <c r="M89" s="163">
        <f t="shared" si="11"/>
        <v>-4384.425311</v>
      </c>
      <c r="N89" s="163">
        <f t="shared" si="11"/>
        <v>-4384.425311</v>
      </c>
      <c r="O89" s="163">
        <f t="shared" si="11"/>
        <v>-4384.425311</v>
      </c>
      <c r="P89" s="163">
        <f t="shared" si="11"/>
        <v>-4384.425311</v>
      </c>
      <c r="Q89" s="163">
        <f t="shared" si="11"/>
        <v>-4384.425311</v>
      </c>
      <c r="R89" s="163">
        <f t="shared" si="11"/>
        <v>-4384.425311</v>
      </c>
      <c r="S89" s="163">
        <f t="shared" si="11"/>
        <v>-4384.425311</v>
      </c>
      <c r="T89" s="163">
        <f t="shared" si="11"/>
        <v>-4384.425311</v>
      </c>
      <c r="U89" s="163">
        <f t="shared" si="11"/>
        <v>-4384.425311</v>
      </c>
      <c r="V89" s="163">
        <f t="shared" si="11"/>
        <v>-4384.425311</v>
      </c>
      <c r="W89" s="163">
        <f t="shared" si="11"/>
        <v>-4384.425311</v>
      </c>
      <c r="X89" s="163">
        <f t="shared" si="11"/>
        <v>-4384.425311</v>
      </c>
      <c r="Y89" s="163">
        <f t="shared" si="11"/>
        <v>-4384.425311</v>
      </c>
      <c r="Z89" s="163">
        <f t="shared" si="11"/>
        <v>-4384.425311</v>
      </c>
      <c r="AA89" s="163">
        <f t="shared" si="11"/>
        <v>-4384.425311</v>
      </c>
      <c r="AB89" s="163">
        <f t="shared" si="11"/>
        <v>-4384.425311</v>
      </c>
      <c r="AC89" s="163">
        <f t="shared" si="11"/>
        <v>-4384.425311</v>
      </c>
      <c r="AD89" s="163">
        <f t="shared" si="11"/>
        <v>-4384.425311</v>
      </c>
      <c r="AE89" s="163">
        <f t="shared" si="11"/>
        <v>-4384.425311</v>
      </c>
      <c r="AF89" s="163">
        <f t="shared" si="11"/>
        <v>-4384.425311</v>
      </c>
      <c r="AG89" s="163">
        <f t="shared" si="11"/>
        <v>-4384.425311</v>
      </c>
      <c r="AH89" s="163">
        <f t="shared" si="11"/>
        <v>-4384.425311</v>
      </c>
      <c r="AI89" s="163">
        <f t="shared" si="11"/>
        <v>-4384.425311</v>
      </c>
      <c r="AJ89" s="163">
        <f t="shared" si="11"/>
        <v>-4384.425311</v>
      </c>
      <c r="AK89" s="163">
        <f t="shared" si="11"/>
        <v>-4384.425311</v>
      </c>
      <c r="AL89" s="163">
        <f t="shared" si="11"/>
        <v>-4384.425311</v>
      </c>
      <c r="AM89" s="163">
        <f t="shared" si="11"/>
        <v>-4384.425311</v>
      </c>
      <c r="AN89" s="163">
        <f t="shared" si="11"/>
        <v>-4384.425311</v>
      </c>
      <c r="AO89" s="163">
        <f t="shared" si="11"/>
        <v>-4384.425311</v>
      </c>
      <c r="AP89" s="163">
        <f t="shared" si="11"/>
        <v>-4384.425311</v>
      </c>
      <c r="AQ89" s="163">
        <f t="shared" si="11"/>
        <v>-4384.425311</v>
      </c>
      <c r="AR89" s="163">
        <f t="shared" si="11"/>
        <v>-4384.425311</v>
      </c>
      <c r="AS89" s="163">
        <f t="shared" si="11"/>
        <v>-4384.425311</v>
      </c>
      <c r="AT89" s="163">
        <f t="shared" si="11"/>
        <v>-4384.425311</v>
      </c>
      <c r="AU89" s="163">
        <f t="shared" si="11"/>
        <v>-4384.425311</v>
      </c>
      <c r="AV89" s="163">
        <f t="shared" si="11"/>
        <v>-4384.425311</v>
      </c>
      <c r="AW89" s="163">
        <f t="shared" si="11"/>
        <v>-4384.425311</v>
      </c>
      <c r="AX89" s="163">
        <f t="shared" si="11"/>
        <v>-4384.425311</v>
      </c>
      <c r="AY89" s="163">
        <f t="shared" si="11"/>
        <v>-4384.425311</v>
      </c>
      <c r="AZ89" s="163">
        <f t="shared" si="11"/>
        <v>-4384.425311</v>
      </c>
      <c r="BA89" s="163">
        <f t="shared" si="11"/>
        <v>-4384.425311</v>
      </c>
      <c r="BB89" s="163">
        <f t="shared" si="11"/>
        <v>-4384.425311</v>
      </c>
      <c r="BC89" s="163">
        <f t="shared" si="11"/>
        <v>-4384.425311</v>
      </c>
      <c r="BD89" s="163">
        <f t="shared" si="11"/>
        <v>-4384.425311</v>
      </c>
      <c r="BE89" s="163">
        <f t="shared" si="11"/>
        <v>-4384.425311</v>
      </c>
      <c r="BF89" s="163">
        <f t="shared" si="11"/>
        <v>-4384.425311</v>
      </c>
      <c r="BG89" s="163">
        <f t="shared" si="11"/>
        <v>-4384.425311</v>
      </c>
      <c r="BH89" s="163">
        <f t="shared" si="11"/>
        <v>-4384.425311</v>
      </c>
      <c r="BI89" s="163">
        <f t="shared" si="11"/>
        <v>-4384.425311</v>
      </c>
      <c r="BJ89" s="163">
        <f t="shared" si="11"/>
        <v>-670345.431</v>
      </c>
      <c r="BK89" s="163">
        <f t="shared" si="11"/>
        <v>0</v>
      </c>
      <c r="BL89" s="163">
        <f t="shared" si="11"/>
        <v>0</v>
      </c>
      <c r="BM89" s="163">
        <f t="shared" si="11"/>
        <v>0</v>
      </c>
      <c r="BN89" s="163">
        <f t="shared" si="11"/>
        <v>0</v>
      </c>
      <c r="BO89" s="163">
        <f t="shared" si="11"/>
        <v>0</v>
      </c>
      <c r="BP89" s="163">
        <f t="shared" si="11"/>
        <v>0</v>
      </c>
      <c r="BQ89" s="163">
        <f t="shared" si="11"/>
        <v>0</v>
      </c>
      <c r="BR89" s="163">
        <f t="shared" si="11"/>
        <v>0</v>
      </c>
      <c r="BS89" s="163">
        <f t="shared" si="11"/>
        <v>0</v>
      </c>
      <c r="BT89" s="163">
        <f t="shared" si="11"/>
        <v>0</v>
      </c>
      <c r="BU89" s="163">
        <f t="shared" si="11"/>
        <v>0</v>
      </c>
      <c r="BV89" s="163">
        <f t="shared" si="11"/>
        <v>0</v>
      </c>
      <c r="BW89" s="163">
        <f t="shared" si="11"/>
        <v>0</v>
      </c>
      <c r="BX89" s="163">
        <f t="shared" si="11"/>
        <v>0</v>
      </c>
      <c r="BY89" s="163">
        <f t="shared" si="11"/>
        <v>0</v>
      </c>
      <c r="BZ89" s="163">
        <f t="shared" si="11"/>
        <v>0</v>
      </c>
      <c r="CA89" s="163">
        <f t="shared" si="11"/>
        <v>0</v>
      </c>
      <c r="CB89" s="163">
        <f t="shared" si="11"/>
        <v>0</v>
      </c>
      <c r="CC89" s="163">
        <f t="shared" si="11"/>
        <v>0</v>
      </c>
      <c r="CD89" s="163">
        <f t="shared" si="11"/>
        <v>0</v>
      </c>
      <c r="CE89" s="163">
        <f t="shared" si="11"/>
        <v>0</v>
      </c>
      <c r="CF89" s="163">
        <f t="shared" si="11"/>
        <v>0</v>
      </c>
      <c r="CG89" s="163">
        <f t="shared" si="11"/>
        <v>0</v>
      </c>
      <c r="CH89" s="163">
        <f t="shared" si="11"/>
        <v>0</v>
      </c>
      <c r="CI89" s="163">
        <f t="shared" si="11"/>
        <v>0</v>
      </c>
      <c r="CJ89" s="163">
        <f t="shared" si="11"/>
        <v>0</v>
      </c>
      <c r="CK89" s="163">
        <f t="shared" si="11"/>
        <v>0</v>
      </c>
      <c r="CL89" s="163">
        <f t="shared" si="11"/>
        <v>0</v>
      </c>
      <c r="CM89" s="163">
        <f t="shared" si="11"/>
        <v>0</v>
      </c>
      <c r="CN89" s="163">
        <f t="shared" si="11"/>
        <v>0</v>
      </c>
      <c r="CO89" s="163">
        <f t="shared" si="11"/>
        <v>0</v>
      </c>
      <c r="CP89" s="163">
        <f t="shared" si="11"/>
        <v>0</v>
      </c>
      <c r="CQ89" s="163">
        <f t="shared" si="11"/>
        <v>0</v>
      </c>
      <c r="CR89" s="163">
        <f t="shared" si="11"/>
        <v>0</v>
      </c>
      <c r="CS89" s="163">
        <f t="shared" si="11"/>
        <v>0</v>
      </c>
      <c r="CT89" s="163">
        <f t="shared" si="11"/>
        <v>0</v>
      </c>
      <c r="CU89" s="163">
        <f t="shared" si="11"/>
        <v>0</v>
      </c>
      <c r="CV89" s="163">
        <f t="shared" si="11"/>
        <v>0</v>
      </c>
      <c r="CW89" s="163">
        <f t="shared" si="11"/>
        <v>0</v>
      </c>
      <c r="CX89" s="163">
        <f t="shared" si="11"/>
        <v>0</v>
      </c>
      <c r="CY89" s="163">
        <f t="shared" si="11"/>
        <v>0</v>
      </c>
      <c r="CZ89" s="163">
        <f t="shared" si="11"/>
        <v>0</v>
      </c>
      <c r="DA89" s="163">
        <f t="shared" si="11"/>
        <v>0</v>
      </c>
      <c r="DB89" s="163">
        <f t="shared" si="11"/>
        <v>0</v>
      </c>
      <c r="DC89" s="163">
        <f t="shared" si="11"/>
        <v>0</v>
      </c>
      <c r="DD89" s="163">
        <f t="shared" si="11"/>
        <v>0</v>
      </c>
      <c r="DE89" s="163">
        <f t="shared" si="11"/>
        <v>0</v>
      </c>
      <c r="DF89" s="163">
        <f t="shared" si="11"/>
        <v>0</v>
      </c>
      <c r="DG89" s="163">
        <f t="shared" si="11"/>
        <v>0</v>
      </c>
      <c r="DH89" s="163">
        <f t="shared" si="11"/>
        <v>0</v>
      </c>
      <c r="DI89" s="163">
        <f t="shared" si="11"/>
        <v>0</v>
      </c>
      <c r="DJ89" s="163">
        <f t="shared" si="11"/>
        <v>0</v>
      </c>
      <c r="DK89" s="163">
        <f t="shared" si="11"/>
        <v>0</v>
      </c>
      <c r="DL89" s="163">
        <f t="shared" si="11"/>
        <v>0</v>
      </c>
      <c r="DM89" s="163">
        <f t="shared" si="11"/>
        <v>0</v>
      </c>
      <c r="DN89" s="163">
        <f t="shared" si="11"/>
        <v>0</v>
      </c>
      <c r="DO89" s="163">
        <f t="shared" si="11"/>
        <v>0</v>
      </c>
      <c r="DP89" s="163">
        <f t="shared" si="11"/>
        <v>0</v>
      </c>
      <c r="DQ89" s="163">
        <f t="shared" si="11"/>
        <v>0</v>
      </c>
      <c r="DR89" s="163">
        <f t="shared" si="11"/>
        <v>0</v>
      </c>
      <c r="DS89" s="54"/>
    </row>
    <row r="90" ht="15.75" customHeight="1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  <c r="DO90" s="54"/>
      <c r="DP90" s="54"/>
      <c r="DQ90" s="54"/>
      <c r="DR90" s="54"/>
      <c r="DS90" s="54"/>
    </row>
    <row r="91" ht="21.0" customHeight="1">
      <c r="A91" s="54"/>
      <c r="B91" s="164" t="s">
        <v>339</v>
      </c>
      <c r="C91" s="176">
        <f t="shared" ref="C91:DR91" si="12">C56+C89+C85+C86+C87</f>
        <v>0</v>
      </c>
      <c r="D91" s="176">
        <f t="shared" si="12"/>
        <v>-4384.425311</v>
      </c>
      <c r="E91" s="165">
        <f t="shared" si="12"/>
        <v>-4384.425311</v>
      </c>
      <c r="F91" s="165">
        <f t="shared" si="12"/>
        <v>-4384.425311</v>
      </c>
      <c r="G91" s="165">
        <f t="shared" si="12"/>
        <v>-4384.425311</v>
      </c>
      <c r="H91" s="165">
        <f t="shared" si="12"/>
        <v>-4384.425311</v>
      </c>
      <c r="I91" s="165">
        <f t="shared" si="12"/>
        <v>-4384.425311</v>
      </c>
      <c r="J91" s="165">
        <f t="shared" si="12"/>
        <v>-4384.425311</v>
      </c>
      <c r="K91" s="165">
        <f t="shared" si="12"/>
        <v>-4384.425311</v>
      </c>
      <c r="L91" s="165">
        <f t="shared" si="12"/>
        <v>-4384.425311</v>
      </c>
      <c r="M91" s="165">
        <f t="shared" si="12"/>
        <v>-4384.425311</v>
      </c>
      <c r="N91" s="165">
        <f t="shared" si="12"/>
        <v>-4384.425311</v>
      </c>
      <c r="O91" s="165">
        <f t="shared" si="12"/>
        <v>-4384.425311</v>
      </c>
      <c r="P91" s="165">
        <f t="shared" si="12"/>
        <v>-4384.425311</v>
      </c>
      <c r="Q91" s="165">
        <f t="shared" si="12"/>
        <v>-4384.425311</v>
      </c>
      <c r="R91" s="165">
        <f t="shared" si="12"/>
        <v>-4384.425311</v>
      </c>
      <c r="S91" s="165">
        <f t="shared" si="12"/>
        <v>-4384.425311</v>
      </c>
      <c r="T91" s="165">
        <f t="shared" si="12"/>
        <v>-4384.425311</v>
      </c>
      <c r="U91" s="165">
        <f t="shared" si="12"/>
        <v>-4384.425311</v>
      </c>
      <c r="V91" s="165">
        <f t="shared" si="12"/>
        <v>-4384.425311</v>
      </c>
      <c r="W91" s="165">
        <f t="shared" si="12"/>
        <v>-4384.425311</v>
      </c>
      <c r="X91" s="165">
        <f t="shared" si="12"/>
        <v>-4384.425311</v>
      </c>
      <c r="Y91" s="165">
        <f t="shared" si="12"/>
        <v>-4384.425311</v>
      </c>
      <c r="Z91" s="165">
        <f t="shared" si="12"/>
        <v>-4384.425311</v>
      </c>
      <c r="AA91" s="165">
        <f t="shared" si="12"/>
        <v>-4384.425311</v>
      </c>
      <c r="AB91" s="165">
        <f t="shared" si="12"/>
        <v>-4384.425311</v>
      </c>
      <c r="AC91" s="165">
        <f t="shared" si="12"/>
        <v>-4384.425311</v>
      </c>
      <c r="AD91" s="165">
        <f t="shared" si="12"/>
        <v>-4384.425311</v>
      </c>
      <c r="AE91" s="165">
        <f t="shared" si="12"/>
        <v>-4384.425311</v>
      </c>
      <c r="AF91" s="165">
        <f t="shared" si="12"/>
        <v>-4384.425311</v>
      </c>
      <c r="AG91" s="165">
        <f t="shared" si="12"/>
        <v>-4384.425311</v>
      </c>
      <c r="AH91" s="165">
        <f t="shared" si="12"/>
        <v>-4384.425311</v>
      </c>
      <c r="AI91" s="165">
        <f t="shared" si="12"/>
        <v>-4384.425311</v>
      </c>
      <c r="AJ91" s="165">
        <f t="shared" si="12"/>
        <v>-4384.425311</v>
      </c>
      <c r="AK91" s="165">
        <f t="shared" si="12"/>
        <v>-4384.425311</v>
      </c>
      <c r="AL91" s="165">
        <f t="shared" si="12"/>
        <v>-4384.425311</v>
      </c>
      <c r="AM91" s="165">
        <f t="shared" si="12"/>
        <v>-4384.425311</v>
      </c>
      <c r="AN91" s="165">
        <f t="shared" si="12"/>
        <v>-4384.425311</v>
      </c>
      <c r="AO91" s="165">
        <f t="shared" si="12"/>
        <v>-4384.425311</v>
      </c>
      <c r="AP91" s="165">
        <f t="shared" si="12"/>
        <v>-4384.425311</v>
      </c>
      <c r="AQ91" s="165">
        <f t="shared" si="12"/>
        <v>-4384.425311</v>
      </c>
      <c r="AR91" s="165">
        <f t="shared" si="12"/>
        <v>-4384.425311</v>
      </c>
      <c r="AS91" s="165">
        <f t="shared" si="12"/>
        <v>-4384.425311</v>
      </c>
      <c r="AT91" s="165">
        <f t="shared" si="12"/>
        <v>-4384.425311</v>
      </c>
      <c r="AU91" s="165">
        <f t="shared" si="12"/>
        <v>-4384.425311</v>
      </c>
      <c r="AV91" s="165">
        <f t="shared" si="12"/>
        <v>-4384.425311</v>
      </c>
      <c r="AW91" s="165">
        <f t="shared" si="12"/>
        <v>-4384.425311</v>
      </c>
      <c r="AX91" s="165">
        <f t="shared" si="12"/>
        <v>-4384.425311</v>
      </c>
      <c r="AY91" s="165">
        <f t="shared" si="12"/>
        <v>-4384.425311</v>
      </c>
      <c r="AZ91" s="165">
        <f t="shared" si="12"/>
        <v>-4384.425311</v>
      </c>
      <c r="BA91" s="165">
        <f t="shared" si="12"/>
        <v>-4384.425311</v>
      </c>
      <c r="BB91" s="165">
        <f t="shared" si="12"/>
        <v>-4384.425311</v>
      </c>
      <c r="BC91" s="165">
        <f t="shared" si="12"/>
        <v>-4384.425311</v>
      </c>
      <c r="BD91" s="165">
        <f t="shared" si="12"/>
        <v>-4384.425311</v>
      </c>
      <c r="BE91" s="165">
        <f t="shared" si="12"/>
        <v>-4384.425311</v>
      </c>
      <c r="BF91" s="165">
        <f t="shared" si="12"/>
        <v>-4384.425311</v>
      </c>
      <c r="BG91" s="165">
        <f t="shared" si="12"/>
        <v>-4384.425311</v>
      </c>
      <c r="BH91" s="165">
        <f t="shared" si="12"/>
        <v>-4384.425311</v>
      </c>
      <c r="BI91" s="165">
        <f t="shared" si="12"/>
        <v>-4384.425311</v>
      </c>
      <c r="BJ91" s="165">
        <f t="shared" si="12"/>
        <v>-670345.431</v>
      </c>
      <c r="BK91" s="165">
        <f t="shared" si="12"/>
        <v>0</v>
      </c>
      <c r="BL91" s="165">
        <f t="shared" si="12"/>
        <v>0</v>
      </c>
      <c r="BM91" s="165">
        <f t="shared" si="12"/>
        <v>0</v>
      </c>
      <c r="BN91" s="165">
        <f t="shared" si="12"/>
        <v>0</v>
      </c>
      <c r="BO91" s="165">
        <f t="shared" si="12"/>
        <v>0</v>
      </c>
      <c r="BP91" s="165">
        <f t="shared" si="12"/>
        <v>0</v>
      </c>
      <c r="BQ91" s="165">
        <f t="shared" si="12"/>
        <v>0</v>
      </c>
      <c r="BR91" s="165">
        <f t="shared" si="12"/>
        <v>0</v>
      </c>
      <c r="BS91" s="165">
        <f t="shared" si="12"/>
        <v>0</v>
      </c>
      <c r="BT91" s="165">
        <f t="shared" si="12"/>
        <v>0</v>
      </c>
      <c r="BU91" s="165">
        <f t="shared" si="12"/>
        <v>0</v>
      </c>
      <c r="BV91" s="165">
        <f t="shared" si="12"/>
        <v>0</v>
      </c>
      <c r="BW91" s="165">
        <f t="shared" si="12"/>
        <v>0</v>
      </c>
      <c r="BX91" s="165">
        <f t="shared" si="12"/>
        <v>0</v>
      </c>
      <c r="BY91" s="165">
        <f t="shared" si="12"/>
        <v>0</v>
      </c>
      <c r="BZ91" s="165">
        <f t="shared" si="12"/>
        <v>0</v>
      </c>
      <c r="CA91" s="165">
        <f t="shared" si="12"/>
        <v>0</v>
      </c>
      <c r="CB91" s="165">
        <f t="shared" si="12"/>
        <v>0</v>
      </c>
      <c r="CC91" s="165">
        <f t="shared" si="12"/>
        <v>0</v>
      </c>
      <c r="CD91" s="165">
        <f t="shared" si="12"/>
        <v>0</v>
      </c>
      <c r="CE91" s="165">
        <f t="shared" si="12"/>
        <v>0</v>
      </c>
      <c r="CF91" s="165">
        <f t="shared" si="12"/>
        <v>0</v>
      </c>
      <c r="CG91" s="165">
        <f t="shared" si="12"/>
        <v>0</v>
      </c>
      <c r="CH91" s="165">
        <f t="shared" si="12"/>
        <v>0</v>
      </c>
      <c r="CI91" s="165">
        <f t="shared" si="12"/>
        <v>0</v>
      </c>
      <c r="CJ91" s="165">
        <f t="shared" si="12"/>
        <v>0</v>
      </c>
      <c r="CK91" s="165">
        <f t="shared" si="12"/>
        <v>0</v>
      </c>
      <c r="CL91" s="165">
        <f t="shared" si="12"/>
        <v>0</v>
      </c>
      <c r="CM91" s="165">
        <f t="shared" si="12"/>
        <v>0</v>
      </c>
      <c r="CN91" s="165">
        <f t="shared" si="12"/>
        <v>0</v>
      </c>
      <c r="CO91" s="165">
        <f t="shared" si="12"/>
        <v>0</v>
      </c>
      <c r="CP91" s="165">
        <f t="shared" si="12"/>
        <v>0</v>
      </c>
      <c r="CQ91" s="165">
        <f t="shared" si="12"/>
        <v>0</v>
      </c>
      <c r="CR91" s="165">
        <f t="shared" si="12"/>
        <v>0</v>
      </c>
      <c r="CS91" s="165">
        <f t="shared" si="12"/>
        <v>0</v>
      </c>
      <c r="CT91" s="165">
        <f t="shared" si="12"/>
        <v>0</v>
      </c>
      <c r="CU91" s="165">
        <f t="shared" si="12"/>
        <v>0</v>
      </c>
      <c r="CV91" s="165">
        <f t="shared" si="12"/>
        <v>0</v>
      </c>
      <c r="CW91" s="165">
        <f t="shared" si="12"/>
        <v>0</v>
      </c>
      <c r="CX91" s="165">
        <f t="shared" si="12"/>
        <v>0</v>
      </c>
      <c r="CY91" s="165">
        <f t="shared" si="12"/>
        <v>0</v>
      </c>
      <c r="CZ91" s="165">
        <f t="shared" si="12"/>
        <v>0</v>
      </c>
      <c r="DA91" s="165">
        <f t="shared" si="12"/>
        <v>0</v>
      </c>
      <c r="DB91" s="165">
        <f t="shared" si="12"/>
        <v>0</v>
      </c>
      <c r="DC91" s="165">
        <f t="shared" si="12"/>
        <v>0</v>
      </c>
      <c r="DD91" s="165">
        <f t="shared" si="12"/>
        <v>0</v>
      </c>
      <c r="DE91" s="165">
        <f t="shared" si="12"/>
        <v>0</v>
      </c>
      <c r="DF91" s="165">
        <f t="shared" si="12"/>
        <v>0</v>
      </c>
      <c r="DG91" s="165">
        <f t="shared" si="12"/>
        <v>0</v>
      </c>
      <c r="DH91" s="165">
        <f t="shared" si="12"/>
        <v>0</v>
      </c>
      <c r="DI91" s="165">
        <f t="shared" si="12"/>
        <v>0</v>
      </c>
      <c r="DJ91" s="165">
        <f t="shared" si="12"/>
        <v>0</v>
      </c>
      <c r="DK91" s="165">
        <f t="shared" si="12"/>
        <v>0</v>
      </c>
      <c r="DL91" s="165">
        <f t="shared" si="12"/>
        <v>0</v>
      </c>
      <c r="DM91" s="165">
        <f t="shared" si="12"/>
        <v>0</v>
      </c>
      <c r="DN91" s="165">
        <f t="shared" si="12"/>
        <v>0</v>
      </c>
      <c r="DO91" s="165">
        <f t="shared" si="12"/>
        <v>0</v>
      </c>
      <c r="DP91" s="165">
        <f t="shared" si="12"/>
        <v>0</v>
      </c>
      <c r="DQ91" s="165">
        <f t="shared" si="12"/>
        <v>0</v>
      </c>
      <c r="DR91" s="165">
        <f t="shared" si="12"/>
        <v>0</v>
      </c>
      <c r="DS91" s="54"/>
    </row>
    <row r="92" ht="21.0" customHeight="1">
      <c r="A92" s="54"/>
      <c r="B92" s="108" t="s">
        <v>340</v>
      </c>
      <c r="C92" s="177">
        <f>C91</f>
        <v>0</v>
      </c>
      <c r="D92" s="178">
        <f t="shared" ref="D92:DR92" si="13">C92+D91</f>
        <v>-4384.425311</v>
      </c>
      <c r="E92" s="178">
        <f t="shared" si="13"/>
        <v>-8768.850623</v>
      </c>
      <c r="F92" s="178">
        <f t="shared" si="13"/>
        <v>-13153.27593</v>
      </c>
      <c r="G92" s="178">
        <f t="shared" si="13"/>
        <v>-17537.70125</v>
      </c>
      <c r="H92" s="178">
        <f t="shared" si="13"/>
        <v>-21922.12656</v>
      </c>
      <c r="I92" s="178">
        <f t="shared" si="13"/>
        <v>-26306.55187</v>
      </c>
      <c r="J92" s="178">
        <f t="shared" si="13"/>
        <v>-30690.97718</v>
      </c>
      <c r="K92" s="178">
        <f t="shared" si="13"/>
        <v>-35075.40249</v>
      </c>
      <c r="L92" s="178">
        <f t="shared" si="13"/>
        <v>-39459.8278</v>
      </c>
      <c r="M92" s="178">
        <f t="shared" si="13"/>
        <v>-43844.25311</v>
      </c>
      <c r="N92" s="178">
        <f t="shared" si="13"/>
        <v>-48228.67842</v>
      </c>
      <c r="O92" s="178">
        <f t="shared" si="13"/>
        <v>-52613.10374</v>
      </c>
      <c r="P92" s="178">
        <f t="shared" si="13"/>
        <v>-56997.52905</v>
      </c>
      <c r="Q92" s="178">
        <f t="shared" si="13"/>
        <v>-61381.95436</v>
      </c>
      <c r="R92" s="178">
        <f t="shared" si="13"/>
        <v>-65766.37967</v>
      </c>
      <c r="S92" s="178">
        <f t="shared" si="13"/>
        <v>-70150.80498</v>
      </c>
      <c r="T92" s="178">
        <f t="shared" si="13"/>
        <v>-74535.23029</v>
      </c>
      <c r="U92" s="178">
        <f t="shared" si="13"/>
        <v>-78919.6556</v>
      </c>
      <c r="V92" s="178">
        <f t="shared" si="13"/>
        <v>-83304.08091</v>
      </c>
      <c r="W92" s="178">
        <f t="shared" si="13"/>
        <v>-87688.50623</v>
      </c>
      <c r="X92" s="178">
        <f t="shared" si="13"/>
        <v>-92072.93154</v>
      </c>
      <c r="Y92" s="178">
        <f t="shared" si="13"/>
        <v>-96457.35685</v>
      </c>
      <c r="Z92" s="178">
        <f t="shared" si="13"/>
        <v>-100841.7822</v>
      </c>
      <c r="AA92" s="178">
        <f t="shared" si="13"/>
        <v>-105226.2075</v>
      </c>
      <c r="AB92" s="178">
        <f t="shared" si="13"/>
        <v>-109610.6328</v>
      </c>
      <c r="AC92" s="178">
        <f t="shared" si="13"/>
        <v>-113995.0581</v>
      </c>
      <c r="AD92" s="178">
        <f t="shared" si="13"/>
        <v>-118379.4834</v>
      </c>
      <c r="AE92" s="178">
        <f t="shared" si="13"/>
        <v>-122763.9087</v>
      </c>
      <c r="AF92" s="178">
        <f t="shared" si="13"/>
        <v>-127148.334</v>
      </c>
      <c r="AG92" s="178">
        <f t="shared" si="13"/>
        <v>-131532.7593</v>
      </c>
      <c r="AH92" s="178">
        <f t="shared" si="13"/>
        <v>-135917.1847</v>
      </c>
      <c r="AI92" s="178">
        <f t="shared" si="13"/>
        <v>-140301.61</v>
      </c>
      <c r="AJ92" s="178">
        <f t="shared" si="13"/>
        <v>-144686.0353</v>
      </c>
      <c r="AK92" s="178">
        <f t="shared" si="13"/>
        <v>-149070.4606</v>
      </c>
      <c r="AL92" s="178">
        <f t="shared" si="13"/>
        <v>-153454.8859</v>
      </c>
      <c r="AM92" s="178">
        <f t="shared" si="13"/>
        <v>-157839.3112</v>
      </c>
      <c r="AN92" s="178">
        <f t="shared" si="13"/>
        <v>-162223.7365</v>
      </c>
      <c r="AO92" s="178">
        <f t="shared" si="13"/>
        <v>-166608.1618</v>
      </c>
      <c r="AP92" s="178">
        <f t="shared" si="13"/>
        <v>-170992.5871</v>
      </c>
      <c r="AQ92" s="178">
        <f t="shared" si="13"/>
        <v>-175377.0125</v>
      </c>
      <c r="AR92" s="178">
        <f t="shared" si="13"/>
        <v>-179761.4378</v>
      </c>
      <c r="AS92" s="178">
        <f t="shared" si="13"/>
        <v>-184145.8631</v>
      </c>
      <c r="AT92" s="178">
        <f t="shared" si="13"/>
        <v>-188530.2884</v>
      </c>
      <c r="AU92" s="178">
        <f t="shared" si="13"/>
        <v>-192914.7137</v>
      </c>
      <c r="AV92" s="178">
        <f t="shared" si="13"/>
        <v>-197299.139</v>
      </c>
      <c r="AW92" s="178">
        <f t="shared" si="13"/>
        <v>-201683.5643</v>
      </c>
      <c r="AX92" s="178">
        <f t="shared" si="13"/>
        <v>-206067.9896</v>
      </c>
      <c r="AY92" s="178">
        <f t="shared" si="13"/>
        <v>-210452.4149</v>
      </c>
      <c r="AZ92" s="178">
        <f t="shared" si="13"/>
        <v>-214836.8403</v>
      </c>
      <c r="BA92" s="178">
        <f t="shared" si="13"/>
        <v>-219221.2656</v>
      </c>
      <c r="BB92" s="178">
        <f t="shared" si="13"/>
        <v>-223605.6909</v>
      </c>
      <c r="BC92" s="178">
        <f t="shared" si="13"/>
        <v>-227990.1162</v>
      </c>
      <c r="BD92" s="178">
        <f t="shared" si="13"/>
        <v>-232374.5415</v>
      </c>
      <c r="BE92" s="178">
        <f t="shared" si="13"/>
        <v>-236758.9668</v>
      </c>
      <c r="BF92" s="178">
        <f t="shared" si="13"/>
        <v>-241143.3921</v>
      </c>
      <c r="BG92" s="178">
        <f t="shared" si="13"/>
        <v>-245527.8174</v>
      </c>
      <c r="BH92" s="178">
        <f t="shared" si="13"/>
        <v>-249912.2427</v>
      </c>
      <c r="BI92" s="178">
        <f t="shared" si="13"/>
        <v>-254296.6681</v>
      </c>
      <c r="BJ92" s="178">
        <f t="shared" si="13"/>
        <v>-924642.0991</v>
      </c>
      <c r="BK92" s="178">
        <f t="shared" si="13"/>
        <v>-924642.0991</v>
      </c>
      <c r="BL92" s="178">
        <f t="shared" si="13"/>
        <v>-924642.0991</v>
      </c>
      <c r="BM92" s="178">
        <f t="shared" si="13"/>
        <v>-924642.0991</v>
      </c>
      <c r="BN92" s="178">
        <f t="shared" si="13"/>
        <v>-924642.0991</v>
      </c>
      <c r="BO92" s="178">
        <f t="shared" si="13"/>
        <v>-924642.0991</v>
      </c>
      <c r="BP92" s="178">
        <f t="shared" si="13"/>
        <v>-924642.0991</v>
      </c>
      <c r="BQ92" s="178">
        <f t="shared" si="13"/>
        <v>-924642.0991</v>
      </c>
      <c r="BR92" s="178">
        <f t="shared" si="13"/>
        <v>-924642.0991</v>
      </c>
      <c r="BS92" s="178">
        <f t="shared" si="13"/>
        <v>-924642.0991</v>
      </c>
      <c r="BT92" s="178">
        <f t="shared" si="13"/>
        <v>-924642.0991</v>
      </c>
      <c r="BU92" s="178">
        <f t="shared" si="13"/>
        <v>-924642.0991</v>
      </c>
      <c r="BV92" s="178">
        <f t="shared" si="13"/>
        <v>-924642.0991</v>
      </c>
      <c r="BW92" s="178">
        <f t="shared" si="13"/>
        <v>-924642.0991</v>
      </c>
      <c r="BX92" s="178">
        <f t="shared" si="13"/>
        <v>-924642.0991</v>
      </c>
      <c r="BY92" s="178">
        <f t="shared" si="13"/>
        <v>-924642.0991</v>
      </c>
      <c r="BZ92" s="178">
        <f t="shared" si="13"/>
        <v>-924642.0991</v>
      </c>
      <c r="CA92" s="178">
        <f t="shared" si="13"/>
        <v>-924642.0991</v>
      </c>
      <c r="CB92" s="178">
        <f t="shared" si="13"/>
        <v>-924642.0991</v>
      </c>
      <c r="CC92" s="178">
        <f t="shared" si="13"/>
        <v>-924642.0991</v>
      </c>
      <c r="CD92" s="178">
        <f t="shared" si="13"/>
        <v>-924642.0991</v>
      </c>
      <c r="CE92" s="178">
        <f t="shared" si="13"/>
        <v>-924642.0991</v>
      </c>
      <c r="CF92" s="178">
        <f t="shared" si="13"/>
        <v>-924642.0991</v>
      </c>
      <c r="CG92" s="178">
        <f t="shared" si="13"/>
        <v>-924642.0991</v>
      </c>
      <c r="CH92" s="178">
        <f t="shared" si="13"/>
        <v>-924642.0991</v>
      </c>
      <c r="CI92" s="178">
        <f t="shared" si="13"/>
        <v>-924642.0991</v>
      </c>
      <c r="CJ92" s="178">
        <f t="shared" si="13"/>
        <v>-924642.0991</v>
      </c>
      <c r="CK92" s="178">
        <f t="shared" si="13"/>
        <v>-924642.0991</v>
      </c>
      <c r="CL92" s="178">
        <f t="shared" si="13"/>
        <v>-924642.0991</v>
      </c>
      <c r="CM92" s="178">
        <f t="shared" si="13"/>
        <v>-924642.0991</v>
      </c>
      <c r="CN92" s="178">
        <f t="shared" si="13"/>
        <v>-924642.0991</v>
      </c>
      <c r="CO92" s="178">
        <f t="shared" si="13"/>
        <v>-924642.0991</v>
      </c>
      <c r="CP92" s="178">
        <f t="shared" si="13"/>
        <v>-924642.0991</v>
      </c>
      <c r="CQ92" s="178">
        <f t="shared" si="13"/>
        <v>-924642.0991</v>
      </c>
      <c r="CR92" s="178">
        <f t="shared" si="13"/>
        <v>-924642.0991</v>
      </c>
      <c r="CS92" s="178">
        <f t="shared" si="13"/>
        <v>-924642.0991</v>
      </c>
      <c r="CT92" s="178">
        <f t="shared" si="13"/>
        <v>-924642.0991</v>
      </c>
      <c r="CU92" s="178">
        <f t="shared" si="13"/>
        <v>-924642.0991</v>
      </c>
      <c r="CV92" s="178">
        <f t="shared" si="13"/>
        <v>-924642.0991</v>
      </c>
      <c r="CW92" s="178">
        <f t="shared" si="13"/>
        <v>-924642.0991</v>
      </c>
      <c r="CX92" s="178">
        <f t="shared" si="13"/>
        <v>-924642.0991</v>
      </c>
      <c r="CY92" s="178">
        <f t="shared" si="13"/>
        <v>-924642.0991</v>
      </c>
      <c r="CZ92" s="178">
        <f t="shared" si="13"/>
        <v>-924642.0991</v>
      </c>
      <c r="DA92" s="178">
        <f t="shared" si="13"/>
        <v>-924642.0991</v>
      </c>
      <c r="DB92" s="178">
        <f t="shared" si="13"/>
        <v>-924642.0991</v>
      </c>
      <c r="DC92" s="178">
        <f t="shared" si="13"/>
        <v>-924642.0991</v>
      </c>
      <c r="DD92" s="178">
        <f t="shared" si="13"/>
        <v>-924642.0991</v>
      </c>
      <c r="DE92" s="178">
        <f t="shared" si="13"/>
        <v>-924642.0991</v>
      </c>
      <c r="DF92" s="178">
        <f t="shared" si="13"/>
        <v>-924642.0991</v>
      </c>
      <c r="DG92" s="178">
        <f t="shared" si="13"/>
        <v>-924642.0991</v>
      </c>
      <c r="DH92" s="178">
        <f t="shared" si="13"/>
        <v>-924642.0991</v>
      </c>
      <c r="DI92" s="178">
        <f t="shared" si="13"/>
        <v>-924642.0991</v>
      </c>
      <c r="DJ92" s="178">
        <f t="shared" si="13"/>
        <v>-924642.0991</v>
      </c>
      <c r="DK92" s="178">
        <f t="shared" si="13"/>
        <v>-924642.0991</v>
      </c>
      <c r="DL92" s="178">
        <f t="shared" si="13"/>
        <v>-924642.0991</v>
      </c>
      <c r="DM92" s="178">
        <f t="shared" si="13"/>
        <v>-924642.0991</v>
      </c>
      <c r="DN92" s="178">
        <f t="shared" si="13"/>
        <v>-924642.0991</v>
      </c>
      <c r="DO92" s="178">
        <f t="shared" si="13"/>
        <v>-924642.0991</v>
      </c>
      <c r="DP92" s="178">
        <f t="shared" si="13"/>
        <v>-924642.0991</v>
      </c>
      <c r="DQ92" s="178">
        <f t="shared" si="13"/>
        <v>-924642.0991</v>
      </c>
      <c r="DR92" s="178">
        <f t="shared" si="13"/>
        <v>-924642.0991</v>
      </c>
      <c r="DS92" s="54"/>
    </row>
    <row r="93" ht="15.75" customHeight="1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  <c r="DO93" s="54"/>
      <c r="DP93" s="54"/>
      <c r="DQ93" s="54"/>
      <c r="DR93" s="54"/>
      <c r="DS93" s="54"/>
    </row>
    <row r="94" ht="16.5" customHeight="1">
      <c r="A94" s="54"/>
      <c r="B94" s="55" t="s">
        <v>341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3"/>
      <c r="DS94" s="54"/>
    </row>
    <row r="95" ht="15.0" customHeight="1">
      <c r="A95" s="54"/>
      <c r="B95" s="56" t="s">
        <v>342</v>
      </c>
      <c r="C95" s="153">
        <f>IF(C$3&lt;=Inputs!$C$15*12,IF(C56+C89&lt;=0,0,-C11*Inputs!$C$109),0)</f>
        <v>0</v>
      </c>
      <c r="D95" s="153">
        <f>IF(D$3&lt;=Inputs!$C$15*12,IF(D56+D89&lt;=0,0,-D11*Inputs!$C$109),0)</f>
        <v>0</v>
      </c>
      <c r="E95" s="153">
        <f>IF(E$3&lt;=Inputs!$C$15*12,IF(E56+E89&lt;=0,0,-E11*Inputs!$C$109),0)</f>
        <v>0</v>
      </c>
      <c r="F95" s="153">
        <f>IF(F$3&lt;=Inputs!$C$15*12,IF(F56+F89&lt;=0,0,-F11*Inputs!$C$109),0)</f>
        <v>0</v>
      </c>
      <c r="G95" s="153">
        <f>IF(G$3&lt;=Inputs!$C$15*12,IF(G56+G89&lt;=0,0,-G11*Inputs!$C$109),0)</f>
        <v>0</v>
      </c>
      <c r="H95" s="153">
        <f>IF(H$3&lt;=Inputs!$C$15*12,IF(H56+H89&lt;=0,0,-H11*Inputs!$C$109),0)</f>
        <v>0</v>
      </c>
      <c r="I95" s="153">
        <f>IF(I$3&lt;=Inputs!$C$15*12,IF(I56+I89&lt;=0,0,-I11*Inputs!$C$109),0)</f>
        <v>0</v>
      </c>
      <c r="J95" s="153">
        <f>IF(J$3&lt;=Inputs!$C$15*12,IF(J56+J89&lt;=0,0,-J11*Inputs!$C$109),0)</f>
        <v>0</v>
      </c>
      <c r="K95" s="153">
        <f>IF(K$3&lt;=Inputs!$C$15*12,IF(K56+K89&lt;=0,0,-K11*Inputs!$C$109),0)</f>
        <v>0</v>
      </c>
      <c r="L95" s="153">
        <f>IF(L$3&lt;=Inputs!$C$15*12,IF(L56+L89&lt;=0,0,-L11*Inputs!$C$109),0)</f>
        <v>0</v>
      </c>
      <c r="M95" s="153">
        <f>IF(M$3&lt;=Inputs!$C$15*12,IF(M56+M89&lt;=0,0,-M11*Inputs!$C$109),0)</f>
        <v>0</v>
      </c>
      <c r="N95" s="153">
        <f>IF(N$3&lt;=Inputs!$C$15*12,IF(N56+N89&lt;=0,0,-N11*Inputs!$C$109),0)</f>
        <v>0</v>
      </c>
      <c r="O95" s="153">
        <f>IF(O$3&lt;=Inputs!$C$15*12,IF(O56+O89&lt;=0,0,-O11*Inputs!$C$109),0)</f>
        <v>0</v>
      </c>
      <c r="P95" s="153">
        <f>IF(P$3&lt;=Inputs!$C$15*12,IF(P56+P89&lt;=0,0,-P11*Inputs!$C$109),0)</f>
        <v>0</v>
      </c>
      <c r="Q95" s="153">
        <f>IF(Q$3&lt;=Inputs!$C$15*12,IF(Q56+Q89&lt;=0,0,-Q11*Inputs!$C$109),0)</f>
        <v>0</v>
      </c>
      <c r="R95" s="153">
        <f>IF(R$3&lt;=Inputs!$C$15*12,IF(R56+R89&lt;=0,0,-R11*Inputs!$C$109),0)</f>
        <v>0</v>
      </c>
      <c r="S95" s="153">
        <f>IF(S$3&lt;=Inputs!$C$15*12,IF(S56+S89&lt;=0,0,-S11*Inputs!$C$109),0)</f>
        <v>0</v>
      </c>
      <c r="T95" s="153">
        <f>IF(T$3&lt;=Inputs!$C$15*12,IF(T56+T89&lt;=0,0,-T11*Inputs!$C$109),0)</f>
        <v>0</v>
      </c>
      <c r="U95" s="153">
        <f>IF(U$3&lt;=Inputs!$C$15*12,IF(U56+U89&lt;=0,0,-U11*Inputs!$C$109),0)</f>
        <v>0</v>
      </c>
      <c r="V95" s="153">
        <f>IF(V$3&lt;=Inputs!$C$15*12,IF(V56+V89&lt;=0,0,-V11*Inputs!$C$109),0)</f>
        <v>0</v>
      </c>
      <c r="W95" s="153">
        <f>IF(W$3&lt;=Inputs!$C$15*12,IF(W56+W89&lt;=0,0,-W11*Inputs!$C$109),0)</f>
        <v>0</v>
      </c>
      <c r="X95" s="153">
        <f>IF(X$3&lt;=Inputs!$C$15*12,IF(X56+X89&lt;=0,0,-X11*Inputs!$C$109),0)</f>
        <v>0</v>
      </c>
      <c r="Y95" s="153">
        <f>IF(Y$3&lt;=Inputs!$C$15*12,IF(Y56+Y89&lt;=0,0,-Y11*Inputs!$C$109),0)</f>
        <v>0</v>
      </c>
      <c r="Z95" s="153">
        <f>IF(Z$3&lt;=Inputs!$C$15*12,IF(Z56+Z89&lt;=0,0,-Z11*Inputs!$C$109),0)</f>
        <v>0</v>
      </c>
      <c r="AA95" s="153">
        <f>IF(AA$3&lt;=Inputs!$C$15*12,IF(AA56+AA89&lt;=0,0,-AA11*Inputs!$C$109),0)</f>
        <v>0</v>
      </c>
      <c r="AB95" s="153">
        <f>IF(AB$3&lt;=Inputs!$C$15*12,IF(AB56+AB89&lt;=0,0,-AB11*Inputs!$C$109),0)</f>
        <v>0</v>
      </c>
      <c r="AC95" s="153">
        <f>IF(AC$3&lt;=Inputs!$C$15*12,IF(AC56+AC89&lt;=0,0,-AC11*Inputs!$C$109),0)</f>
        <v>0</v>
      </c>
      <c r="AD95" s="153">
        <f>IF(AD$3&lt;=Inputs!$C$15*12,IF(AD56+AD89&lt;=0,0,-AD11*Inputs!$C$109),0)</f>
        <v>0</v>
      </c>
      <c r="AE95" s="153">
        <f>IF(AE$3&lt;=Inputs!$C$15*12,IF(AE56+AE89&lt;=0,0,-AE11*Inputs!$C$109),0)</f>
        <v>0</v>
      </c>
      <c r="AF95" s="153">
        <f>IF(AF$3&lt;=Inputs!$C$15*12,IF(AF56+AF89&lt;=0,0,-AF11*Inputs!$C$109),0)</f>
        <v>0</v>
      </c>
      <c r="AG95" s="153">
        <f>IF(AG$3&lt;=Inputs!$C$15*12,IF(AG56+AG89&lt;=0,0,-AG11*Inputs!$C$109),0)</f>
        <v>0</v>
      </c>
      <c r="AH95" s="153">
        <f>IF(AH$3&lt;=Inputs!$C$15*12,IF(AH56+AH89&lt;=0,0,-AH11*Inputs!$C$109),0)</f>
        <v>0</v>
      </c>
      <c r="AI95" s="153">
        <f>IF(AI$3&lt;=Inputs!$C$15*12,IF(AI56+AI89&lt;=0,0,-AI11*Inputs!$C$109),0)</f>
        <v>0</v>
      </c>
      <c r="AJ95" s="153">
        <f>IF(AJ$3&lt;=Inputs!$C$15*12,IF(AJ56+AJ89&lt;=0,0,-AJ11*Inputs!$C$109),0)</f>
        <v>0</v>
      </c>
      <c r="AK95" s="153">
        <f>IF(AK$3&lt;=Inputs!$C$15*12,IF(AK56+AK89&lt;=0,0,-AK11*Inputs!$C$109),0)</f>
        <v>0</v>
      </c>
      <c r="AL95" s="153">
        <f>IF(AL$3&lt;=Inputs!$C$15*12,IF(AL56+AL89&lt;=0,0,-AL11*Inputs!$C$109),0)</f>
        <v>0</v>
      </c>
      <c r="AM95" s="153">
        <f>IF(AM$3&lt;=Inputs!$C$15*12,IF(AM56+AM89&lt;=0,0,-AM11*Inputs!$C$109),0)</f>
        <v>0</v>
      </c>
      <c r="AN95" s="153">
        <f>IF(AN$3&lt;=Inputs!$C$15*12,IF(AN56+AN89&lt;=0,0,-AN11*Inputs!$C$109),0)</f>
        <v>0</v>
      </c>
      <c r="AO95" s="153">
        <f>IF(AO$3&lt;=Inputs!$C$15*12,IF(AO56+AO89&lt;=0,0,-AO11*Inputs!$C$109),0)</f>
        <v>0</v>
      </c>
      <c r="AP95" s="153">
        <f>IF(AP$3&lt;=Inputs!$C$15*12,IF(AP56+AP89&lt;=0,0,-AP11*Inputs!$C$109),0)</f>
        <v>0</v>
      </c>
      <c r="AQ95" s="153">
        <f>IF(AQ$3&lt;=Inputs!$C$15*12,IF(AQ56+AQ89&lt;=0,0,-AQ11*Inputs!$C$109),0)</f>
        <v>0</v>
      </c>
      <c r="AR95" s="153">
        <f>IF(AR$3&lt;=Inputs!$C$15*12,IF(AR56+AR89&lt;=0,0,-AR11*Inputs!$C$109),0)</f>
        <v>0</v>
      </c>
      <c r="AS95" s="153">
        <f>IF(AS$3&lt;=Inputs!$C$15*12,IF(AS56+AS89&lt;=0,0,-AS11*Inputs!$C$109),0)</f>
        <v>0</v>
      </c>
      <c r="AT95" s="153">
        <f>IF(AT$3&lt;=Inputs!$C$15*12,IF(AT56+AT89&lt;=0,0,-AT11*Inputs!$C$109),0)</f>
        <v>0</v>
      </c>
      <c r="AU95" s="153">
        <f>IF(AU$3&lt;=Inputs!$C$15*12,IF(AU56+AU89&lt;=0,0,-AU11*Inputs!$C$109),0)</f>
        <v>0</v>
      </c>
      <c r="AV95" s="153">
        <f>IF(AV$3&lt;=Inputs!$C$15*12,IF(AV56+AV89&lt;=0,0,-AV11*Inputs!$C$109),0)</f>
        <v>0</v>
      </c>
      <c r="AW95" s="153">
        <f>IF(AW$3&lt;=Inputs!$C$15*12,IF(AW56+AW89&lt;=0,0,-AW11*Inputs!$C$109),0)</f>
        <v>0</v>
      </c>
      <c r="AX95" s="153">
        <f>IF(AX$3&lt;=Inputs!$C$15*12,IF(AX56+AX89&lt;=0,0,-AX11*Inputs!$C$109),0)</f>
        <v>0</v>
      </c>
      <c r="AY95" s="153">
        <f>IF(AY$3&lt;=Inputs!$C$15*12,IF(AY56+AY89&lt;=0,0,-AY11*Inputs!$C$109),0)</f>
        <v>0</v>
      </c>
      <c r="AZ95" s="153">
        <f>IF(AZ$3&lt;=Inputs!$C$15*12,IF(AZ56+AZ89&lt;=0,0,-AZ11*Inputs!$C$109),0)</f>
        <v>0</v>
      </c>
      <c r="BA95" s="153">
        <f>IF(BA$3&lt;=Inputs!$C$15*12,IF(BA56+BA89&lt;=0,0,-BA11*Inputs!$C$109),0)</f>
        <v>0</v>
      </c>
      <c r="BB95" s="153">
        <f>IF(BB$3&lt;=Inputs!$C$15*12,IF(BB56+BB89&lt;=0,0,-BB11*Inputs!$C$109),0)</f>
        <v>0</v>
      </c>
      <c r="BC95" s="153">
        <f>IF(BC$3&lt;=Inputs!$C$15*12,IF(BC56+BC89&lt;=0,0,-BC11*Inputs!$C$109),0)</f>
        <v>0</v>
      </c>
      <c r="BD95" s="153">
        <f>IF(BD$3&lt;=Inputs!$C$15*12,IF(BD56+BD89&lt;=0,0,-BD11*Inputs!$C$109),0)</f>
        <v>0</v>
      </c>
      <c r="BE95" s="153">
        <f>IF(BE$3&lt;=Inputs!$C$15*12,IF(BE56+BE89&lt;=0,0,-BE11*Inputs!$C$109),0)</f>
        <v>0</v>
      </c>
      <c r="BF95" s="153">
        <f>IF(BF$3&lt;=Inputs!$C$15*12,IF(BF56+BF89&lt;=0,0,-BF11*Inputs!$C$109),0)</f>
        <v>0</v>
      </c>
      <c r="BG95" s="153">
        <f>IF(BG$3&lt;=Inputs!$C$15*12,IF(BG56+BG89&lt;=0,0,-BG11*Inputs!$C$109),0)</f>
        <v>0</v>
      </c>
      <c r="BH95" s="153">
        <f>IF(BH$3&lt;=Inputs!$C$15*12,IF(BH56+BH89&lt;=0,0,-BH11*Inputs!$C$109),0)</f>
        <v>0</v>
      </c>
      <c r="BI95" s="153">
        <f>IF(BI$3&lt;=Inputs!$C$15*12,IF(BI56+BI89&lt;=0,0,-BI11*Inputs!$C$109),0)</f>
        <v>0</v>
      </c>
      <c r="BJ95" s="153">
        <f>IF(BJ$3&lt;=Inputs!$C$15*12,IF(BJ56+BJ89&lt;=0,0,-BJ11*Inputs!$C$109),0)</f>
        <v>0</v>
      </c>
      <c r="BK95" s="153">
        <f>IF(BK$3&lt;=Inputs!$C$15*12,IF(BK56+BK89&lt;=0,0,-BK11*Inputs!$C$109),0)</f>
        <v>0</v>
      </c>
      <c r="BL95" s="153">
        <f>IF(BL$3&lt;=Inputs!$C$15*12,IF(BL56+BL89&lt;=0,0,-BL11*Inputs!$C$109),0)</f>
        <v>0</v>
      </c>
      <c r="BM95" s="153">
        <f>IF(BM$3&lt;=Inputs!$C$15*12,IF(BM56+BM89&lt;=0,0,-BM11*Inputs!$C$109),0)</f>
        <v>0</v>
      </c>
      <c r="BN95" s="153">
        <f>IF(BN$3&lt;=Inputs!$C$15*12,IF(BN56+BN89&lt;=0,0,-BN11*Inputs!$C$109),0)</f>
        <v>0</v>
      </c>
      <c r="BO95" s="153">
        <f>IF(BO$3&lt;=Inputs!$C$15*12,IF(BO56+BO89&lt;=0,0,-BO11*Inputs!$C$109),0)</f>
        <v>0</v>
      </c>
      <c r="BP95" s="153">
        <f>IF(BP$3&lt;=Inputs!$C$15*12,IF(BP56+BP89&lt;=0,0,-BP11*Inputs!$C$109),0)</f>
        <v>0</v>
      </c>
      <c r="BQ95" s="153">
        <f>IF(BQ$3&lt;=Inputs!$C$15*12,IF(BQ56+BQ89&lt;=0,0,-BQ11*Inputs!$C$109),0)</f>
        <v>0</v>
      </c>
      <c r="BR95" s="153">
        <f>IF(BR$3&lt;=Inputs!$C$15*12,IF(BR56+BR89&lt;=0,0,-BR11*Inputs!$C$109),0)</f>
        <v>0</v>
      </c>
      <c r="BS95" s="153">
        <f>IF(BS$3&lt;=Inputs!$C$15*12,IF(BS56+BS89&lt;=0,0,-BS11*Inputs!$C$109),0)</f>
        <v>0</v>
      </c>
      <c r="BT95" s="153">
        <f>IF(BT$3&lt;=Inputs!$C$15*12,IF(BT56+BT89&lt;=0,0,-BT11*Inputs!$C$109),0)</f>
        <v>0</v>
      </c>
      <c r="BU95" s="153">
        <f>IF(BU$3&lt;=Inputs!$C$15*12,IF(BU56+BU89&lt;=0,0,-BU11*Inputs!$C$109),0)</f>
        <v>0</v>
      </c>
      <c r="BV95" s="153">
        <f>IF(BV$3&lt;=Inputs!$C$15*12,IF(BV56+BV89&lt;=0,0,-BV11*Inputs!$C$109),0)</f>
        <v>0</v>
      </c>
      <c r="BW95" s="153">
        <f>IF(BW$3&lt;=Inputs!$C$15*12,IF(BW56+BW89&lt;=0,0,-BW11*Inputs!$C$109),0)</f>
        <v>0</v>
      </c>
      <c r="BX95" s="153">
        <f>IF(BX$3&lt;=Inputs!$C$15*12,IF(BX56+BX89&lt;=0,0,-BX11*Inputs!$C$109),0)</f>
        <v>0</v>
      </c>
      <c r="BY95" s="153">
        <f>IF(BY$3&lt;=Inputs!$C$15*12,IF(BY56+BY89&lt;=0,0,-BY11*Inputs!$C$109),0)</f>
        <v>0</v>
      </c>
      <c r="BZ95" s="153">
        <f>IF(BZ$3&lt;=Inputs!$C$15*12,IF(BZ56+BZ89&lt;=0,0,-BZ11*Inputs!$C$109),0)</f>
        <v>0</v>
      </c>
      <c r="CA95" s="153">
        <f>IF(CA$3&lt;=Inputs!$C$15*12,IF(CA56+CA89&lt;=0,0,-CA11*Inputs!$C$109),0)</f>
        <v>0</v>
      </c>
      <c r="CB95" s="153">
        <f>IF(CB$3&lt;=Inputs!$C$15*12,IF(CB56+CB89&lt;=0,0,-CB11*Inputs!$C$109),0)</f>
        <v>0</v>
      </c>
      <c r="CC95" s="153">
        <f>IF(CC$3&lt;=Inputs!$C$15*12,IF(CC56+CC89&lt;=0,0,-CC11*Inputs!$C$109),0)</f>
        <v>0</v>
      </c>
      <c r="CD95" s="153">
        <f>IF(CD$3&lt;=Inputs!$C$15*12,IF(CD56+CD89&lt;=0,0,-CD11*Inputs!$C$109),0)</f>
        <v>0</v>
      </c>
      <c r="CE95" s="153">
        <f>IF(CE$3&lt;=Inputs!$C$15*12,IF(CE56+CE89&lt;=0,0,-CE11*Inputs!$C$109),0)</f>
        <v>0</v>
      </c>
      <c r="CF95" s="153">
        <f>IF(CF$3&lt;=Inputs!$C$15*12,IF(CF56+CF89&lt;=0,0,-CF11*Inputs!$C$109),0)</f>
        <v>0</v>
      </c>
      <c r="CG95" s="153">
        <f>IF(CG$3&lt;=Inputs!$C$15*12,IF(CG56+CG89&lt;=0,0,-CG11*Inputs!$C$109),0)</f>
        <v>0</v>
      </c>
      <c r="CH95" s="153">
        <f>IF(CH$3&lt;=Inputs!$C$15*12,IF(CH56+CH89&lt;=0,0,-CH11*Inputs!$C$109),0)</f>
        <v>0</v>
      </c>
      <c r="CI95" s="153">
        <f>IF(CI$3&lt;=Inputs!$C$15*12,IF(CI56+CI89&lt;=0,0,-CI11*Inputs!$C$109),0)</f>
        <v>0</v>
      </c>
      <c r="CJ95" s="153">
        <f>IF(CJ$3&lt;=Inputs!$C$15*12,IF(CJ56+CJ89&lt;=0,0,-CJ11*Inputs!$C$109),0)</f>
        <v>0</v>
      </c>
      <c r="CK95" s="153">
        <f>IF(CK$3&lt;=Inputs!$C$15*12,IF(CK56+CK89&lt;=0,0,-CK11*Inputs!$C$109),0)</f>
        <v>0</v>
      </c>
      <c r="CL95" s="153">
        <f>IF(CL$3&lt;=Inputs!$C$15*12,IF(CL56+CL89&lt;=0,0,-CL11*Inputs!$C$109),0)</f>
        <v>0</v>
      </c>
      <c r="CM95" s="153">
        <f>IF(CM$3&lt;=Inputs!$C$15*12,IF(CM56+CM89&lt;=0,0,-CM11*Inputs!$C$109),0)</f>
        <v>0</v>
      </c>
      <c r="CN95" s="153">
        <f>IF(CN$3&lt;=Inputs!$C$15*12,IF(CN56+CN89&lt;=0,0,-CN11*Inputs!$C$109),0)</f>
        <v>0</v>
      </c>
      <c r="CO95" s="153">
        <f>IF(CO$3&lt;=Inputs!$C$15*12,IF(CO56+CO89&lt;=0,0,-CO11*Inputs!$C$109),0)</f>
        <v>0</v>
      </c>
      <c r="CP95" s="153">
        <f>IF(CP$3&lt;=Inputs!$C$15*12,IF(CP56+CP89&lt;=0,0,-CP11*Inputs!$C$109),0)</f>
        <v>0</v>
      </c>
      <c r="CQ95" s="153">
        <f>IF(CQ$3&lt;=Inputs!$C$15*12,IF(CQ56+CQ89&lt;=0,0,-CQ11*Inputs!$C$109),0)</f>
        <v>0</v>
      </c>
      <c r="CR95" s="153">
        <f>IF(CR$3&lt;=Inputs!$C$15*12,IF(CR56+CR89&lt;=0,0,-CR11*Inputs!$C$109),0)</f>
        <v>0</v>
      </c>
      <c r="CS95" s="153">
        <f>IF(CS$3&lt;=Inputs!$C$15*12,IF(CS56+CS89&lt;=0,0,-CS11*Inputs!$C$109),0)</f>
        <v>0</v>
      </c>
      <c r="CT95" s="153">
        <f>IF(CT$3&lt;=Inputs!$C$15*12,IF(CT56+CT89&lt;=0,0,-CT11*Inputs!$C$109),0)</f>
        <v>0</v>
      </c>
      <c r="CU95" s="153">
        <f>IF(CU$3&lt;=Inputs!$C$15*12,IF(CU56+CU89&lt;=0,0,-CU11*Inputs!$C$109),0)</f>
        <v>0</v>
      </c>
      <c r="CV95" s="153">
        <f>IF(CV$3&lt;=Inputs!$C$15*12,IF(CV56+CV89&lt;=0,0,-CV11*Inputs!$C$109),0)</f>
        <v>0</v>
      </c>
      <c r="CW95" s="153">
        <f>IF(CW$3&lt;=Inputs!$C$15*12,IF(CW56+CW89&lt;=0,0,-CW11*Inputs!$C$109),0)</f>
        <v>0</v>
      </c>
      <c r="CX95" s="153">
        <f>IF(CX$3&lt;=Inputs!$C$15*12,IF(CX56+CX89&lt;=0,0,-CX11*Inputs!$C$109),0)</f>
        <v>0</v>
      </c>
      <c r="CY95" s="153">
        <f>IF(CY$3&lt;=Inputs!$C$15*12,IF(CY56+CY89&lt;=0,0,-CY11*Inputs!$C$109),0)</f>
        <v>0</v>
      </c>
      <c r="CZ95" s="153">
        <f>IF(CZ$3&lt;=Inputs!$C$15*12,IF(CZ56+CZ89&lt;=0,0,-CZ11*Inputs!$C$109),0)</f>
        <v>0</v>
      </c>
      <c r="DA95" s="153">
        <f>IF(DA$3&lt;=Inputs!$C$15*12,IF(DA56+DA89&lt;=0,0,-DA11*Inputs!$C$109),0)</f>
        <v>0</v>
      </c>
      <c r="DB95" s="153">
        <f>IF(DB$3&lt;=Inputs!$C$15*12,IF(DB56+DB89&lt;=0,0,-DB11*Inputs!$C$109),0)</f>
        <v>0</v>
      </c>
      <c r="DC95" s="153">
        <f>IF(DC$3&lt;=Inputs!$C$15*12,IF(DC56+DC89&lt;=0,0,-DC11*Inputs!$C$109),0)</f>
        <v>0</v>
      </c>
      <c r="DD95" s="153">
        <f>IF(DD$3&lt;=Inputs!$C$15*12,IF(DD56+DD89&lt;=0,0,-DD11*Inputs!$C$109),0)</f>
        <v>0</v>
      </c>
      <c r="DE95" s="153">
        <f>IF(DE$3&lt;=Inputs!$C$15*12,IF(DE56+DE89&lt;=0,0,-DE11*Inputs!$C$109),0)</f>
        <v>0</v>
      </c>
      <c r="DF95" s="153">
        <f>IF(DF$3&lt;=Inputs!$C$15*12,IF(DF56+DF89&lt;=0,0,-DF11*Inputs!$C$109),0)</f>
        <v>0</v>
      </c>
      <c r="DG95" s="153">
        <f>IF(DG$3&lt;=Inputs!$C$15*12,IF(DG56+DG89&lt;=0,0,-DG11*Inputs!$C$109),0)</f>
        <v>0</v>
      </c>
      <c r="DH95" s="153">
        <f>IF(DH$3&lt;=Inputs!$C$15*12,IF(DH56+DH89&lt;=0,0,-DH11*Inputs!$C$109),0)</f>
        <v>0</v>
      </c>
      <c r="DI95" s="153">
        <f>IF(DI$3&lt;=Inputs!$C$15*12,IF(DI56+DI89&lt;=0,0,-DI11*Inputs!$C$109),0)</f>
        <v>0</v>
      </c>
      <c r="DJ95" s="153">
        <f>IF(DJ$3&lt;=Inputs!$C$15*12,IF(DJ56+DJ89&lt;=0,0,-DJ11*Inputs!$C$109),0)</f>
        <v>0</v>
      </c>
      <c r="DK95" s="153">
        <f>IF(DK$3&lt;=Inputs!$C$15*12,IF(DK56+DK89&lt;=0,0,-DK11*Inputs!$C$109),0)</f>
        <v>0</v>
      </c>
      <c r="DL95" s="153">
        <f>IF(DL$3&lt;=Inputs!$C$15*12,IF(DL56+DL89&lt;=0,0,-DL11*Inputs!$C$109),0)</f>
        <v>0</v>
      </c>
      <c r="DM95" s="153">
        <f>IF(DM$3&lt;=Inputs!$C$15*12,IF(DM56+DM89&lt;=0,0,-DM11*Inputs!$C$109),0)</f>
        <v>0</v>
      </c>
      <c r="DN95" s="153">
        <f>IF(DN$3&lt;=Inputs!$C$15*12,IF(DN56+DN89&lt;=0,0,-DN11*Inputs!$C$109),0)</f>
        <v>0</v>
      </c>
      <c r="DO95" s="153">
        <f>IF(DO$3&lt;=Inputs!$C$15*12,IF(DO56+DO89&lt;=0,0,-DO11*Inputs!$C$109),0)</f>
        <v>0</v>
      </c>
      <c r="DP95" s="153">
        <f>IF(DP$3&lt;=Inputs!$C$15*12,IF(DP56+DP89&lt;=0,0,-DP11*Inputs!$C$109),0)</f>
        <v>0</v>
      </c>
      <c r="DQ95" s="153">
        <f>IF(DQ$3&lt;=Inputs!$C$15*12,IF(DQ56+DQ89&lt;=0,0,-DQ11*Inputs!$C$109),0)</f>
        <v>0</v>
      </c>
      <c r="DR95" s="153">
        <f>IF(DR$3&lt;=Inputs!$C$15*12,IF(DR56+DR89&lt;=0,0,-DR11*Inputs!$C$109),0)</f>
        <v>0</v>
      </c>
      <c r="DS95" s="54"/>
    </row>
    <row r="96" ht="15.75" customHeight="1">
      <c r="A96" s="54"/>
      <c r="B96" s="108" t="s">
        <v>343</v>
      </c>
      <c r="C96" s="175">
        <f t="shared" ref="C96:DR96" si="14">MAX(C56+C89+C95-C98,0)</f>
        <v>0</v>
      </c>
      <c r="D96" s="175">
        <f t="shared" si="14"/>
        <v>0</v>
      </c>
      <c r="E96" s="175">
        <f t="shared" si="14"/>
        <v>0</v>
      </c>
      <c r="F96" s="175">
        <f t="shared" si="14"/>
        <v>0</v>
      </c>
      <c r="G96" s="175">
        <f t="shared" si="14"/>
        <v>0</v>
      </c>
      <c r="H96" s="175">
        <f t="shared" si="14"/>
        <v>0</v>
      </c>
      <c r="I96" s="175">
        <f t="shared" si="14"/>
        <v>0</v>
      </c>
      <c r="J96" s="175">
        <f t="shared" si="14"/>
        <v>0</v>
      </c>
      <c r="K96" s="175">
        <f t="shared" si="14"/>
        <v>0</v>
      </c>
      <c r="L96" s="175">
        <f t="shared" si="14"/>
        <v>0</v>
      </c>
      <c r="M96" s="175">
        <f t="shared" si="14"/>
        <v>0</v>
      </c>
      <c r="N96" s="175">
        <f t="shared" si="14"/>
        <v>0</v>
      </c>
      <c r="O96" s="175">
        <f t="shared" si="14"/>
        <v>0</v>
      </c>
      <c r="P96" s="175">
        <f t="shared" si="14"/>
        <v>0</v>
      </c>
      <c r="Q96" s="175">
        <f t="shared" si="14"/>
        <v>0</v>
      </c>
      <c r="R96" s="175">
        <f t="shared" si="14"/>
        <v>0</v>
      </c>
      <c r="S96" s="175">
        <f t="shared" si="14"/>
        <v>0</v>
      </c>
      <c r="T96" s="175">
        <f t="shared" si="14"/>
        <v>0</v>
      </c>
      <c r="U96" s="175">
        <f t="shared" si="14"/>
        <v>0</v>
      </c>
      <c r="V96" s="175">
        <f t="shared" si="14"/>
        <v>0</v>
      </c>
      <c r="W96" s="175">
        <f t="shared" si="14"/>
        <v>0</v>
      </c>
      <c r="X96" s="175">
        <f t="shared" si="14"/>
        <v>0</v>
      </c>
      <c r="Y96" s="175">
        <f t="shared" si="14"/>
        <v>0</v>
      </c>
      <c r="Z96" s="175">
        <f t="shared" si="14"/>
        <v>0</v>
      </c>
      <c r="AA96" s="175">
        <f t="shared" si="14"/>
        <v>0</v>
      </c>
      <c r="AB96" s="175">
        <f t="shared" si="14"/>
        <v>0</v>
      </c>
      <c r="AC96" s="175">
        <f t="shared" si="14"/>
        <v>0</v>
      </c>
      <c r="AD96" s="175">
        <f t="shared" si="14"/>
        <v>0</v>
      </c>
      <c r="AE96" s="175">
        <f t="shared" si="14"/>
        <v>0</v>
      </c>
      <c r="AF96" s="175">
        <f t="shared" si="14"/>
        <v>0</v>
      </c>
      <c r="AG96" s="175">
        <f t="shared" si="14"/>
        <v>0</v>
      </c>
      <c r="AH96" s="175">
        <f t="shared" si="14"/>
        <v>0</v>
      </c>
      <c r="AI96" s="175">
        <f t="shared" si="14"/>
        <v>0</v>
      </c>
      <c r="AJ96" s="175">
        <f t="shared" si="14"/>
        <v>0</v>
      </c>
      <c r="AK96" s="175">
        <f t="shared" si="14"/>
        <v>0</v>
      </c>
      <c r="AL96" s="175">
        <f t="shared" si="14"/>
        <v>0</v>
      </c>
      <c r="AM96" s="175">
        <f t="shared" si="14"/>
        <v>0</v>
      </c>
      <c r="AN96" s="175">
        <f t="shared" si="14"/>
        <v>0</v>
      </c>
      <c r="AO96" s="175">
        <f t="shared" si="14"/>
        <v>0</v>
      </c>
      <c r="AP96" s="175">
        <f t="shared" si="14"/>
        <v>0</v>
      </c>
      <c r="AQ96" s="175">
        <f t="shared" si="14"/>
        <v>0</v>
      </c>
      <c r="AR96" s="175">
        <f t="shared" si="14"/>
        <v>0</v>
      </c>
      <c r="AS96" s="175">
        <f t="shared" si="14"/>
        <v>0</v>
      </c>
      <c r="AT96" s="175">
        <f t="shared" si="14"/>
        <v>0</v>
      </c>
      <c r="AU96" s="175">
        <f t="shared" si="14"/>
        <v>0</v>
      </c>
      <c r="AV96" s="175">
        <f t="shared" si="14"/>
        <v>0</v>
      </c>
      <c r="AW96" s="175">
        <f t="shared" si="14"/>
        <v>0</v>
      </c>
      <c r="AX96" s="175">
        <f t="shared" si="14"/>
        <v>0</v>
      </c>
      <c r="AY96" s="175">
        <f t="shared" si="14"/>
        <v>0</v>
      </c>
      <c r="AZ96" s="175">
        <f t="shared" si="14"/>
        <v>0</v>
      </c>
      <c r="BA96" s="175">
        <f t="shared" si="14"/>
        <v>0</v>
      </c>
      <c r="BB96" s="175">
        <f t="shared" si="14"/>
        <v>0</v>
      </c>
      <c r="BC96" s="175">
        <f t="shared" si="14"/>
        <v>0</v>
      </c>
      <c r="BD96" s="175">
        <f t="shared" si="14"/>
        <v>0</v>
      </c>
      <c r="BE96" s="175">
        <f t="shared" si="14"/>
        <v>0</v>
      </c>
      <c r="BF96" s="175">
        <f t="shared" si="14"/>
        <v>0</v>
      </c>
      <c r="BG96" s="175">
        <f t="shared" si="14"/>
        <v>0</v>
      </c>
      <c r="BH96" s="175">
        <f t="shared" si="14"/>
        <v>0</v>
      </c>
      <c r="BI96" s="175">
        <f t="shared" si="14"/>
        <v>0</v>
      </c>
      <c r="BJ96" s="175">
        <f t="shared" si="14"/>
        <v>0</v>
      </c>
      <c r="BK96" s="175">
        <f t="shared" si="14"/>
        <v>0</v>
      </c>
      <c r="BL96" s="175">
        <f t="shared" si="14"/>
        <v>0</v>
      </c>
      <c r="BM96" s="175">
        <f t="shared" si="14"/>
        <v>0</v>
      </c>
      <c r="BN96" s="175">
        <f t="shared" si="14"/>
        <v>0</v>
      </c>
      <c r="BO96" s="175">
        <f t="shared" si="14"/>
        <v>0</v>
      </c>
      <c r="BP96" s="175">
        <f t="shared" si="14"/>
        <v>0</v>
      </c>
      <c r="BQ96" s="175">
        <f t="shared" si="14"/>
        <v>0</v>
      </c>
      <c r="BR96" s="175">
        <f t="shared" si="14"/>
        <v>0</v>
      </c>
      <c r="BS96" s="175">
        <f t="shared" si="14"/>
        <v>0</v>
      </c>
      <c r="BT96" s="175">
        <f t="shared" si="14"/>
        <v>0</v>
      </c>
      <c r="BU96" s="175">
        <f t="shared" si="14"/>
        <v>0</v>
      </c>
      <c r="BV96" s="175">
        <f t="shared" si="14"/>
        <v>0</v>
      </c>
      <c r="BW96" s="175">
        <f t="shared" si="14"/>
        <v>0</v>
      </c>
      <c r="BX96" s="175">
        <f t="shared" si="14"/>
        <v>0</v>
      </c>
      <c r="BY96" s="175">
        <f t="shared" si="14"/>
        <v>0</v>
      </c>
      <c r="BZ96" s="175">
        <f t="shared" si="14"/>
        <v>0</v>
      </c>
      <c r="CA96" s="175">
        <f t="shared" si="14"/>
        <v>0</v>
      </c>
      <c r="CB96" s="175">
        <f t="shared" si="14"/>
        <v>0</v>
      </c>
      <c r="CC96" s="175">
        <f t="shared" si="14"/>
        <v>0</v>
      </c>
      <c r="CD96" s="175">
        <f t="shared" si="14"/>
        <v>0</v>
      </c>
      <c r="CE96" s="175">
        <f t="shared" si="14"/>
        <v>0</v>
      </c>
      <c r="CF96" s="175">
        <f t="shared" si="14"/>
        <v>0</v>
      </c>
      <c r="CG96" s="175">
        <f t="shared" si="14"/>
        <v>0</v>
      </c>
      <c r="CH96" s="175">
        <f t="shared" si="14"/>
        <v>0</v>
      </c>
      <c r="CI96" s="175">
        <f t="shared" si="14"/>
        <v>0</v>
      </c>
      <c r="CJ96" s="175">
        <f t="shared" si="14"/>
        <v>0</v>
      </c>
      <c r="CK96" s="175">
        <f t="shared" si="14"/>
        <v>0</v>
      </c>
      <c r="CL96" s="175">
        <f t="shared" si="14"/>
        <v>0</v>
      </c>
      <c r="CM96" s="175">
        <f t="shared" si="14"/>
        <v>0</v>
      </c>
      <c r="CN96" s="175">
        <f t="shared" si="14"/>
        <v>0</v>
      </c>
      <c r="CO96" s="175">
        <f t="shared" si="14"/>
        <v>0</v>
      </c>
      <c r="CP96" s="175">
        <f t="shared" si="14"/>
        <v>0</v>
      </c>
      <c r="CQ96" s="175">
        <f t="shared" si="14"/>
        <v>0</v>
      </c>
      <c r="CR96" s="175">
        <f t="shared" si="14"/>
        <v>0</v>
      </c>
      <c r="CS96" s="175">
        <f t="shared" si="14"/>
        <v>0</v>
      </c>
      <c r="CT96" s="175">
        <f t="shared" si="14"/>
        <v>0</v>
      </c>
      <c r="CU96" s="175">
        <f t="shared" si="14"/>
        <v>0</v>
      </c>
      <c r="CV96" s="175">
        <f t="shared" si="14"/>
        <v>0</v>
      </c>
      <c r="CW96" s="175">
        <f t="shared" si="14"/>
        <v>0</v>
      </c>
      <c r="CX96" s="175">
        <f t="shared" si="14"/>
        <v>0</v>
      </c>
      <c r="CY96" s="175">
        <f t="shared" si="14"/>
        <v>0</v>
      </c>
      <c r="CZ96" s="175">
        <f t="shared" si="14"/>
        <v>0</v>
      </c>
      <c r="DA96" s="175">
        <f t="shared" si="14"/>
        <v>0</v>
      </c>
      <c r="DB96" s="175">
        <f t="shared" si="14"/>
        <v>0</v>
      </c>
      <c r="DC96" s="175">
        <f t="shared" si="14"/>
        <v>0</v>
      </c>
      <c r="DD96" s="175">
        <f t="shared" si="14"/>
        <v>0</v>
      </c>
      <c r="DE96" s="175">
        <f t="shared" si="14"/>
        <v>0</v>
      </c>
      <c r="DF96" s="175">
        <f t="shared" si="14"/>
        <v>0</v>
      </c>
      <c r="DG96" s="175">
        <f t="shared" si="14"/>
        <v>0</v>
      </c>
      <c r="DH96" s="175">
        <f t="shared" si="14"/>
        <v>0</v>
      </c>
      <c r="DI96" s="175">
        <f t="shared" si="14"/>
        <v>0</v>
      </c>
      <c r="DJ96" s="175">
        <f t="shared" si="14"/>
        <v>0</v>
      </c>
      <c r="DK96" s="175">
        <f t="shared" si="14"/>
        <v>0</v>
      </c>
      <c r="DL96" s="175">
        <f t="shared" si="14"/>
        <v>0</v>
      </c>
      <c r="DM96" s="175">
        <f t="shared" si="14"/>
        <v>0</v>
      </c>
      <c r="DN96" s="175">
        <f t="shared" si="14"/>
        <v>0</v>
      </c>
      <c r="DO96" s="175">
        <f t="shared" si="14"/>
        <v>0</v>
      </c>
      <c r="DP96" s="175">
        <f t="shared" si="14"/>
        <v>0</v>
      </c>
      <c r="DQ96" s="175">
        <f t="shared" si="14"/>
        <v>0</v>
      </c>
      <c r="DR96" s="175">
        <f t="shared" si="14"/>
        <v>0</v>
      </c>
      <c r="DS96" s="54"/>
    </row>
    <row r="97" ht="15.0" customHeight="1">
      <c r="A97" s="54"/>
      <c r="B97" s="56" t="str">
        <f>"  Capital Partner ("&amp;TEXT(Inputs!C107,"0.0%")&amp;")"</f>
        <v>  Capital Partner (-11.4%)</v>
      </c>
      <c r="C97" s="153">
        <f>C96*Inputs!$C$107</f>
        <v>0</v>
      </c>
      <c r="D97" s="153">
        <f>D96*Inputs!$C$107</f>
        <v>0</v>
      </c>
      <c r="E97" s="153">
        <f>E96*Inputs!$C$107</f>
        <v>0</v>
      </c>
      <c r="F97" s="153">
        <f>F96*Inputs!$C$107</f>
        <v>0</v>
      </c>
      <c r="G97" s="153">
        <f>G96*Inputs!$C$107</f>
        <v>0</v>
      </c>
      <c r="H97" s="153">
        <f>H96*Inputs!$C$107</f>
        <v>0</v>
      </c>
      <c r="I97" s="153">
        <f>I96*Inputs!$C$107</f>
        <v>0</v>
      </c>
      <c r="J97" s="153">
        <f>J96*Inputs!$C$107</f>
        <v>0</v>
      </c>
      <c r="K97" s="153">
        <f>K96*Inputs!$C$107</f>
        <v>0</v>
      </c>
      <c r="L97" s="153">
        <f>L96*Inputs!$C$107</f>
        <v>0</v>
      </c>
      <c r="M97" s="153">
        <f>M96*Inputs!$C$107</f>
        <v>0</v>
      </c>
      <c r="N97" s="153">
        <f>N96*Inputs!$C$107</f>
        <v>0</v>
      </c>
      <c r="O97" s="153">
        <f>O96*Inputs!$C$107</f>
        <v>0</v>
      </c>
      <c r="P97" s="153">
        <f>P96*Inputs!$C$107</f>
        <v>0</v>
      </c>
      <c r="Q97" s="153">
        <f>Q96*Inputs!$C$107</f>
        <v>0</v>
      </c>
      <c r="R97" s="153">
        <f>R96*Inputs!$C$107</f>
        <v>0</v>
      </c>
      <c r="S97" s="153">
        <f>S96*Inputs!$C$107</f>
        <v>0</v>
      </c>
      <c r="T97" s="153">
        <f>T96*Inputs!$C$107</f>
        <v>0</v>
      </c>
      <c r="U97" s="153">
        <f>U96*Inputs!$C$107</f>
        <v>0</v>
      </c>
      <c r="V97" s="153">
        <f>V96*Inputs!$C$107</f>
        <v>0</v>
      </c>
      <c r="W97" s="153">
        <f>W96*Inputs!$C$107</f>
        <v>0</v>
      </c>
      <c r="X97" s="153">
        <f>X96*Inputs!$C$107</f>
        <v>0</v>
      </c>
      <c r="Y97" s="153">
        <f>Y96*Inputs!$C$107</f>
        <v>0</v>
      </c>
      <c r="Z97" s="153">
        <f>Z96*Inputs!$C$107</f>
        <v>0</v>
      </c>
      <c r="AA97" s="153">
        <f>AA96*Inputs!$C$107</f>
        <v>0</v>
      </c>
      <c r="AB97" s="153">
        <f>AB96*Inputs!$C$107</f>
        <v>0</v>
      </c>
      <c r="AC97" s="153">
        <f>AC96*Inputs!$C$107</f>
        <v>0</v>
      </c>
      <c r="AD97" s="153">
        <f>AD96*Inputs!$C$107</f>
        <v>0</v>
      </c>
      <c r="AE97" s="153">
        <f>AE96*Inputs!$C$107</f>
        <v>0</v>
      </c>
      <c r="AF97" s="153">
        <f>AF96*Inputs!$C$107</f>
        <v>0</v>
      </c>
      <c r="AG97" s="153">
        <f>AG96*Inputs!$C$107</f>
        <v>0</v>
      </c>
      <c r="AH97" s="153">
        <f>AH96*Inputs!$C$107</f>
        <v>0</v>
      </c>
      <c r="AI97" s="153">
        <f>AI96*Inputs!$C$107</f>
        <v>0</v>
      </c>
      <c r="AJ97" s="153">
        <f>AJ96*Inputs!$C$107</f>
        <v>0</v>
      </c>
      <c r="AK97" s="153">
        <f>AK96*Inputs!$C$107</f>
        <v>0</v>
      </c>
      <c r="AL97" s="153">
        <f>AL96*Inputs!$C$107</f>
        <v>0</v>
      </c>
      <c r="AM97" s="153">
        <f>AM96*Inputs!$C$107</f>
        <v>0</v>
      </c>
      <c r="AN97" s="153">
        <f>AN96*Inputs!$C$107</f>
        <v>0</v>
      </c>
      <c r="AO97" s="153">
        <f>AO96*Inputs!$C$107</f>
        <v>0</v>
      </c>
      <c r="AP97" s="153">
        <f>AP96*Inputs!$C$107</f>
        <v>0</v>
      </c>
      <c r="AQ97" s="153">
        <f>AQ96*Inputs!$C$107</f>
        <v>0</v>
      </c>
      <c r="AR97" s="153">
        <f>AR96*Inputs!$C$107</f>
        <v>0</v>
      </c>
      <c r="AS97" s="153">
        <f>AS96*Inputs!$C$107</f>
        <v>0</v>
      </c>
      <c r="AT97" s="153">
        <f>AT96*Inputs!$C$107</f>
        <v>0</v>
      </c>
      <c r="AU97" s="153">
        <f>AU96*Inputs!$C$107</f>
        <v>0</v>
      </c>
      <c r="AV97" s="153">
        <f>AV96*Inputs!$C$107</f>
        <v>0</v>
      </c>
      <c r="AW97" s="153">
        <f>AW96*Inputs!$C$107</f>
        <v>0</v>
      </c>
      <c r="AX97" s="153">
        <f>AX96*Inputs!$C$107</f>
        <v>0</v>
      </c>
      <c r="AY97" s="153">
        <f>AY96*Inputs!$C$107</f>
        <v>0</v>
      </c>
      <c r="AZ97" s="153">
        <f>AZ96*Inputs!$C$107</f>
        <v>0</v>
      </c>
      <c r="BA97" s="153">
        <f>BA96*Inputs!$C$107</f>
        <v>0</v>
      </c>
      <c r="BB97" s="153">
        <f>BB96*Inputs!$C$107</f>
        <v>0</v>
      </c>
      <c r="BC97" s="153">
        <f>BC96*Inputs!$C$107</f>
        <v>0</v>
      </c>
      <c r="BD97" s="153">
        <f>BD96*Inputs!$C$107</f>
        <v>0</v>
      </c>
      <c r="BE97" s="153">
        <f>BE96*Inputs!$C$107</f>
        <v>0</v>
      </c>
      <c r="BF97" s="153">
        <f>BF96*Inputs!$C$107</f>
        <v>0</v>
      </c>
      <c r="BG97" s="153">
        <f>BG96*Inputs!$C$107</f>
        <v>0</v>
      </c>
      <c r="BH97" s="153">
        <f>BH96*Inputs!$C$107</f>
        <v>0</v>
      </c>
      <c r="BI97" s="153">
        <f>BI96*Inputs!$C$107</f>
        <v>0</v>
      </c>
      <c r="BJ97" s="153">
        <f>BJ96*Inputs!$C$107</f>
        <v>0</v>
      </c>
      <c r="BK97" s="153">
        <f>BK96*Inputs!$C$107</f>
        <v>0</v>
      </c>
      <c r="BL97" s="153">
        <f>BL96*Inputs!$C$107</f>
        <v>0</v>
      </c>
      <c r="BM97" s="153">
        <f>BM96*Inputs!$C$107</f>
        <v>0</v>
      </c>
      <c r="BN97" s="153">
        <f>BN96*Inputs!$C$107</f>
        <v>0</v>
      </c>
      <c r="BO97" s="153">
        <f>BO96*Inputs!$C$107</f>
        <v>0</v>
      </c>
      <c r="BP97" s="153">
        <f>BP96*Inputs!$C$107</f>
        <v>0</v>
      </c>
      <c r="BQ97" s="153">
        <f>BQ96*Inputs!$C$107</f>
        <v>0</v>
      </c>
      <c r="BR97" s="153">
        <f>BR96*Inputs!$C$107</f>
        <v>0</v>
      </c>
      <c r="BS97" s="153">
        <f>BS96*Inputs!$C$107</f>
        <v>0</v>
      </c>
      <c r="BT97" s="153">
        <f>BT96*Inputs!$C$107</f>
        <v>0</v>
      </c>
      <c r="BU97" s="153">
        <f>BU96*Inputs!$C$107</f>
        <v>0</v>
      </c>
      <c r="BV97" s="153">
        <f>BV96*Inputs!$C$107</f>
        <v>0</v>
      </c>
      <c r="BW97" s="153">
        <f>BW96*Inputs!$C$107</f>
        <v>0</v>
      </c>
      <c r="BX97" s="153">
        <f>BX96*Inputs!$C$107</f>
        <v>0</v>
      </c>
      <c r="BY97" s="153">
        <f>BY96*Inputs!$C$107</f>
        <v>0</v>
      </c>
      <c r="BZ97" s="153">
        <f>BZ96*Inputs!$C$107</f>
        <v>0</v>
      </c>
      <c r="CA97" s="153">
        <f>CA96*Inputs!$C$107</f>
        <v>0</v>
      </c>
      <c r="CB97" s="153">
        <f>CB96*Inputs!$C$107</f>
        <v>0</v>
      </c>
      <c r="CC97" s="153">
        <f>CC96*Inputs!$C$107</f>
        <v>0</v>
      </c>
      <c r="CD97" s="153">
        <f>CD96*Inputs!$C$107</f>
        <v>0</v>
      </c>
      <c r="CE97" s="153">
        <f>CE96*Inputs!$C$107</f>
        <v>0</v>
      </c>
      <c r="CF97" s="153">
        <f>CF96*Inputs!$C$107</f>
        <v>0</v>
      </c>
      <c r="CG97" s="153">
        <f>CG96*Inputs!$C$107</f>
        <v>0</v>
      </c>
      <c r="CH97" s="153">
        <f>CH96*Inputs!$C$107</f>
        <v>0</v>
      </c>
      <c r="CI97" s="153">
        <f>CI96*Inputs!$C$107</f>
        <v>0</v>
      </c>
      <c r="CJ97" s="153">
        <f>CJ96*Inputs!$C$107</f>
        <v>0</v>
      </c>
      <c r="CK97" s="153">
        <f>CK96*Inputs!$C$107</f>
        <v>0</v>
      </c>
      <c r="CL97" s="153">
        <f>CL96*Inputs!$C$107</f>
        <v>0</v>
      </c>
      <c r="CM97" s="153">
        <f>CM96*Inputs!$C$107</f>
        <v>0</v>
      </c>
      <c r="CN97" s="153">
        <f>CN96*Inputs!$C$107</f>
        <v>0</v>
      </c>
      <c r="CO97" s="153">
        <f>CO96*Inputs!$C$107</f>
        <v>0</v>
      </c>
      <c r="CP97" s="153">
        <f>CP96*Inputs!$C$107</f>
        <v>0</v>
      </c>
      <c r="CQ97" s="153">
        <f>CQ96*Inputs!$C$107</f>
        <v>0</v>
      </c>
      <c r="CR97" s="153">
        <f>CR96*Inputs!$C$107</f>
        <v>0</v>
      </c>
      <c r="CS97" s="153">
        <f>CS96*Inputs!$C$107</f>
        <v>0</v>
      </c>
      <c r="CT97" s="153">
        <f>CT96*Inputs!$C$107</f>
        <v>0</v>
      </c>
      <c r="CU97" s="153">
        <f>CU96*Inputs!$C$107</f>
        <v>0</v>
      </c>
      <c r="CV97" s="153">
        <f>CV96*Inputs!$C$107</f>
        <v>0</v>
      </c>
      <c r="CW97" s="153">
        <f>CW96*Inputs!$C$107</f>
        <v>0</v>
      </c>
      <c r="CX97" s="153">
        <f>CX96*Inputs!$C$107</f>
        <v>0</v>
      </c>
      <c r="CY97" s="153">
        <f>CY96*Inputs!$C$107</f>
        <v>0</v>
      </c>
      <c r="CZ97" s="153">
        <f>CZ96*Inputs!$C$107</f>
        <v>0</v>
      </c>
      <c r="DA97" s="153">
        <f>DA96*Inputs!$C$107</f>
        <v>0</v>
      </c>
      <c r="DB97" s="153">
        <f>DB96*Inputs!$C$107</f>
        <v>0</v>
      </c>
      <c r="DC97" s="153">
        <f>DC96*Inputs!$C$107</f>
        <v>0</v>
      </c>
      <c r="DD97" s="153">
        <f>DD96*Inputs!$C$107</f>
        <v>0</v>
      </c>
      <c r="DE97" s="153">
        <f>DE96*Inputs!$C$107</f>
        <v>0</v>
      </c>
      <c r="DF97" s="153">
        <f>DF96*Inputs!$C$107</f>
        <v>0</v>
      </c>
      <c r="DG97" s="153">
        <f>DG96*Inputs!$C$107</f>
        <v>0</v>
      </c>
      <c r="DH97" s="153">
        <f>DH96*Inputs!$C$107</f>
        <v>0</v>
      </c>
      <c r="DI97" s="153">
        <f>DI96*Inputs!$C$107</f>
        <v>0</v>
      </c>
      <c r="DJ97" s="153">
        <f>DJ96*Inputs!$C$107</f>
        <v>0</v>
      </c>
      <c r="DK97" s="153">
        <f>DK96*Inputs!$C$107</f>
        <v>0</v>
      </c>
      <c r="DL97" s="153">
        <f>DL96*Inputs!$C$107</f>
        <v>0</v>
      </c>
      <c r="DM97" s="153">
        <f>DM96*Inputs!$C$107</f>
        <v>0</v>
      </c>
      <c r="DN97" s="153">
        <f>DN96*Inputs!$C$107</f>
        <v>0</v>
      </c>
      <c r="DO97" s="153">
        <f>DO96*Inputs!$C$107</f>
        <v>0</v>
      </c>
      <c r="DP97" s="153">
        <f>DP96*Inputs!$C$107</f>
        <v>0</v>
      </c>
      <c r="DQ97" s="153">
        <f>DQ96*Inputs!$C$107</f>
        <v>0</v>
      </c>
      <c r="DR97" s="153">
        <f>DR96*Inputs!$C$107</f>
        <v>0</v>
      </c>
      <c r="DS97" s="54"/>
    </row>
    <row r="98" ht="15.0" customHeight="1">
      <c r="A98" s="54"/>
      <c r="B98" s="56" t="s">
        <v>344</v>
      </c>
      <c r="C98" s="153">
        <f>IF(C$3=Inputs!$C$15*12,Inputs!$C$105,0)</f>
        <v>0</v>
      </c>
      <c r="D98" s="153">
        <f>IF(D$3=Inputs!$C$15*12,Inputs!$C$105,0)</f>
        <v>0</v>
      </c>
      <c r="E98" s="153">
        <f>IF(E$3=Inputs!$C$15*12,Inputs!$C$105,0)</f>
        <v>0</v>
      </c>
      <c r="F98" s="153">
        <f>IF(F$3=Inputs!$C$15*12,Inputs!$C$105,0)</f>
        <v>0</v>
      </c>
      <c r="G98" s="153">
        <f>IF(G$3=Inputs!$C$15*12,Inputs!$C$105,0)</f>
        <v>0</v>
      </c>
      <c r="H98" s="153">
        <f>IF(H$3=Inputs!$C$15*12,Inputs!$C$105,0)</f>
        <v>0</v>
      </c>
      <c r="I98" s="153">
        <f>IF(I$3=Inputs!$C$15*12,Inputs!$C$105,0)</f>
        <v>0</v>
      </c>
      <c r="J98" s="153">
        <f>IF(J$3=Inputs!$C$15*12,Inputs!$C$105,0)</f>
        <v>0</v>
      </c>
      <c r="K98" s="153">
        <f>IF(K$3=Inputs!$C$15*12,Inputs!$C$105,0)</f>
        <v>0</v>
      </c>
      <c r="L98" s="153">
        <f>IF(L$3=Inputs!$C$15*12,Inputs!$C$105,0)</f>
        <v>0</v>
      </c>
      <c r="M98" s="153">
        <f>IF(M$3=Inputs!$C$15*12,Inputs!$C$105,0)</f>
        <v>0</v>
      </c>
      <c r="N98" s="153">
        <f>IF(N$3=Inputs!$C$15*12,Inputs!$C$105,0)</f>
        <v>0</v>
      </c>
      <c r="O98" s="153">
        <f>IF(O$3=Inputs!$C$15*12,Inputs!$C$105,0)</f>
        <v>0</v>
      </c>
      <c r="P98" s="153">
        <f>IF(P$3=Inputs!$C$15*12,Inputs!$C$105,0)</f>
        <v>0</v>
      </c>
      <c r="Q98" s="153">
        <f>IF(Q$3=Inputs!$C$15*12,Inputs!$C$105,0)</f>
        <v>0</v>
      </c>
      <c r="R98" s="153">
        <f>IF(R$3=Inputs!$C$15*12,Inputs!$C$105,0)</f>
        <v>0</v>
      </c>
      <c r="S98" s="153">
        <f>IF(S$3=Inputs!$C$15*12,Inputs!$C$105,0)</f>
        <v>0</v>
      </c>
      <c r="T98" s="153">
        <f>IF(T$3=Inputs!$C$15*12,Inputs!$C$105,0)</f>
        <v>0</v>
      </c>
      <c r="U98" s="153">
        <f>IF(U$3=Inputs!$C$15*12,Inputs!$C$105,0)</f>
        <v>0</v>
      </c>
      <c r="V98" s="153">
        <f>IF(V$3=Inputs!$C$15*12,Inputs!$C$105,0)</f>
        <v>0</v>
      </c>
      <c r="W98" s="153">
        <f>IF(W$3=Inputs!$C$15*12,Inputs!$C$105,0)</f>
        <v>0</v>
      </c>
      <c r="X98" s="153">
        <f>IF(X$3=Inputs!$C$15*12,Inputs!$C$105,0)</f>
        <v>0</v>
      </c>
      <c r="Y98" s="153">
        <f>IF(Y$3=Inputs!$C$15*12,Inputs!$C$105,0)</f>
        <v>0</v>
      </c>
      <c r="Z98" s="153">
        <f>IF(Z$3=Inputs!$C$15*12,Inputs!$C$105,0)</f>
        <v>0</v>
      </c>
      <c r="AA98" s="153">
        <f>IF(AA$3=Inputs!$C$15*12,Inputs!$C$105,0)</f>
        <v>0</v>
      </c>
      <c r="AB98" s="153">
        <f>IF(AB$3=Inputs!$C$15*12,Inputs!$C$105,0)</f>
        <v>0</v>
      </c>
      <c r="AC98" s="153">
        <f>IF(AC$3=Inputs!$C$15*12,Inputs!$C$105,0)</f>
        <v>0</v>
      </c>
      <c r="AD98" s="153">
        <f>IF(AD$3=Inputs!$C$15*12,Inputs!$C$105,0)</f>
        <v>0</v>
      </c>
      <c r="AE98" s="153">
        <f>IF(AE$3=Inputs!$C$15*12,Inputs!$C$105,0)</f>
        <v>0</v>
      </c>
      <c r="AF98" s="153">
        <f>IF(AF$3=Inputs!$C$15*12,Inputs!$C$105,0)</f>
        <v>0</v>
      </c>
      <c r="AG98" s="153">
        <f>IF(AG$3=Inputs!$C$15*12,Inputs!$C$105,0)</f>
        <v>0</v>
      </c>
      <c r="AH98" s="153">
        <f>IF(AH$3=Inputs!$C$15*12,Inputs!$C$105,0)</f>
        <v>0</v>
      </c>
      <c r="AI98" s="153">
        <f>IF(AI$3=Inputs!$C$15*12,Inputs!$C$105,0)</f>
        <v>0</v>
      </c>
      <c r="AJ98" s="153">
        <f>IF(AJ$3=Inputs!$C$15*12,Inputs!$C$105,0)</f>
        <v>0</v>
      </c>
      <c r="AK98" s="153">
        <f>IF(AK$3=Inputs!$C$15*12,Inputs!$C$105,0)</f>
        <v>0</v>
      </c>
      <c r="AL98" s="153">
        <f>IF(AL$3=Inputs!$C$15*12,Inputs!$C$105,0)</f>
        <v>0</v>
      </c>
      <c r="AM98" s="153">
        <f>IF(AM$3=Inputs!$C$15*12,Inputs!$C$105,0)</f>
        <v>0</v>
      </c>
      <c r="AN98" s="153">
        <f>IF(AN$3=Inputs!$C$15*12,Inputs!$C$105,0)</f>
        <v>0</v>
      </c>
      <c r="AO98" s="153">
        <f>IF(AO$3=Inputs!$C$15*12,Inputs!$C$105,0)</f>
        <v>0</v>
      </c>
      <c r="AP98" s="153">
        <f>IF(AP$3=Inputs!$C$15*12,Inputs!$C$105,0)</f>
        <v>0</v>
      </c>
      <c r="AQ98" s="153">
        <f>IF(AQ$3=Inputs!$C$15*12,Inputs!$C$105,0)</f>
        <v>0</v>
      </c>
      <c r="AR98" s="153">
        <f>IF(AR$3=Inputs!$C$15*12,Inputs!$C$105,0)</f>
        <v>0</v>
      </c>
      <c r="AS98" s="153">
        <f>IF(AS$3=Inputs!$C$15*12,Inputs!$C$105,0)</f>
        <v>0</v>
      </c>
      <c r="AT98" s="153">
        <f>IF(AT$3=Inputs!$C$15*12,Inputs!$C$105,0)</f>
        <v>0</v>
      </c>
      <c r="AU98" s="153">
        <f>IF(AU$3=Inputs!$C$15*12,Inputs!$C$105,0)</f>
        <v>0</v>
      </c>
      <c r="AV98" s="153">
        <f>IF(AV$3=Inputs!$C$15*12,Inputs!$C$105,0)</f>
        <v>0</v>
      </c>
      <c r="AW98" s="153">
        <f>IF(AW$3=Inputs!$C$15*12,Inputs!$C$105,0)</f>
        <v>0</v>
      </c>
      <c r="AX98" s="153">
        <f>IF(AX$3=Inputs!$C$15*12,Inputs!$C$105,0)</f>
        <v>0</v>
      </c>
      <c r="AY98" s="153">
        <f>IF(AY$3=Inputs!$C$15*12,Inputs!$C$105,0)</f>
        <v>0</v>
      </c>
      <c r="AZ98" s="153">
        <f>IF(AZ$3=Inputs!$C$15*12,Inputs!$C$105,0)</f>
        <v>0</v>
      </c>
      <c r="BA98" s="153">
        <f>IF(BA$3=Inputs!$C$15*12,Inputs!$C$105,0)</f>
        <v>0</v>
      </c>
      <c r="BB98" s="153">
        <f>IF(BB$3=Inputs!$C$15*12,Inputs!$C$105,0)</f>
        <v>0</v>
      </c>
      <c r="BC98" s="153">
        <f>IF(BC$3=Inputs!$C$15*12,Inputs!$C$105,0)</f>
        <v>0</v>
      </c>
      <c r="BD98" s="153">
        <f>IF(BD$3=Inputs!$C$15*12,Inputs!$C$105,0)</f>
        <v>0</v>
      </c>
      <c r="BE98" s="153">
        <f>IF(BE$3=Inputs!$C$15*12,Inputs!$C$105,0)</f>
        <v>0</v>
      </c>
      <c r="BF98" s="153">
        <f>IF(BF$3=Inputs!$C$15*12,Inputs!$C$105,0)</f>
        <v>0</v>
      </c>
      <c r="BG98" s="153">
        <f>IF(BG$3=Inputs!$C$15*12,Inputs!$C$105,0)</f>
        <v>0</v>
      </c>
      <c r="BH98" s="153">
        <f>IF(BH$3=Inputs!$C$15*12,Inputs!$C$105,0)</f>
        <v>0</v>
      </c>
      <c r="BI98" s="153">
        <f>IF(BI$3=Inputs!$C$15*12,Inputs!$C$105,0)</f>
        <v>0</v>
      </c>
      <c r="BJ98" s="153">
        <f>IF(BJ$3=Inputs!$C$15*12,Inputs!$C$105,0)</f>
        <v>0</v>
      </c>
      <c r="BK98" s="153">
        <f>IF(BK$3=Inputs!$C$15*12,Inputs!$C$105,0)</f>
        <v>0</v>
      </c>
      <c r="BL98" s="153">
        <f>IF(BL$3=Inputs!$C$15*12,Inputs!$C$105,0)</f>
        <v>0</v>
      </c>
      <c r="BM98" s="153">
        <f>IF(BM$3=Inputs!$C$15*12,Inputs!$C$105,0)</f>
        <v>0</v>
      </c>
      <c r="BN98" s="153">
        <f>IF(BN$3=Inputs!$C$15*12,Inputs!$C$105,0)</f>
        <v>0</v>
      </c>
      <c r="BO98" s="153">
        <f>IF(BO$3=Inputs!$C$15*12,Inputs!$C$105,0)</f>
        <v>0</v>
      </c>
      <c r="BP98" s="153">
        <f>IF(BP$3=Inputs!$C$15*12,Inputs!$C$105,0)</f>
        <v>0</v>
      </c>
      <c r="BQ98" s="153">
        <f>IF(BQ$3=Inputs!$C$15*12,Inputs!$C$105,0)</f>
        <v>0</v>
      </c>
      <c r="BR98" s="153">
        <f>IF(BR$3=Inputs!$C$15*12,Inputs!$C$105,0)</f>
        <v>0</v>
      </c>
      <c r="BS98" s="153">
        <f>IF(BS$3=Inputs!$C$15*12,Inputs!$C$105,0)</f>
        <v>0</v>
      </c>
      <c r="BT98" s="153">
        <f>IF(BT$3=Inputs!$C$15*12,Inputs!$C$105,0)</f>
        <v>0</v>
      </c>
      <c r="BU98" s="153">
        <f>IF(BU$3=Inputs!$C$15*12,Inputs!$C$105,0)</f>
        <v>0</v>
      </c>
      <c r="BV98" s="153">
        <f>IF(BV$3=Inputs!$C$15*12,Inputs!$C$105,0)</f>
        <v>0</v>
      </c>
      <c r="BW98" s="153">
        <f>IF(BW$3=Inputs!$C$15*12,Inputs!$C$105,0)</f>
        <v>0</v>
      </c>
      <c r="BX98" s="153">
        <f>IF(BX$3=Inputs!$C$15*12,Inputs!$C$105,0)</f>
        <v>0</v>
      </c>
      <c r="BY98" s="153">
        <f>IF(BY$3=Inputs!$C$15*12,Inputs!$C$105,0)</f>
        <v>0</v>
      </c>
      <c r="BZ98" s="153">
        <f>IF(BZ$3=Inputs!$C$15*12,Inputs!$C$105,0)</f>
        <v>0</v>
      </c>
      <c r="CA98" s="153">
        <f>IF(CA$3=Inputs!$C$15*12,Inputs!$C$105,0)</f>
        <v>0</v>
      </c>
      <c r="CB98" s="153">
        <f>IF(CB$3=Inputs!$C$15*12,Inputs!$C$105,0)</f>
        <v>0</v>
      </c>
      <c r="CC98" s="153">
        <f>IF(CC$3=Inputs!$C$15*12,Inputs!$C$105,0)</f>
        <v>0</v>
      </c>
      <c r="CD98" s="153">
        <f>IF(CD$3=Inputs!$C$15*12,Inputs!$C$105,0)</f>
        <v>0</v>
      </c>
      <c r="CE98" s="153">
        <f>IF(CE$3=Inputs!$C$15*12,Inputs!$C$105,0)</f>
        <v>0</v>
      </c>
      <c r="CF98" s="153">
        <f>IF(CF$3=Inputs!$C$15*12,Inputs!$C$105,0)</f>
        <v>0</v>
      </c>
      <c r="CG98" s="153">
        <f>IF(CG$3=Inputs!$C$15*12,Inputs!$C$105,0)</f>
        <v>0</v>
      </c>
      <c r="CH98" s="153">
        <f>IF(CH$3=Inputs!$C$15*12,Inputs!$C$105,0)</f>
        <v>0</v>
      </c>
      <c r="CI98" s="153">
        <f>IF(CI$3=Inputs!$C$15*12,Inputs!$C$105,0)</f>
        <v>0</v>
      </c>
      <c r="CJ98" s="153">
        <f>IF(CJ$3=Inputs!$C$15*12,Inputs!$C$105,0)</f>
        <v>0</v>
      </c>
      <c r="CK98" s="153">
        <f>IF(CK$3=Inputs!$C$15*12,Inputs!$C$105,0)</f>
        <v>0</v>
      </c>
      <c r="CL98" s="153">
        <f>IF(CL$3=Inputs!$C$15*12,Inputs!$C$105,0)</f>
        <v>0</v>
      </c>
      <c r="CM98" s="153">
        <f>IF(CM$3=Inputs!$C$15*12,Inputs!$C$105,0)</f>
        <v>0</v>
      </c>
      <c r="CN98" s="153">
        <f>IF(CN$3=Inputs!$C$15*12,Inputs!$C$105,0)</f>
        <v>0</v>
      </c>
      <c r="CO98" s="153">
        <f>IF(CO$3=Inputs!$C$15*12,Inputs!$C$105,0)</f>
        <v>0</v>
      </c>
      <c r="CP98" s="153">
        <f>IF(CP$3=Inputs!$C$15*12,Inputs!$C$105,0)</f>
        <v>0</v>
      </c>
      <c r="CQ98" s="153">
        <f>IF(CQ$3=Inputs!$C$15*12,Inputs!$C$105,0)</f>
        <v>0</v>
      </c>
      <c r="CR98" s="153">
        <f>IF(CR$3=Inputs!$C$15*12,Inputs!$C$105,0)</f>
        <v>0</v>
      </c>
      <c r="CS98" s="153">
        <f>IF(CS$3=Inputs!$C$15*12,Inputs!$C$105,0)</f>
        <v>0</v>
      </c>
      <c r="CT98" s="153">
        <f>IF(CT$3=Inputs!$C$15*12,Inputs!$C$105,0)</f>
        <v>0</v>
      </c>
      <c r="CU98" s="153">
        <f>IF(CU$3=Inputs!$C$15*12,Inputs!$C$105,0)</f>
        <v>0</v>
      </c>
      <c r="CV98" s="153">
        <f>IF(CV$3=Inputs!$C$15*12,Inputs!$C$105,0)</f>
        <v>0</v>
      </c>
      <c r="CW98" s="153">
        <f>IF(CW$3=Inputs!$C$15*12,Inputs!$C$105,0)</f>
        <v>0</v>
      </c>
      <c r="CX98" s="153">
        <f>IF(CX$3=Inputs!$C$15*12,Inputs!$C$105,0)</f>
        <v>0</v>
      </c>
      <c r="CY98" s="153">
        <f>IF(CY$3=Inputs!$C$15*12,Inputs!$C$105,0)</f>
        <v>0</v>
      </c>
      <c r="CZ98" s="153">
        <f>IF(CZ$3=Inputs!$C$15*12,Inputs!$C$105,0)</f>
        <v>0</v>
      </c>
      <c r="DA98" s="153">
        <f>IF(DA$3=Inputs!$C$15*12,Inputs!$C$105,0)</f>
        <v>0</v>
      </c>
      <c r="DB98" s="153">
        <f>IF(DB$3=Inputs!$C$15*12,Inputs!$C$105,0)</f>
        <v>0</v>
      </c>
      <c r="DC98" s="153">
        <f>IF(DC$3=Inputs!$C$15*12,Inputs!$C$105,0)</f>
        <v>0</v>
      </c>
      <c r="DD98" s="153">
        <f>IF(DD$3=Inputs!$C$15*12,Inputs!$C$105,0)</f>
        <v>0</v>
      </c>
      <c r="DE98" s="153">
        <f>IF(DE$3=Inputs!$C$15*12,Inputs!$C$105,0)</f>
        <v>0</v>
      </c>
      <c r="DF98" s="153">
        <f>IF(DF$3=Inputs!$C$15*12,Inputs!$C$105,0)</f>
        <v>0</v>
      </c>
      <c r="DG98" s="153">
        <f>IF(DG$3=Inputs!$C$15*12,Inputs!$C$105,0)</f>
        <v>0</v>
      </c>
      <c r="DH98" s="153">
        <f>IF(DH$3=Inputs!$C$15*12,Inputs!$C$105,0)</f>
        <v>0</v>
      </c>
      <c r="DI98" s="153">
        <f>IF(DI$3=Inputs!$C$15*12,Inputs!$C$105,0)</f>
        <v>0</v>
      </c>
      <c r="DJ98" s="153">
        <f>IF(DJ$3=Inputs!$C$15*12,Inputs!$C$105,0)</f>
        <v>0</v>
      </c>
      <c r="DK98" s="153">
        <f>IF(DK$3=Inputs!$C$15*12,Inputs!$C$105,0)</f>
        <v>0</v>
      </c>
      <c r="DL98" s="153">
        <f>IF(DL$3=Inputs!$C$15*12,Inputs!$C$105,0)</f>
        <v>0</v>
      </c>
      <c r="DM98" s="153">
        <f>IF(DM$3=Inputs!$C$15*12,Inputs!$C$105,0)</f>
        <v>0</v>
      </c>
      <c r="DN98" s="153">
        <f>IF(DN$3=Inputs!$C$15*12,Inputs!$C$105,0)</f>
        <v>0</v>
      </c>
      <c r="DO98" s="153">
        <f>IF(DO$3=Inputs!$C$15*12,Inputs!$C$105,0)</f>
        <v>0</v>
      </c>
      <c r="DP98" s="153">
        <f>IF(DP$3=Inputs!$C$15*12,Inputs!$C$105,0)</f>
        <v>0</v>
      </c>
      <c r="DQ98" s="153">
        <f>IF(DQ$3=Inputs!$C$15*12,Inputs!$C$105,0)</f>
        <v>0</v>
      </c>
      <c r="DR98" s="153">
        <f>IF(DR$3=Inputs!$C$15*12,Inputs!$C$105,0)</f>
        <v>85000</v>
      </c>
      <c r="DS98" s="54"/>
    </row>
    <row r="99" ht="15.0" customHeight="1">
      <c r="A99" s="54"/>
      <c r="B99" s="56" t="str">
        <f>"  Manager ("&amp;TEXT(Inputs!C108,"0.0%")&amp;")"</f>
        <v>  Manager (111.4%)</v>
      </c>
      <c r="C99" s="153">
        <f>C96*Inputs!$C$108</f>
        <v>0</v>
      </c>
      <c r="D99" s="153">
        <f>D96*Inputs!$C$108</f>
        <v>0</v>
      </c>
      <c r="E99" s="153">
        <f>E96*Inputs!$C$108</f>
        <v>0</v>
      </c>
      <c r="F99" s="153">
        <f>F96*Inputs!$C$108</f>
        <v>0</v>
      </c>
      <c r="G99" s="153">
        <f>G96*Inputs!$C$108</f>
        <v>0</v>
      </c>
      <c r="H99" s="153">
        <f>H96*Inputs!$C$108</f>
        <v>0</v>
      </c>
      <c r="I99" s="153">
        <f>I96*Inputs!$C$108</f>
        <v>0</v>
      </c>
      <c r="J99" s="153">
        <f>J96*Inputs!$C$108</f>
        <v>0</v>
      </c>
      <c r="K99" s="153">
        <f>K96*Inputs!$C$108</f>
        <v>0</v>
      </c>
      <c r="L99" s="153">
        <f>L96*Inputs!$C$108</f>
        <v>0</v>
      </c>
      <c r="M99" s="153">
        <f>M96*Inputs!$C$108</f>
        <v>0</v>
      </c>
      <c r="N99" s="153">
        <f>N96*Inputs!$C$108</f>
        <v>0</v>
      </c>
      <c r="O99" s="153">
        <f>O96*Inputs!$C$108</f>
        <v>0</v>
      </c>
      <c r="P99" s="153">
        <f>P96*Inputs!$C$108</f>
        <v>0</v>
      </c>
      <c r="Q99" s="153">
        <f>Q96*Inputs!$C$108</f>
        <v>0</v>
      </c>
      <c r="R99" s="153">
        <f>R96*Inputs!$C$108</f>
        <v>0</v>
      </c>
      <c r="S99" s="153">
        <f>S96*Inputs!$C$108</f>
        <v>0</v>
      </c>
      <c r="T99" s="153">
        <f>T96*Inputs!$C$108</f>
        <v>0</v>
      </c>
      <c r="U99" s="153">
        <f>U96*Inputs!$C$108</f>
        <v>0</v>
      </c>
      <c r="V99" s="153">
        <f>V96*Inputs!$C$108</f>
        <v>0</v>
      </c>
      <c r="W99" s="153">
        <f>W96*Inputs!$C$108</f>
        <v>0</v>
      </c>
      <c r="X99" s="153">
        <f>X96*Inputs!$C$108</f>
        <v>0</v>
      </c>
      <c r="Y99" s="153">
        <f>Y96*Inputs!$C$108</f>
        <v>0</v>
      </c>
      <c r="Z99" s="153">
        <f>Z96*Inputs!$C$108</f>
        <v>0</v>
      </c>
      <c r="AA99" s="153">
        <f>AA96*Inputs!$C$108</f>
        <v>0</v>
      </c>
      <c r="AB99" s="153">
        <f>AB96*Inputs!$C$108</f>
        <v>0</v>
      </c>
      <c r="AC99" s="153">
        <f>AC96*Inputs!$C$108</f>
        <v>0</v>
      </c>
      <c r="AD99" s="153">
        <f>AD96*Inputs!$C$108</f>
        <v>0</v>
      </c>
      <c r="AE99" s="153">
        <f>AE96*Inputs!$C$108</f>
        <v>0</v>
      </c>
      <c r="AF99" s="153">
        <f>AF96*Inputs!$C$108</f>
        <v>0</v>
      </c>
      <c r="AG99" s="153">
        <f>AG96*Inputs!$C$108</f>
        <v>0</v>
      </c>
      <c r="AH99" s="153">
        <f>AH96*Inputs!$C$108</f>
        <v>0</v>
      </c>
      <c r="AI99" s="153">
        <f>AI96*Inputs!$C$108</f>
        <v>0</v>
      </c>
      <c r="AJ99" s="153">
        <f>AJ96*Inputs!$C$108</f>
        <v>0</v>
      </c>
      <c r="AK99" s="153">
        <f>AK96*Inputs!$C$108</f>
        <v>0</v>
      </c>
      <c r="AL99" s="153">
        <f>AL96*Inputs!$C$108</f>
        <v>0</v>
      </c>
      <c r="AM99" s="153">
        <f>AM96*Inputs!$C$108</f>
        <v>0</v>
      </c>
      <c r="AN99" s="153">
        <f>AN96*Inputs!$C$108</f>
        <v>0</v>
      </c>
      <c r="AO99" s="153">
        <f>AO96*Inputs!$C$108</f>
        <v>0</v>
      </c>
      <c r="AP99" s="153">
        <f>AP96*Inputs!$C$108</f>
        <v>0</v>
      </c>
      <c r="AQ99" s="153">
        <f>AQ96*Inputs!$C$108</f>
        <v>0</v>
      </c>
      <c r="AR99" s="153">
        <f>AR96*Inputs!$C$108</f>
        <v>0</v>
      </c>
      <c r="AS99" s="153">
        <f>AS96*Inputs!$C$108</f>
        <v>0</v>
      </c>
      <c r="AT99" s="153">
        <f>AT96*Inputs!$C$108</f>
        <v>0</v>
      </c>
      <c r="AU99" s="153">
        <f>AU96*Inputs!$C$108</f>
        <v>0</v>
      </c>
      <c r="AV99" s="153">
        <f>AV96*Inputs!$C$108</f>
        <v>0</v>
      </c>
      <c r="AW99" s="153">
        <f>AW96*Inputs!$C$108</f>
        <v>0</v>
      </c>
      <c r="AX99" s="153">
        <f>AX96*Inputs!$C$108</f>
        <v>0</v>
      </c>
      <c r="AY99" s="153">
        <f>AY96*Inputs!$C$108</f>
        <v>0</v>
      </c>
      <c r="AZ99" s="153">
        <f>AZ96*Inputs!$C$108</f>
        <v>0</v>
      </c>
      <c r="BA99" s="153">
        <f>BA96*Inputs!$C$108</f>
        <v>0</v>
      </c>
      <c r="BB99" s="153">
        <f>BB96*Inputs!$C$108</f>
        <v>0</v>
      </c>
      <c r="BC99" s="153">
        <f>BC96*Inputs!$C$108</f>
        <v>0</v>
      </c>
      <c r="BD99" s="153">
        <f>BD96*Inputs!$C$108</f>
        <v>0</v>
      </c>
      <c r="BE99" s="153">
        <f>BE96*Inputs!$C$108</f>
        <v>0</v>
      </c>
      <c r="BF99" s="153">
        <f>BF96*Inputs!$C$108</f>
        <v>0</v>
      </c>
      <c r="BG99" s="153">
        <f>BG96*Inputs!$C$108</f>
        <v>0</v>
      </c>
      <c r="BH99" s="153">
        <f>BH96*Inputs!$C$108</f>
        <v>0</v>
      </c>
      <c r="BI99" s="153">
        <f>BI96*Inputs!$C$108</f>
        <v>0</v>
      </c>
      <c r="BJ99" s="153">
        <f>BJ96*Inputs!$C$108</f>
        <v>0</v>
      </c>
      <c r="BK99" s="153">
        <f>BK96*Inputs!$C$108</f>
        <v>0</v>
      </c>
      <c r="BL99" s="153">
        <f>BL96*Inputs!$C$108</f>
        <v>0</v>
      </c>
      <c r="BM99" s="153">
        <f>BM96*Inputs!$C$108</f>
        <v>0</v>
      </c>
      <c r="BN99" s="153">
        <f>BN96*Inputs!$C$108</f>
        <v>0</v>
      </c>
      <c r="BO99" s="153">
        <f>BO96*Inputs!$C$108</f>
        <v>0</v>
      </c>
      <c r="BP99" s="153">
        <f>BP96*Inputs!$C$108</f>
        <v>0</v>
      </c>
      <c r="BQ99" s="153">
        <f>BQ96*Inputs!$C$108</f>
        <v>0</v>
      </c>
      <c r="BR99" s="153">
        <f>BR96*Inputs!$C$108</f>
        <v>0</v>
      </c>
      <c r="BS99" s="153">
        <f>BS96*Inputs!$C$108</f>
        <v>0</v>
      </c>
      <c r="BT99" s="153">
        <f>BT96*Inputs!$C$108</f>
        <v>0</v>
      </c>
      <c r="BU99" s="153">
        <f>BU96*Inputs!$C$108</f>
        <v>0</v>
      </c>
      <c r="BV99" s="153">
        <f>BV96*Inputs!$C$108</f>
        <v>0</v>
      </c>
      <c r="BW99" s="153">
        <f>BW96*Inputs!$C$108</f>
        <v>0</v>
      </c>
      <c r="BX99" s="153">
        <f>BX96*Inputs!$C$108</f>
        <v>0</v>
      </c>
      <c r="BY99" s="153">
        <f>BY96*Inputs!$C$108</f>
        <v>0</v>
      </c>
      <c r="BZ99" s="153">
        <f>BZ96*Inputs!$C$108</f>
        <v>0</v>
      </c>
      <c r="CA99" s="153">
        <f>CA96*Inputs!$C$108</f>
        <v>0</v>
      </c>
      <c r="CB99" s="153">
        <f>CB96*Inputs!$C$108</f>
        <v>0</v>
      </c>
      <c r="CC99" s="153">
        <f>CC96*Inputs!$C$108</f>
        <v>0</v>
      </c>
      <c r="CD99" s="153">
        <f>CD96*Inputs!$C$108</f>
        <v>0</v>
      </c>
      <c r="CE99" s="153">
        <f>CE96*Inputs!$C$108</f>
        <v>0</v>
      </c>
      <c r="CF99" s="153">
        <f>CF96*Inputs!$C$108</f>
        <v>0</v>
      </c>
      <c r="CG99" s="153">
        <f>CG96*Inputs!$C$108</f>
        <v>0</v>
      </c>
      <c r="CH99" s="153">
        <f>CH96*Inputs!$C$108</f>
        <v>0</v>
      </c>
      <c r="CI99" s="153">
        <f>CI96*Inputs!$C$108</f>
        <v>0</v>
      </c>
      <c r="CJ99" s="153">
        <f>CJ96*Inputs!$C$108</f>
        <v>0</v>
      </c>
      <c r="CK99" s="153">
        <f>CK96*Inputs!$C$108</f>
        <v>0</v>
      </c>
      <c r="CL99" s="153">
        <f>CL96*Inputs!$C$108</f>
        <v>0</v>
      </c>
      <c r="CM99" s="153">
        <f>CM96*Inputs!$C$108</f>
        <v>0</v>
      </c>
      <c r="CN99" s="153">
        <f>CN96*Inputs!$C$108</f>
        <v>0</v>
      </c>
      <c r="CO99" s="153">
        <f>CO96*Inputs!$C$108</f>
        <v>0</v>
      </c>
      <c r="CP99" s="153">
        <f>CP96*Inputs!$C$108</f>
        <v>0</v>
      </c>
      <c r="CQ99" s="153">
        <f>CQ96*Inputs!$C$108</f>
        <v>0</v>
      </c>
      <c r="CR99" s="153">
        <f>CR96*Inputs!$C$108</f>
        <v>0</v>
      </c>
      <c r="CS99" s="153">
        <f>CS96*Inputs!$C$108</f>
        <v>0</v>
      </c>
      <c r="CT99" s="153">
        <f>CT96*Inputs!$C$108</f>
        <v>0</v>
      </c>
      <c r="CU99" s="153">
        <f>CU96*Inputs!$C$108</f>
        <v>0</v>
      </c>
      <c r="CV99" s="153">
        <f>CV96*Inputs!$C$108</f>
        <v>0</v>
      </c>
      <c r="CW99" s="153">
        <f>CW96*Inputs!$C$108</f>
        <v>0</v>
      </c>
      <c r="CX99" s="153">
        <f>CX96*Inputs!$C$108</f>
        <v>0</v>
      </c>
      <c r="CY99" s="153">
        <f>CY96*Inputs!$C$108</f>
        <v>0</v>
      </c>
      <c r="CZ99" s="153">
        <f>CZ96*Inputs!$C$108</f>
        <v>0</v>
      </c>
      <c r="DA99" s="153">
        <f>DA96*Inputs!$C$108</f>
        <v>0</v>
      </c>
      <c r="DB99" s="153">
        <f>DB96*Inputs!$C$108</f>
        <v>0</v>
      </c>
      <c r="DC99" s="153">
        <f>DC96*Inputs!$C$108</f>
        <v>0</v>
      </c>
      <c r="DD99" s="153">
        <f>DD96*Inputs!$C$108</f>
        <v>0</v>
      </c>
      <c r="DE99" s="153">
        <f>DE96*Inputs!$C$108</f>
        <v>0</v>
      </c>
      <c r="DF99" s="153">
        <f>DF96*Inputs!$C$108</f>
        <v>0</v>
      </c>
      <c r="DG99" s="153">
        <f>DG96*Inputs!$C$108</f>
        <v>0</v>
      </c>
      <c r="DH99" s="153">
        <f>DH96*Inputs!$C$108</f>
        <v>0</v>
      </c>
      <c r="DI99" s="153">
        <f>DI96*Inputs!$C$108</f>
        <v>0</v>
      </c>
      <c r="DJ99" s="153">
        <f>DJ96*Inputs!$C$108</f>
        <v>0</v>
      </c>
      <c r="DK99" s="153">
        <f>DK96*Inputs!$C$108</f>
        <v>0</v>
      </c>
      <c r="DL99" s="153">
        <f>DL96*Inputs!$C$108</f>
        <v>0</v>
      </c>
      <c r="DM99" s="153">
        <f>DM96*Inputs!$C$108</f>
        <v>0</v>
      </c>
      <c r="DN99" s="153">
        <f>DN96*Inputs!$C$108</f>
        <v>0</v>
      </c>
      <c r="DO99" s="153">
        <f>DO96*Inputs!$C$108</f>
        <v>0</v>
      </c>
      <c r="DP99" s="153">
        <f>DP96*Inputs!$C$108</f>
        <v>0</v>
      </c>
      <c r="DQ99" s="153">
        <f>DQ96*Inputs!$C$108</f>
        <v>0</v>
      </c>
      <c r="DR99" s="153">
        <f>DR96*Inputs!$C$108</f>
        <v>0</v>
      </c>
      <c r="DS99" s="54"/>
    </row>
    <row r="100" ht="16.5" customHeight="1">
      <c r="A100" s="54"/>
      <c r="B100" s="161" t="s">
        <v>345</v>
      </c>
      <c r="C100" s="163">
        <f t="shared" ref="C100:DR100" si="15">C97+C98+C99</f>
        <v>0</v>
      </c>
      <c r="D100" s="163">
        <f t="shared" si="15"/>
        <v>0</v>
      </c>
      <c r="E100" s="163">
        <f t="shared" si="15"/>
        <v>0</v>
      </c>
      <c r="F100" s="163">
        <f t="shared" si="15"/>
        <v>0</v>
      </c>
      <c r="G100" s="163">
        <f t="shared" si="15"/>
        <v>0</v>
      </c>
      <c r="H100" s="163">
        <f t="shared" si="15"/>
        <v>0</v>
      </c>
      <c r="I100" s="163">
        <f t="shared" si="15"/>
        <v>0</v>
      </c>
      <c r="J100" s="163">
        <f t="shared" si="15"/>
        <v>0</v>
      </c>
      <c r="K100" s="163">
        <f t="shared" si="15"/>
        <v>0</v>
      </c>
      <c r="L100" s="163">
        <f t="shared" si="15"/>
        <v>0</v>
      </c>
      <c r="M100" s="163">
        <f t="shared" si="15"/>
        <v>0</v>
      </c>
      <c r="N100" s="163">
        <f t="shared" si="15"/>
        <v>0</v>
      </c>
      <c r="O100" s="163">
        <f t="shared" si="15"/>
        <v>0</v>
      </c>
      <c r="P100" s="163">
        <f t="shared" si="15"/>
        <v>0</v>
      </c>
      <c r="Q100" s="163">
        <f t="shared" si="15"/>
        <v>0</v>
      </c>
      <c r="R100" s="163">
        <f t="shared" si="15"/>
        <v>0</v>
      </c>
      <c r="S100" s="163">
        <f t="shared" si="15"/>
        <v>0</v>
      </c>
      <c r="T100" s="163">
        <f t="shared" si="15"/>
        <v>0</v>
      </c>
      <c r="U100" s="163">
        <f t="shared" si="15"/>
        <v>0</v>
      </c>
      <c r="V100" s="163">
        <f t="shared" si="15"/>
        <v>0</v>
      </c>
      <c r="W100" s="163">
        <f t="shared" si="15"/>
        <v>0</v>
      </c>
      <c r="X100" s="163">
        <f t="shared" si="15"/>
        <v>0</v>
      </c>
      <c r="Y100" s="163">
        <f t="shared" si="15"/>
        <v>0</v>
      </c>
      <c r="Z100" s="163">
        <f t="shared" si="15"/>
        <v>0</v>
      </c>
      <c r="AA100" s="163">
        <f t="shared" si="15"/>
        <v>0</v>
      </c>
      <c r="AB100" s="163">
        <f t="shared" si="15"/>
        <v>0</v>
      </c>
      <c r="AC100" s="163">
        <f t="shared" si="15"/>
        <v>0</v>
      </c>
      <c r="AD100" s="163">
        <f t="shared" si="15"/>
        <v>0</v>
      </c>
      <c r="AE100" s="163">
        <f t="shared" si="15"/>
        <v>0</v>
      </c>
      <c r="AF100" s="163">
        <f t="shared" si="15"/>
        <v>0</v>
      </c>
      <c r="AG100" s="163">
        <f t="shared" si="15"/>
        <v>0</v>
      </c>
      <c r="AH100" s="163">
        <f t="shared" si="15"/>
        <v>0</v>
      </c>
      <c r="AI100" s="163">
        <f t="shared" si="15"/>
        <v>0</v>
      </c>
      <c r="AJ100" s="163">
        <f t="shared" si="15"/>
        <v>0</v>
      </c>
      <c r="AK100" s="163">
        <f t="shared" si="15"/>
        <v>0</v>
      </c>
      <c r="AL100" s="163">
        <f t="shared" si="15"/>
        <v>0</v>
      </c>
      <c r="AM100" s="163">
        <f t="shared" si="15"/>
        <v>0</v>
      </c>
      <c r="AN100" s="163">
        <f t="shared" si="15"/>
        <v>0</v>
      </c>
      <c r="AO100" s="163">
        <f t="shared" si="15"/>
        <v>0</v>
      </c>
      <c r="AP100" s="163">
        <f t="shared" si="15"/>
        <v>0</v>
      </c>
      <c r="AQ100" s="163">
        <f t="shared" si="15"/>
        <v>0</v>
      </c>
      <c r="AR100" s="163">
        <f t="shared" si="15"/>
        <v>0</v>
      </c>
      <c r="AS100" s="163">
        <f t="shared" si="15"/>
        <v>0</v>
      </c>
      <c r="AT100" s="163">
        <f t="shared" si="15"/>
        <v>0</v>
      </c>
      <c r="AU100" s="163">
        <f t="shared" si="15"/>
        <v>0</v>
      </c>
      <c r="AV100" s="163">
        <f t="shared" si="15"/>
        <v>0</v>
      </c>
      <c r="AW100" s="163">
        <f t="shared" si="15"/>
        <v>0</v>
      </c>
      <c r="AX100" s="163">
        <f t="shared" si="15"/>
        <v>0</v>
      </c>
      <c r="AY100" s="163">
        <f t="shared" si="15"/>
        <v>0</v>
      </c>
      <c r="AZ100" s="163">
        <f t="shared" si="15"/>
        <v>0</v>
      </c>
      <c r="BA100" s="163">
        <f t="shared" si="15"/>
        <v>0</v>
      </c>
      <c r="BB100" s="163">
        <f t="shared" si="15"/>
        <v>0</v>
      </c>
      <c r="BC100" s="163">
        <f t="shared" si="15"/>
        <v>0</v>
      </c>
      <c r="BD100" s="163">
        <f t="shared" si="15"/>
        <v>0</v>
      </c>
      <c r="BE100" s="163">
        <f t="shared" si="15"/>
        <v>0</v>
      </c>
      <c r="BF100" s="163">
        <f t="shared" si="15"/>
        <v>0</v>
      </c>
      <c r="BG100" s="163">
        <f t="shared" si="15"/>
        <v>0</v>
      </c>
      <c r="BH100" s="163">
        <f t="shared" si="15"/>
        <v>0</v>
      </c>
      <c r="BI100" s="163">
        <f t="shared" si="15"/>
        <v>0</v>
      </c>
      <c r="BJ100" s="163">
        <f t="shared" si="15"/>
        <v>0</v>
      </c>
      <c r="BK100" s="163">
        <f t="shared" si="15"/>
        <v>0</v>
      </c>
      <c r="BL100" s="163">
        <f t="shared" si="15"/>
        <v>0</v>
      </c>
      <c r="BM100" s="163">
        <f t="shared" si="15"/>
        <v>0</v>
      </c>
      <c r="BN100" s="163">
        <f t="shared" si="15"/>
        <v>0</v>
      </c>
      <c r="BO100" s="163">
        <f t="shared" si="15"/>
        <v>0</v>
      </c>
      <c r="BP100" s="163">
        <f t="shared" si="15"/>
        <v>0</v>
      </c>
      <c r="BQ100" s="163">
        <f t="shared" si="15"/>
        <v>0</v>
      </c>
      <c r="BR100" s="163">
        <f t="shared" si="15"/>
        <v>0</v>
      </c>
      <c r="BS100" s="163">
        <f t="shared" si="15"/>
        <v>0</v>
      </c>
      <c r="BT100" s="163">
        <f t="shared" si="15"/>
        <v>0</v>
      </c>
      <c r="BU100" s="163">
        <f t="shared" si="15"/>
        <v>0</v>
      </c>
      <c r="BV100" s="163">
        <f t="shared" si="15"/>
        <v>0</v>
      </c>
      <c r="BW100" s="163">
        <f t="shared" si="15"/>
        <v>0</v>
      </c>
      <c r="BX100" s="163">
        <f t="shared" si="15"/>
        <v>0</v>
      </c>
      <c r="BY100" s="163">
        <f t="shared" si="15"/>
        <v>0</v>
      </c>
      <c r="BZ100" s="163">
        <f t="shared" si="15"/>
        <v>0</v>
      </c>
      <c r="CA100" s="163">
        <f t="shared" si="15"/>
        <v>0</v>
      </c>
      <c r="CB100" s="163">
        <f t="shared" si="15"/>
        <v>0</v>
      </c>
      <c r="CC100" s="163">
        <f t="shared" si="15"/>
        <v>0</v>
      </c>
      <c r="CD100" s="163">
        <f t="shared" si="15"/>
        <v>0</v>
      </c>
      <c r="CE100" s="163">
        <f t="shared" si="15"/>
        <v>0</v>
      </c>
      <c r="CF100" s="163">
        <f t="shared" si="15"/>
        <v>0</v>
      </c>
      <c r="CG100" s="163">
        <f t="shared" si="15"/>
        <v>0</v>
      </c>
      <c r="CH100" s="163">
        <f t="shared" si="15"/>
        <v>0</v>
      </c>
      <c r="CI100" s="163">
        <f t="shared" si="15"/>
        <v>0</v>
      </c>
      <c r="CJ100" s="163">
        <f t="shared" si="15"/>
        <v>0</v>
      </c>
      <c r="CK100" s="163">
        <f t="shared" si="15"/>
        <v>0</v>
      </c>
      <c r="CL100" s="163">
        <f t="shared" si="15"/>
        <v>0</v>
      </c>
      <c r="CM100" s="163">
        <f t="shared" si="15"/>
        <v>0</v>
      </c>
      <c r="CN100" s="163">
        <f t="shared" si="15"/>
        <v>0</v>
      </c>
      <c r="CO100" s="163">
        <f t="shared" si="15"/>
        <v>0</v>
      </c>
      <c r="CP100" s="163">
        <f t="shared" si="15"/>
        <v>0</v>
      </c>
      <c r="CQ100" s="163">
        <f t="shared" si="15"/>
        <v>0</v>
      </c>
      <c r="CR100" s="163">
        <f t="shared" si="15"/>
        <v>0</v>
      </c>
      <c r="CS100" s="163">
        <f t="shared" si="15"/>
        <v>0</v>
      </c>
      <c r="CT100" s="163">
        <f t="shared" si="15"/>
        <v>0</v>
      </c>
      <c r="CU100" s="163">
        <f t="shared" si="15"/>
        <v>0</v>
      </c>
      <c r="CV100" s="163">
        <f t="shared" si="15"/>
        <v>0</v>
      </c>
      <c r="CW100" s="163">
        <f t="shared" si="15"/>
        <v>0</v>
      </c>
      <c r="CX100" s="163">
        <f t="shared" si="15"/>
        <v>0</v>
      </c>
      <c r="CY100" s="163">
        <f t="shared" si="15"/>
        <v>0</v>
      </c>
      <c r="CZ100" s="163">
        <f t="shared" si="15"/>
        <v>0</v>
      </c>
      <c r="DA100" s="163">
        <f t="shared" si="15"/>
        <v>0</v>
      </c>
      <c r="DB100" s="163">
        <f t="shared" si="15"/>
        <v>0</v>
      </c>
      <c r="DC100" s="163">
        <f t="shared" si="15"/>
        <v>0</v>
      </c>
      <c r="DD100" s="163">
        <f t="shared" si="15"/>
        <v>0</v>
      </c>
      <c r="DE100" s="163">
        <f t="shared" si="15"/>
        <v>0</v>
      </c>
      <c r="DF100" s="163">
        <f t="shared" si="15"/>
        <v>0</v>
      </c>
      <c r="DG100" s="163">
        <f t="shared" si="15"/>
        <v>0</v>
      </c>
      <c r="DH100" s="163">
        <f t="shared" si="15"/>
        <v>0</v>
      </c>
      <c r="DI100" s="163">
        <f t="shared" si="15"/>
        <v>0</v>
      </c>
      <c r="DJ100" s="163">
        <f t="shared" si="15"/>
        <v>0</v>
      </c>
      <c r="DK100" s="163">
        <f t="shared" si="15"/>
        <v>0</v>
      </c>
      <c r="DL100" s="163">
        <f t="shared" si="15"/>
        <v>0</v>
      </c>
      <c r="DM100" s="163">
        <f t="shared" si="15"/>
        <v>0</v>
      </c>
      <c r="DN100" s="163">
        <f t="shared" si="15"/>
        <v>0</v>
      </c>
      <c r="DO100" s="163">
        <f t="shared" si="15"/>
        <v>0</v>
      </c>
      <c r="DP100" s="163">
        <f t="shared" si="15"/>
        <v>0</v>
      </c>
      <c r="DQ100" s="163">
        <f t="shared" si="15"/>
        <v>0</v>
      </c>
      <c r="DR100" s="163">
        <f t="shared" si="15"/>
        <v>85000</v>
      </c>
      <c r="DS100" s="54"/>
    </row>
    <row r="101" ht="15.75" customHeight="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  <c r="DO101" s="54"/>
      <c r="DP101" s="54"/>
      <c r="DQ101" s="54"/>
      <c r="DR101" s="54"/>
      <c r="DS101" s="54"/>
    </row>
    <row r="102" ht="16.5" customHeight="1">
      <c r="A102" s="54"/>
      <c r="B102" s="55" t="s">
        <v>346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3"/>
      <c r="DS102" s="54"/>
    </row>
    <row r="103" ht="15.0" customHeight="1">
      <c r="A103" s="54"/>
      <c r="B103" s="56" t="s">
        <v>347</v>
      </c>
      <c r="C103" s="153">
        <f>SUM(C37)</f>
        <v>0</v>
      </c>
      <c r="D103" s="153">
        <f>SUM(C37:D37)</f>
        <v>0</v>
      </c>
      <c r="E103" s="153">
        <f>SUM(C37:E37)</f>
        <v>0</v>
      </c>
      <c r="F103" s="153">
        <f>SUM(C37:F37)</f>
        <v>0</v>
      </c>
      <c r="G103" s="153">
        <f>SUM(C37:G37)</f>
        <v>0</v>
      </c>
      <c r="H103" s="153">
        <f>SUM(C37:H37)</f>
        <v>0</v>
      </c>
      <c r="I103" s="153">
        <f>SUM(C37:I37)</f>
        <v>0</v>
      </c>
      <c r="J103" s="153">
        <f>SUM(C37:J37)</f>
        <v>0</v>
      </c>
      <c r="K103" s="153">
        <f>SUM(C37:K37)</f>
        <v>0</v>
      </c>
      <c r="L103" s="153">
        <f>SUM(C37:L37)</f>
        <v>0</v>
      </c>
      <c r="M103" s="153">
        <f>SUM(C37:M37)</f>
        <v>0</v>
      </c>
      <c r="N103" s="153">
        <f>SUM(C37:N37)</f>
        <v>0</v>
      </c>
      <c r="O103" s="153">
        <f>SUM(C37:O37)</f>
        <v>0</v>
      </c>
      <c r="P103" s="153">
        <f>SUM(C37:P37)</f>
        <v>0</v>
      </c>
      <c r="Q103" s="153">
        <f>SUM(C37:Q37)</f>
        <v>0</v>
      </c>
      <c r="R103" s="153">
        <f>SUM(C37:R37)</f>
        <v>0</v>
      </c>
      <c r="S103" s="153">
        <f>SUM(C37:S37)</f>
        <v>0</v>
      </c>
      <c r="T103" s="153">
        <f>SUM(C37:T37)</f>
        <v>0</v>
      </c>
      <c r="U103" s="153">
        <f>SUM(C37:U37)</f>
        <v>0</v>
      </c>
      <c r="V103" s="153">
        <f>SUM(C37:V37)</f>
        <v>0</v>
      </c>
      <c r="W103" s="153">
        <f>SUM(C37:W37)</f>
        <v>0</v>
      </c>
      <c r="X103" s="153">
        <f>SUM(C37:X37)</f>
        <v>0</v>
      </c>
      <c r="Y103" s="153">
        <f>SUM(C37:Y37)</f>
        <v>0</v>
      </c>
      <c r="Z103" s="153">
        <f>SUM(C37:Z37)</f>
        <v>0</v>
      </c>
      <c r="AA103" s="153">
        <f>SUM(C37:AA37)</f>
        <v>0</v>
      </c>
      <c r="AB103" s="153">
        <f>SUM(C37:AB37)</f>
        <v>0</v>
      </c>
      <c r="AC103" s="153">
        <f>SUM(C37:AC37)</f>
        <v>0</v>
      </c>
      <c r="AD103" s="153">
        <f>SUM(C37:AD37)</f>
        <v>0</v>
      </c>
      <c r="AE103" s="153">
        <f>SUM(C37:AE37)</f>
        <v>0</v>
      </c>
      <c r="AF103" s="153">
        <f>SUM(C37:AF37)</f>
        <v>0</v>
      </c>
      <c r="AG103" s="153">
        <f>SUM(C37:AG37)</f>
        <v>0</v>
      </c>
      <c r="AH103" s="153">
        <f>SUM(C37:AH37)</f>
        <v>0</v>
      </c>
      <c r="AI103" s="153">
        <f>SUM(C37:AI37)</f>
        <v>0</v>
      </c>
      <c r="AJ103" s="153">
        <f>SUM(C37:AJ37)</f>
        <v>0</v>
      </c>
      <c r="AK103" s="153">
        <f>SUM(C37:AK37)</f>
        <v>0</v>
      </c>
      <c r="AL103" s="153">
        <f>SUM(C37:AL37)</f>
        <v>0</v>
      </c>
      <c r="AM103" s="153">
        <f>SUM(C37:AM37)</f>
        <v>0</v>
      </c>
      <c r="AN103" s="153">
        <f>SUM(C37:AN37)</f>
        <v>0</v>
      </c>
      <c r="AO103" s="153">
        <f>SUM(C37:AO37)</f>
        <v>0</v>
      </c>
      <c r="AP103" s="153">
        <f>SUM(C37:AP37)</f>
        <v>0</v>
      </c>
      <c r="AQ103" s="153">
        <f>SUM(C37:AQ37)</f>
        <v>0</v>
      </c>
      <c r="AR103" s="153">
        <f>SUM(C37:AR37)</f>
        <v>0</v>
      </c>
      <c r="AS103" s="153">
        <f>SUM(C37:AS37)</f>
        <v>0</v>
      </c>
      <c r="AT103" s="153">
        <f>SUM(C37:AT37)</f>
        <v>0</v>
      </c>
      <c r="AU103" s="153">
        <f>SUM(C37:AU37)</f>
        <v>0</v>
      </c>
      <c r="AV103" s="153">
        <f>SUM(C37:AV37)</f>
        <v>0</v>
      </c>
      <c r="AW103" s="153">
        <f>SUM(C37:AW37)</f>
        <v>0</v>
      </c>
      <c r="AX103" s="153">
        <f>SUM(C37:AX37)</f>
        <v>0</v>
      </c>
      <c r="AY103" s="153">
        <f>SUM(C37:AY37)</f>
        <v>0</v>
      </c>
      <c r="AZ103" s="153">
        <f>SUM(C37:AZ37)</f>
        <v>0</v>
      </c>
      <c r="BA103" s="153">
        <f>SUM(C37:BA37)</f>
        <v>0</v>
      </c>
      <c r="BB103" s="153">
        <f>SUM(C37:BB37)</f>
        <v>0</v>
      </c>
      <c r="BC103" s="153">
        <f>SUM(C37:BC37)</f>
        <v>0</v>
      </c>
      <c r="BD103" s="153">
        <f>SUM(C37:BD37)</f>
        <v>0</v>
      </c>
      <c r="BE103" s="153">
        <f>SUM(C37:BE37)</f>
        <v>0</v>
      </c>
      <c r="BF103" s="153">
        <f>SUM(C37:BF37)</f>
        <v>0</v>
      </c>
      <c r="BG103" s="153">
        <f>SUM(C37:BG37)</f>
        <v>0</v>
      </c>
      <c r="BH103" s="153">
        <f>SUM(C37:BH37)</f>
        <v>0</v>
      </c>
      <c r="BI103" s="153">
        <f>SUM(C37:BI37)</f>
        <v>0</v>
      </c>
      <c r="BJ103" s="153">
        <f>SUM(C37:BJ37)</f>
        <v>0</v>
      </c>
      <c r="BK103" s="153">
        <f>SUM(C37:BK37)</f>
        <v>0</v>
      </c>
      <c r="BL103" s="153">
        <f>SUM(C37:BL37)</f>
        <v>0</v>
      </c>
      <c r="BM103" s="153">
        <f>SUM(C37:BM37)</f>
        <v>0</v>
      </c>
      <c r="BN103" s="153">
        <f>SUM(C37:BN37)</f>
        <v>0</v>
      </c>
      <c r="BO103" s="153">
        <f>SUM(C37:BO37)</f>
        <v>0</v>
      </c>
      <c r="BP103" s="153">
        <f>SUM(C37:BP37)</f>
        <v>0</v>
      </c>
      <c r="BQ103" s="153">
        <f>SUM(C37:BQ37)</f>
        <v>0</v>
      </c>
      <c r="BR103" s="153">
        <f>SUM(C37:BR37)</f>
        <v>0</v>
      </c>
      <c r="BS103" s="153">
        <f>SUM(C37:BS37)</f>
        <v>0</v>
      </c>
      <c r="BT103" s="153">
        <f>SUM(C37:BT37)</f>
        <v>0</v>
      </c>
      <c r="BU103" s="153">
        <f>SUM(C37:BU37)</f>
        <v>0</v>
      </c>
      <c r="BV103" s="153">
        <f>SUM(C37:BV37)</f>
        <v>0</v>
      </c>
      <c r="BW103" s="153">
        <f>SUM(C37:BW37)</f>
        <v>0</v>
      </c>
      <c r="BX103" s="153">
        <f>SUM(C37:BX37)</f>
        <v>0</v>
      </c>
      <c r="BY103" s="153">
        <f>SUM(C37:BY37)</f>
        <v>0</v>
      </c>
      <c r="BZ103" s="153">
        <f>SUM(C37:BZ37)</f>
        <v>0</v>
      </c>
      <c r="CA103" s="153">
        <f>SUM(C37:CA37)</f>
        <v>0</v>
      </c>
      <c r="CB103" s="153">
        <f>SUM(C37:CB37)</f>
        <v>0</v>
      </c>
      <c r="CC103" s="153">
        <f>SUM(C37:CC37)</f>
        <v>0</v>
      </c>
      <c r="CD103" s="153">
        <f>SUM(C37:CD37)</f>
        <v>0</v>
      </c>
      <c r="CE103" s="153">
        <f>SUM(C37:CE37)</f>
        <v>0</v>
      </c>
      <c r="CF103" s="153">
        <f>SUM(C37:CF37)</f>
        <v>0</v>
      </c>
      <c r="CG103" s="153">
        <f>SUM(C37:CG37)</f>
        <v>0</v>
      </c>
      <c r="CH103" s="153">
        <f>SUM(C37:CH37)</f>
        <v>0</v>
      </c>
      <c r="CI103" s="153">
        <f>SUM(C37:CI37)</f>
        <v>0</v>
      </c>
      <c r="CJ103" s="153">
        <f>SUM(C37:CJ37)</f>
        <v>0</v>
      </c>
      <c r="CK103" s="153">
        <f>SUM(C37:CK37)</f>
        <v>0</v>
      </c>
      <c r="CL103" s="153">
        <f>SUM(C37:CL37)</f>
        <v>0</v>
      </c>
      <c r="CM103" s="153">
        <f>SUM(C37:CM37)</f>
        <v>0</v>
      </c>
      <c r="CN103" s="153">
        <f>SUM(C37:CN37)</f>
        <v>0</v>
      </c>
      <c r="CO103" s="153">
        <f>SUM(C37:CO37)</f>
        <v>0</v>
      </c>
      <c r="CP103" s="153">
        <f>SUM(C37:CP37)</f>
        <v>0</v>
      </c>
      <c r="CQ103" s="153">
        <f>SUM(C37:CQ37)</f>
        <v>0</v>
      </c>
      <c r="CR103" s="153">
        <f>SUM(C37:CR37)</f>
        <v>0</v>
      </c>
      <c r="CS103" s="153">
        <f>SUM(C37:CS37)</f>
        <v>0</v>
      </c>
      <c r="CT103" s="153">
        <f>SUM(C37:CT37)</f>
        <v>0</v>
      </c>
      <c r="CU103" s="153">
        <f>SUM(C37:CU37)</f>
        <v>0</v>
      </c>
      <c r="CV103" s="153">
        <f>SUM(C37:CV37)</f>
        <v>0</v>
      </c>
      <c r="CW103" s="153">
        <f>SUM(C37:CW37)</f>
        <v>0</v>
      </c>
      <c r="CX103" s="153">
        <f>SUM(C37:CX37)</f>
        <v>0</v>
      </c>
      <c r="CY103" s="153">
        <f>SUM(C37:CY37)</f>
        <v>0</v>
      </c>
      <c r="CZ103" s="153">
        <f>SUM(C37:CZ37)</f>
        <v>0</v>
      </c>
      <c r="DA103" s="153">
        <f>SUM(C37:DA37)</f>
        <v>0</v>
      </c>
      <c r="DB103" s="153">
        <f>SUM(C37:DB37)</f>
        <v>0</v>
      </c>
      <c r="DC103" s="153">
        <f>SUM(C37:DC37)</f>
        <v>0</v>
      </c>
      <c r="DD103" s="153">
        <f>SUM(C37:DD37)</f>
        <v>0</v>
      </c>
      <c r="DE103" s="153">
        <f>SUM(C37:DE37)</f>
        <v>0</v>
      </c>
      <c r="DF103" s="153">
        <f>SUM(C37:DF37)</f>
        <v>0</v>
      </c>
      <c r="DG103" s="153">
        <f>SUM(C37:DG37)</f>
        <v>0</v>
      </c>
      <c r="DH103" s="153">
        <f>SUM(C37:DH37)</f>
        <v>0</v>
      </c>
      <c r="DI103" s="153">
        <f>SUM(C37:DI37)</f>
        <v>0</v>
      </c>
      <c r="DJ103" s="153">
        <f>SUM(C37:DJ37)</f>
        <v>0</v>
      </c>
      <c r="DK103" s="153">
        <f>SUM(C37:DK37)</f>
        <v>0</v>
      </c>
      <c r="DL103" s="153">
        <f>SUM(C37:DL37)</f>
        <v>0</v>
      </c>
      <c r="DM103" s="153">
        <f>SUM(C37:DM37)</f>
        <v>0</v>
      </c>
      <c r="DN103" s="153">
        <f>SUM(C37:DN37)</f>
        <v>0</v>
      </c>
      <c r="DO103" s="153">
        <f>SUM(C37:DO37)</f>
        <v>0</v>
      </c>
      <c r="DP103" s="153">
        <f>SUM(C37:DP37)</f>
        <v>0</v>
      </c>
      <c r="DQ103" s="153">
        <f>SUM(C37:DQ37)</f>
        <v>0</v>
      </c>
      <c r="DR103" s="153">
        <f>SUM(C37:DR37)</f>
        <v>0</v>
      </c>
      <c r="DS103" s="54"/>
    </row>
    <row r="104" ht="15.0" customHeight="1">
      <c r="A104" s="54"/>
      <c r="B104" s="56" t="s">
        <v>348</v>
      </c>
      <c r="C104" s="153">
        <f>SUM(C91)</f>
        <v>0</v>
      </c>
      <c r="D104" s="153">
        <f>SUM(C91:D91)</f>
        <v>-4384.425311</v>
      </c>
      <c r="E104" s="153">
        <f>SUM(C91:E91)</f>
        <v>-8768.850623</v>
      </c>
      <c r="F104" s="153">
        <f>SUM(C91:F91)</f>
        <v>-13153.27593</v>
      </c>
      <c r="G104" s="153">
        <f>SUM(C91:G91)</f>
        <v>-17537.70125</v>
      </c>
      <c r="H104" s="153">
        <f>SUM(C91:H91)</f>
        <v>-21922.12656</v>
      </c>
      <c r="I104" s="153">
        <f>SUM(C91:I91)</f>
        <v>-26306.55187</v>
      </c>
      <c r="J104" s="153">
        <f>SUM(C91:J91)</f>
        <v>-30690.97718</v>
      </c>
      <c r="K104" s="153">
        <f>SUM(C91:K91)</f>
        <v>-35075.40249</v>
      </c>
      <c r="L104" s="153">
        <f>SUM(C91:L91)</f>
        <v>-39459.8278</v>
      </c>
      <c r="M104" s="153">
        <f>SUM(C91:M91)</f>
        <v>-43844.25311</v>
      </c>
      <c r="N104" s="153">
        <f>SUM(C91:N91)</f>
        <v>-48228.67842</v>
      </c>
      <c r="O104" s="153">
        <f>SUM(C91:O91)</f>
        <v>-52613.10374</v>
      </c>
      <c r="P104" s="153">
        <f>SUM(C91:P91)</f>
        <v>-56997.52905</v>
      </c>
      <c r="Q104" s="153">
        <f>SUM(C91:Q91)</f>
        <v>-61381.95436</v>
      </c>
      <c r="R104" s="153">
        <f>SUM(C91:R91)</f>
        <v>-65766.37967</v>
      </c>
      <c r="S104" s="153">
        <f>SUM(C91:S91)</f>
        <v>-70150.80498</v>
      </c>
      <c r="T104" s="153">
        <f>SUM(C91:T91)</f>
        <v>-74535.23029</v>
      </c>
      <c r="U104" s="153">
        <f>SUM(C91:U91)</f>
        <v>-78919.6556</v>
      </c>
      <c r="V104" s="153">
        <f>SUM(C91:V91)</f>
        <v>-83304.08091</v>
      </c>
      <c r="W104" s="153">
        <f>SUM(C91:W91)</f>
        <v>-87688.50623</v>
      </c>
      <c r="X104" s="153">
        <f>SUM(C91:X91)</f>
        <v>-92072.93154</v>
      </c>
      <c r="Y104" s="153">
        <f>SUM(C91:Y91)</f>
        <v>-96457.35685</v>
      </c>
      <c r="Z104" s="153">
        <f>SUM(C91:Z91)</f>
        <v>-100841.7822</v>
      </c>
      <c r="AA104" s="153">
        <f>SUM(C91:AA91)</f>
        <v>-105226.2075</v>
      </c>
      <c r="AB104" s="153">
        <f>SUM(C91:AB91)</f>
        <v>-109610.6328</v>
      </c>
      <c r="AC104" s="153">
        <f>SUM(C91:AC91)</f>
        <v>-113995.0581</v>
      </c>
      <c r="AD104" s="153">
        <f>SUM(C91:AD91)</f>
        <v>-118379.4834</v>
      </c>
      <c r="AE104" s="153">
        <f>SUM(C91:AE91)</f>
        <v>-122763.9087</v>
      </c>
      <c r="AF104" s="153">
        <f>SUM(C91:AF91)</f>
        <v>-127148.334</v>
      </c>
      <c r="AG104" s="153">
        <f>SUM(C91:AG91)</f>
        <v>-131532.7593</v>
      </c>
      <c r="AH104" s="153">
        <f>SUM(C91:AH91)</f>
        <v>-135917.1847</v>
      </c>
      <c r="AI104" s="153">
        <f>SUM(C91:AI91)</f>
        <v>-140301.61</v>
      </c>
      <c r="AJ104" s="153">
        <f>SUM(C91:AJ91)</f>
        <v>-144686.0353</v>
      </c>
      <c r="AK104" s="153">
        <f>SUM(C91:AK91)</f>
        <v>-149070.4606</v>
      </c>
      <c r="AL104" s="153">
        <f>SUM(C91:AL91)</f>
        <v>-153454.8859</v>
      </c>
      <c r="AM104" s="153">
        <f>SUM(C91:AM91)</f>
        <v>-157839.3112</v>
      </c>
      <c r="AN104" s="153">
        <f>SUM(C91:AN91)</f>
        <v>-162223.7365</v>
      </c>
      <c r="AO104" s="153">
        <f>SUM(C91:AO91)</f>
        <v>-166608.1618</v>
      </c>
      <c r="AP104" s="153">
        <f>SUM(C91:AP91)</f>
        <v>-170992.5871</v>
      </c>
      <c r="AQ104" s="153">
        <f>SUM(C91:AQ91)</f>
        <v>-175377.0125</v>
      </c>
      <c r="AR104" s="153">
        <f>SUM(C91:AR91)</f>
        <v>-179761.4378</v>
      </c>
      <c r="AS104" s="153">
        <f>SUM(C91:AS91)</f>
        <v>-184145.8631</v>
      </c>
      <c r="AT104" s="153">
        <f>SUM(C91:AT91)</f>
        <v>-188530.2884</v>
      </c>
      <c r="AU104" s="153">
        <f>SUM(C91:AU91)</f>
        <v>-192914.7137</v>
      </c>
      <c r="AV104" s="153">
        <f>SUM(C91:AV91)</f>
        <v>-197299.139</v>
      </c>
      <c r="AW104" s="153">
        <f>SUM(C91:AW91)</f>
        <v>-201683.5643</v>
      </c>
      <c r="AX104" s="153">
        <f>SUM(C91:AX91)</f>
        <v>-206067.9896</v>
      </c>
      <c r="AY104" s="153">
        <f>SUM(C91:AY91)</f>
        <v>-210452.4149</v>
      </c>
      <c r="AZ104" s="153">
        <f>SUM(C91:AZ91)</f>
        <v>-214836.8403</v>
      </c>
      <c r="BA104" s="153">
        <f>SUM(C91:BA91)</f>
        <v>-219221.2656</v>
      </c>
      <c r="BB104" s="153">
        <f>SUM(C91:BB91)</f>
        <v>-223605.6909</v>
      </c>
      <c r="BC104" s="153">
        <f>SUM(C91:BC91)</f>
        <v>-227990.1162</v>
      </c>
      <c r="BD104" s="153">
        <f>SUM(C91:BD91)</f>
        <v>-232374.5415</v>
      </c>
      <c r="BE104" s="153">
        <f>SUM(C91:BE91)</f>
        <v>-236758.9668</v>
      </c>
      <c r="BF104" s="153">
        <f>SUM(C91:BF91)</f>
        <v>-241143.3921</v>
      </c>
      <c r="BG104" s="153">
        <f>SUM(C91:BG91)</f>
        <v>-245527.8174</v>
      </c>
      <c r="BH104" s="153">
        <f>SUM(C91:BH91)</f>
        <v>-249912.2427</v>
      </c>
      <c r="BI104" s="153">
        <f>SUM(C91:BI91)</f>
        <v>-254296.6681</v>
      </c>
      <c r="BJ104" s="153">
        <f>SUM(C91:BJ91)</f>
        <v>-924642.0991</v>
      </c>
      <c r="BK104" s="153">
        <f>SUM(C91:BK91)</f>
        <v>-924642.0991</v>
      </c>
      <c r="BL104" s="153">
        <f>SUM(C91:BL91)</f>
        <v>-924642.0991</v>
      </c>
      <c r="BM104" s="153">
        <f>SUM(C91:BM91)</f>
        <v>-924642.0991</v>
      </c>
      <c r="BN104" s="153">
        <f>SUM(C91:BN91)</f>
        <v>-924642.0991</v>
      </c>
      <c r="BO104" s="153">
        <f>SUM(C91:BO91)</f>
        <v>-924642.0991</v>
      </c>
      <c r="BP104" s="153">
        <f>SUM(C91:BP91)</f>
        <v>-924642.0991</v>
      </c>
      <c r="BQ104" s="153">
        <f>SUM(C91:BQ91)</f>
        <v>-924642.0991</v>
      </c>
      <c r="BR104" s="153">
        <f>SUM(C91:BR91)</f>
        <v>-924642.0991</v>
      </c>
      <c r="BS104" s="153">
        <f>SUM(C91:BS91)</f>
        <v>-924642.0991</v>
      </c>
      <c r="BT104" s="153">
        <f>SUM(C91:BT91)</f>
        <v>-924642.0991</v>
      </c>
      <c r="BU104" s="153">
        <f>SUM(C91:BU91)</f>
        <v>-924642.0991</v>
      </c>
      <c r="BV104" s="153">
        <f>SUM(C91:BV91)</f>
        <v>-924642.0991</v>
      </c>
      <c r="BW104" s="153">
        <f>SUM(C91:BW91)</f>
        <v>-924642.0991</v>
      </c>
      <c r="BX104" s="153">
        <f>SUM(C91:BX91)</f>
        <v>-924642.0991</v>
      </c>
      <c r="BY104" s="153">
        <f>SUM(C91:BY91)</f>
        <v>-924642.0991</v>
      </c>
      <c r="BZ104" s="153">
        <f>SUM(C91:BZ91)</f>
        <v>-924642.0991</v>
      </c>
      <c r="CA104" s="153">
        <f>SUM(C91:CA91)</f>
        <v>-924642.0991</v>
      </c>
      <c r="CB104" s="153">
        <f>SUM(C91:CB91)</f>
        <v>-924642.0991</v>
      </c>
      <c r="CC104" s="153">
        <f>SUM(C91:CC91)</f>
        <v>-924642.0991</v>
      </c>
      <c r="CD104" s="153">
        <f>SUM(C91:CD91)</f>
        <v>-924642.0991</v>
      </c>
      <c r="CE104" s="153">
        <f>SUM(C91:CE91)</f>
        <v>-924642.0991</v>
      </c>
      <c r="CF104" s="153">
        <f>SUM(C91:CF91)</f>
        <v>-924642.0991</v>
      </c>
      <c r="CG104" s="153">
        <f>SUM(C91:CG91)</f>
        <v>-924642.0991</v>
      </c>
      <c r="CH104" s="153">
        <f>SUM(C91:CH91)</f>
        <v>-924642.0991</v>
      </c>
      <c r="CI104" s="153">
        <f>SUM(C91:CI91)</f>
        <v>-924642.0991</v>
      </c>
      <c r="CJ104" s="153">
        <f>SUM(C91:CJ91)</f>
        <v>-924642.0991</v>
      </c>
      <c r="CK104" s="153">
        <f>SUM(C91:CK91)</f>
        <v>-924642.0991</v>
      </c>
      <c r="CL104" s="153">
        <f>SUM(C91:CL91)</f>
        <v>-924642.0991</v>
      </c>
      <c r="CM104" s="153">
        <f>SUM(C91:CM91)</f>
        <v>-924642.0991</v>
      </c>
      <c r="CN104" s="153">
        <f>SUM(C91:CN91)</f>
        <v>-924642.0991</v>
      </c>
      <c r="CO104" s="153">
        <f>SUM(C91:CO91)</f>
        <v>-924642.0991</v>
      </c>
      <c r="CP104" s="153">
        <f>SUM(C91:CP91)</f>
        <v>-924642.0991</v>
      </c>
      <c r="CQ104" s="153">
        <f>SUM(C91:CQ91)</f>
        <v>-924642.0991</v>
      </c>
      <c r="CR104" s="153">
        <f>SUM(C91:CR91)</f>
        <v>-924642.0991</v>
      </c>
      <c r="CS104" s="153">
        <f>SUM(C91:CS91)</f>
        <v>-924642.0991</v>
      </c>
      <c r="CT104" s="153">
        <f>SUM(C91:CT91)</f>
        <v>-924642.0991</v>
      </c>
      <c r="CU104" s="153">
        <f>SUM(C91:CU91)</f>
        <v>-924642.0991</v>
      </c>
      <c r="CV104" s="153">
        <f>SUM(C91:CV91)</f>
        <v>-924642.0991</v>
      </c>
      <c r="CW104" s="153">
        <f>SUM(C91:CW91)</f>
        <v>-924642.0991</v>
      </c>
      <c r="CX104" s="153">
        <f>SUM(C91:CX91)</f>
        <v>-924642.0991</v>
      </c>
      <c r="CY104" s="153">
        <f>SUM(C91:CY91)</f>
        <v>-924642.0991</v>
      </c>
      <c r="CZ104" s="153">
        <f>SUM(C91:CZ91)</f>
        <v>-924642.0991</v>
      </c>
      <c r="DA104" s="153">
        <f>SUM(C91:DA91)</f>
        <v>-924642.0991</v>
      </c>
      <c r="DB104" s="153">
        <f>SUM(C91:DB91)</f>
        <v>-924642.0991</v>
      </c>
      <c r="DC104" s="153">
        <f>SUM(C91:DC91)</f>
        <v>-924642.0991</v>
      </c>
      <c r="DD104" s="153">
        <f>SUM(C91:DD91)</f>
        <v>-924642.0991</v>
      </c>
      <c r="DE104" s="153">
        <f>SUM(C91:DE91)</f>
        <v>-924642.0991</v>
      </c>
      <c r="DF104" s="153">
        <f>SUM(C91:DF91)</f>
        <v>-924642.0991</v>
      </c>
      <c r="DG104" s="153">
        <f>SUM(C91:DG91)</f>
        <v>-924642.0991</v>
      </c>
      <c r="DH104" s="153">
        <f>SUM(C91:DH91)</f>
        <v>-924642.0991</v>
      </c>
      <c r="DI104" s="153">
        <f>SUM(C91:DI91)</f>
        <v>-924642.0991</v>
      </c>
      <c r="DJ104" s="153">
        <f>SUM(C91:DJ91)</f>
        <v>-924642.0991</v>
      </c>
      <c r="DK104" s="153">
        <f>SUM(C91:DK91)</f>
        <v>-924642.0991</v>
      </c>
      <c r="DL104" s="153">
        <f>SUM(C91:DL91)</f>
        <v>-924642.0991</v>
      </c>
      <c r="DM104" s="153">
        <f>SUM(C91:DM91)</f>
        <v>-924642.0991</v>
      </c>
      <c r="DN104" s="153">
        <f>SUM(C91:DN91)</f>
        <v>-924642.0991</v>
      </c>
      <c r="DO104" s="153">
        <f>SUM(C91:DO91)</f>
        <v>-924642.0991</v>
      </c>
      <c r="DP104" s="153">
        <f>SUM(C91:DP91)</f>
        <v>-924642.0991</v>
      </c>
      <c r="DQ104" s="153">
        <f>SUM(C91:DQ91)</f>
        <v>-924642.0991</v>
      </c>
      <c r="DR104" s="153">
        <f>SUM(C91:DR91)</f>
        <v>-924642.0991</v>
      </c>
      <c r="DS104" s="54"/>
    </row>
    <row r="105" ht="15.0" customHeight="1">
      <c r="A105" s="54"/>
      <c r="B105" s="56" t="s">
        <v>349</v>
      </c>
      <c r="C105" s="179" t="str">
        <f t="shared" ref="C105:DR105" si="16">IF(C89=0,"-",C37/ABS(C89))</f>
        <v>-</v>
      </c>
      <c r="D105" s="179">
        <f t="shared" si="16"/>
        <v>0</v>
      </c>
      <c r="E105" s="179">
        <f t="shared" si="16"/>
        <v>0</v>
      </c>
      <c r="F105" s="179">
        <f t="shared" si="16"/>
        <v>0</v>
      </c>
      <c r="G105" s="179">
        <f t="shared" si="16"/>
        <v>0</v>
      </c>
      <c r="H105" s="179">
        <f t="shared" si="16"/>
        <v>0</v>
      </c>
      <c r="I105" s="179">
        <f t="shared" si="16"/>
        <v>0</v>
      </c>
      <c r="J105" s="179">
        <f t="shared" si="16"/>
        <v>0</v>
      </c>
      <c r="K105" s="179">
        <f t="shared" si="16"/>
        <v>0</v>
      </c>
      <c r="L105" s="179">
        <f t="shared" si="16"/>
        <v>0</v>
      </c>
      <c r="M105" s="179">
        <f t="shared" si="16"/>
        <v>0</v>
      </c>
      <c r="N105" s="179">
        <f t="shared" si="16"/>
        <v>0</v>
      </c>
      <c r="O105" s="179">
        <f t="shared" si="16"/>
        <v>0</v>
      </c>
      <c r="P105" s="179">
        <f t="shared" si="16"/>
        <v>0</v>
      </c>
      <c r="Q105" s="179">
        <f t="shared" si="16"/>
        <v>0</v>
      </c>
      <c r="R105" s="179">
        <f t="shared" si="16"/>
        <v>0</v>
      </c>
      <c r="S105" s="179">
        <f t="shared" si="16"/>
        <v>0</v>
      </c>
      <c r="T105" s="179">
        <f t="shared" si="16"/>
        <v>0</v>
      </c>
      <c r="U105" s="179">
        <f t="shared" si="16"/>
        <v>0</v>
      </c>
      <c r="V105" s="179">
        <f t="shared" si="16"/>
        <v>0</v>
      </c>
      <c r="W105" s="179">
        <f t="shared" si="16"/>
        <v>0</v>
      </c>
      <c r="X105" s="179">
        <f t="shared" si="16"/>
        <v>0</v>
      </c>
      <c r="Y105" s="179">
        <f t="shared" si="16"/>
        <v>0</v>
      </c>
      <c r="Z105" s="179">
        <f t="shared" si="16"/>
        <v>0</v>
      </c>
      <c r="AA105" s="179">
        <f t="shared" si="16"/>
        <v>0</v>
      </c>
      <c r="AB105" s="179">
        <f t="shared" si="16"/>
        <v>0</v>
      </c>
      <c r="AC105" s="179">
        <f t="shared" si="16"/>
        <v>0</v>
      </c>
      <c r="AD105" s="179">
        <f t="shared" si="16"/>
        <v>0</v>
      </c>
      <c r="AE105" s="179">
        <f t="shared" si="16"/>
        <v>0</v>
      </c>
      <c r="AF105" s="179">
        <f t="shared" si="16"/>
        <v>0</v>
      </c>
      <c r="AG105" s="179">
        <f t="shared" si="16"/>
        <v>0</v>
      </c>
      <c r="AH105" s="179">
        <f t="shared" si="16"/>
        <v>0</v>
      </c>
      <c r="AI105" s="179">
        <f t="shared" si="16"/>
        <v>0</v>
      </c>
      <c r="AJ105" s="179">
        <f t="shared" si="16"/>
        <v>0</v>
      </c>
      <c r="AK105" s="179">
        <f t="shared" si="16"/>
        <v>0</v>
      </c>
      <c r="AL105" s="179">
        <f t="shared" si="16"/>
        <v>0</v>
      </c>
      <c r="AM105" s="179">
        <f t="shared" si="16"/>
        <v>0</v>
      </c>
      <c r="AN105" s="179">
        <f t="shared" si="16"/>
        <v>0</v>
      </c>
      <c r="AO105" s="179">
        <f t="shared" si="16"/>
        <v>0</v>
      </c>
      <c r="AP105" s="179">
        <f t="shared" si="16"/>
        <v>0</v>
      </c>
      <c r="AQ105" s="179">
        <f t="shared" si="16"/>
        <v>0</v>
      </c>
      <c r="AR105" s="179">
        <f t="shared" si="16"/>
        <v>0</v>
      </c>
      <c r="AS105" s="179">
        <f t="shared" si="16"/>
        <v>0</v>
      </c>
      <c r="AT105" s="179">
        <f t="shared" si="16"/>
        <v>0</v>
      </c>
      <c r="AU105" s="179">
        <f t="shared" si="16"/>
        <v>0</v>
      </c>
      <c r="AV105" s="179">
        <f t="shared" si="16"/>
        <v>0</v>
      </c>
      <c r="AW105" s="179">
        <f t="shared" si="16"/>
        <v>0</v>
      </c>
      <c r="AX105" s="179">
        <f t="shared" si="16"/>
        <v>0</v>
      </c>
      <c r="AY105" s="179">
        <f t="shared" si="16"/>
        <v>0</v>
      </c>
      <c r="AZ105" s="179">
        <f t="shared" si="16"/>
        <v>0</v>
      </c>
      <c r="BA105" s="179">
        <f t="shared" si="16"/>
        <v>0</v>
      </c>
      <c r="BB105" s="179">
        <f t="shared" si="16"/>
        <v>0</v>
      </c>
      <c r="BC105" s="179">
        <f t="shared" si="16"/>
        <v>0</v>
      </c>
      <c r="BD105" s="179">
        <f t="shared" si="16"/>
        <v>0</v>
      </c>
      <c r="BE105" s="179">
        <f t="shared" si="16"/>
        <v>0</v>
      </c>
      <c r="BF105" s="179">
        <f t="shared" si="16"/>
        <v>0</v>
      </c>
      <c r="BG105" s="179">
        <f t="shared" si="16"/>
        <v>0</v>
      </c>
      <c r="BH105" s="179">
        <f t="shared" si="16"/>
        <v>0</v>
      </c>
      <c r="BI105" s="179">
        <f t="shared" si="16"/>
        <v>0</v>
      </c>
      <c r="BJ105" s="179">
        <f t="shared" si="16"/>
        <v>0</v>
      </c>
      <c r="BK105" s="179" t="str">
        <f t="shared" si="16"/>
        <v>-</v>
      </c>
      <c r="BL105" s="179" t="str">
        <f t="shared" si="16"/>
        <v>-</v>
      </c>
      <c r="BM105" s="179" t="str">
        <f t="shared" si="16"/>
        <v>-</v>
      </c>
      <c r="BN105" s="179" t="str">
        <f t="shared" si="16"/>
        <v>-</v>
      </c>
      <c r="BO105" s="179" t="str">
        <f t="shared" si="16"/>
        <v>-</v>
      </c>
      <c r="BP105" s="179" t="str">
        <f t="shared" si="16"/>
        <v>-</v>
      </c>
      <c r="BQ105" s="179" t="str">
        <f t="shared" si="16"/>
        <v>-</v>
      </c>
      <c r="BR105" s="179" t="str">
        <f t="shared" si="16"/>
        <v>-</v>
      </c>
      <c r="BS105" s="179" t="str">
        <f t="shared" si="16"/>
        <v>-</v>
      </c>
      <c r="BT105" s="179" t="str">
        <f t="shared" si="16"/>
        <v>-</v>
      </c>
      <c r="BU105" s="179" t="str">
        <f t="shared" si="16"/>
        <v>-</v>
      </c>
      <c r="BV105" s="179" t="str">
        <f t="shared" si="16"/>
        <v>-</v>
      </c>
      <c r="BW105" s="179" t="str">
        <f t="shared" si="16"/>
        <v>-</v>
      </c>
      <c r="BX105" s="179" t="str">
        <f t="shared" si="16"/>
        <v>-</v>
      </c>
      <c r="BY105" s="179" t="str">
        <f t="shared" si="16"/>
        <v>-</v>
      </c>
      <c r="BZ105" s="179" t="str">
        <f t="shared" si="16"/>
        <v>-</v>
      </c>
      <c r="CA105" s="179" t="str">
        <f t="shared" si="16"/>
        <v>-</v>
      </c>
      <c r="CB105" s="179" t="str">
        <f t="shared" si="16"/>
        <v>-</v>
      </c>
      <c r="CC105" s="179" t="str">
        <f t="shared" si="16"/>
        <v>-</v>
      </c>
      <c r="CD105" s="179" t="str">
        <f t="shared" si="16"/>
        <v>-</v>
      </c>
      <c r="CE105" s="179" t="str">
        <f t="shared" si="16"/>
        <v>-</v>
      </c>
      <c r="CF105" s="179" t="str">
        <f t="shared" si="16"/>
        <v>-</v>
      </c>
      <c r="CG105" s="179" t="str">
        <f t="shared" si="16"/>
        <v>-</v>
      </c>
      <c r="CH105" s="179" t="str">
        <f t="shared" si="16"/>
        <v>-</v>
      </c>
      <c r="CI105" s="179" t="str">
        <f t="shared" si="16"/>
        <v>-</v>
      </c>
      <c r="CJ105" s="179" t="str">
        <f t="shared" si="16"/>
        <v>-</v>
      </c>
      <c r="CK105" s="179" t="str">
        <f t="shared" si="16"/>
        <v>-</v>
      </c>
      <c r="CL105" s="179" t="str">
        <f t="shared" si="16"/>
        <v>-</v>
      </c>
      <c r="CM105" s="179" t="str">
        <f t="shared" si="16"/>
        <v>-</v>
      </c>
      <c r="CN105" s="179" t="str">
        <f t="shared" si="16"/>
        <v>-</v>
      </c>
      <c r="CO105" s="179" t="str">
        <f t="shared" si="16"/>
        <v>-</v>
      </c>
      <c r="CP105" s="179" t="str">
        <f t="shared" si="16"/>
        <v>-</v>
      </c>
      <c r="CQ105" s="179" t="str">
        <f t="shared" si="16"/>
        <v>-</v>
      </c>
      <c r="CR105" s="179" t="str">
        <f t="shared" si="16"/>
        <v>-</v>
      </c>
      <c r="CS105" s="179" t="str">
        <f t="shared" si="16"/>
        <v>-</v>
      </c>
      <c r="CT105" s="179" t="str">
        <f t="shared" si="16"/>
        <v>-</v>
      </c>
      <c r="CU105" s="179" t="str">
        <f t="shared" si="16"/>
        <v>-</v>
      </c>
      <c r="CV105" s="179" t="str">
        <f t="shared" si="16"/>
        <v>-</v>
      </c>
      <c r="CW105" s="179" t="str">
        <f t="shared" si="16"/>
        <v>-</v>
      </c>
      <c r="CX105" s="179" t="str">
        <f t="shared" si="16"/>
        <v>-</v>
      </c>
      <c r="CY105" s="179" t="str">
        <f t="shared" si="16"/>
        <v>-</v>
      </c>
      <c r="CZ105" s="179" t="str">
        <f t="shared" si="16"/>
        <v>-</v>
      </c>
      <c r="DA105" s="179" t="str">
        <f t="shared" si="16"/>
        <v>-</v>
      </c>
      <c r="DB105" s="179" t="str">
        <f t="shared" si="16"/>
        <v>-</v>
      </c>
      <c r="DC105" s="179" t="str">
        <f t="shared" si="16"/>
        <v>-</v>
      </c>
      <c r="DD105" s="179" t="str">
        <f t="shared" si="16"/>
        <v>-</v>
      </c>
      <c r="DE105" s="179" t="str">
        <f t="shared" si="16"/>
        <v>-</v>
      </c>
      <c r="DF105" s="179" t="str">
        <f t="shared" si="16"/>
        <v>-</v>
      </c>
      <c r="DG105" s="179" t="str">
        <f t="shared" si="16"/>
        <v>-</v>
      </c>
      <c r="DH105" s="179" t="str">
        <f t="shared" si="16"/>
        <v>-</v>
      </c>
      <c r="DI105" s="179" t="str">
        <f t="shared" si="16"/>
        <v>-</v>
      </c>
      <c r="DJ105" s="179" t="str">
        <f t="shared" si="16"/>
        <v>-</v>
      </c>
      <c r="DK105" s="179" t="str">
        <f t="shared" si="16"/>
        <v>-</v>
      </c>
      <c r="DL105" s="179" t="str">
        <f t="shared" si="16"/>
        <v>-</v>
      </c>
      <c r="DM105" s="179" t="str">
        <f t="shared" si="16"/>
        <v>-</v>
      </c>
      <c r="DN105" s="179" t="str">
        <f t="shared" si="16"/>
        <v>-</v>
      </c>
      <c r="DO105" s="179" t="str">
        <f t="shared" si="16"/>
        <v>-</v>
      </c>
      <c r="DP105" s="179" t="str">
        <f t="shared" si="16"/>
        <v>-</v>
      </c>
      <c r="DQ105" s="179" t="str">
        <f t="shared" si="16"/>
        <v>-</v>
      </c>
      <c r="DR105" s="179" t="str">
        <f t="shared" si="16"/>
        <v>-</v>
      </c>
      <c r="DS105" s="54"/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B67:DR67"/>
    <mergeCell ref="B76:DR76"/>
    <mergeCell ref="B94:DR94"/>
    <mergeCell ref="B102:DR102"/>
    <mergeCell ref="A1:DS1"/>
    <mergeCell ref="A2:DS2"/>
    <mergeCell ref="B7:DR7"/>
    <mergeCell ref="B19:DR19"/>
    <mergeCell ref="B39:DR39"/>
    <mergeCell ref="B42:DR42"/>
    <mergeCell ref="B58:DR58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3.0"/>
    <col customWidth="1" min="2" max="2" width="44.14"/>
    <col customWidth="1" min="3" max="3" width="12.57"/>
    <col customWidth="1" min="4" max="4" width="9.71"/>
    <col customWidth="1" min="5" max="5" width="9.86"/>
    <col customWidth="1" min="6" max="10" width="9.71"/>
    <col customWidth="1" min="11" max="18" width="9.86"/>
    <col customWidth="1" min="19" max="21" width="9.71"/>
    <col customWidth="1" min="22" max="22" width="11.29"/>
    <col customWidth="1" min="23" max="41" width="11.14"/>
    <col customWidth="1" min="42" max="42" width="12.57"/>
    <col customWidth="1" min="43" max="43" width="7.43"/>
  </cols>
  <sheetData>
    <row r="1" ht="27.75" customHeight="1">
      <c r="A1" s="52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3"/>
    </row>
    <row r="2" ht="13.5" customHeight="1">
      <c r="A2" s="53" t="s">
        <v>351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3"/>
    </row>
    <row r="3" ht="24.0" customHeight="1">
      <c r="A3" s="54"/>
      <c r="B3" s="180" t="s">
        <v>352</v>
      </c>
      <c r="C3" s="181">
        <v>1.0</v>
      </c>
      <c r="D3" s="181">
        <v>2.0</v>
      </c>
      <c r="E3" s="181">
        <v>3.0</v>
      </c>
      <c r="F3" s="181">
        <v>4.0</v>
      </c>
      <c r="G3" s="181">
        <v>5.0</v>
      </c>
      <c r="H3" s="181">
        <v>6.0</v>
      </c>
      <c r="I3" s="181">
        <v>7.0</v>
      </c>
      <c r="J3" s="181">
        <v>8.0</v>
      </c>
      <c r="K3" s="181">
        <v>9.0</v>
      </c>
      <c r="L3" s="181">
        <v>10.0</v>
      </c>
      <c r="M3" s="181">
        <v>11.0</v>
      </c>
      <c r="N3" s="181">
        <v>12.0</v>
      </c>
      <c r="O3" s="181">
        <v>13.0</v>
      </c>
      <c r="P3" s="181">
        <v>14.0</v>
      </c>
      <c r="Q3" s="181">
        <v>15.0</v>
      </c>
      <c r="R3" s="181">
        <v>16.0</v>
      </c>
      <c r="S3" s="181">
        <v>17.0</v>
      </c>
      <c r="T3" s="181">
        <v>18.0</v>
      </c>
      <c r="U3" s="181">
        <v>19.0</v>
      </c>
      <c r="V3" s="181">
        <v>20.0</v>
      </c>
      <c r="W3" s="181">
        <v>21.0</v>
      </c>
      <c r="X3" s="181">
        <v>22.0</v>
      </c>
      <c r="Y3" s="181">
        <v>23.0</v>
      </c>
      <c r="Z3" s="181">
        <v>24.0</v>
      </c>
      <c r="AA3" s="181">
        <v>25.0</v>
      </c>
      <c r="AB3" s="181">
        <v>26.0</v>
      </c>
      <c r="AC3" s="181">
        <v>27.0</v>
      </c>
      <c r="AD3" s="181">
        <v>28.0</v>
      </c>
      <c r="AE3" s="181">
        <v>29.0</v>
      </c>
      <c r="AF3" s="181">
        <v>30.0</v>
      </c>
      <c r="AG3" s="181">
        <v>31.0</v>
      </c>
      <c r="AH3" s="181">
        <v>32.0</v>
      </c>
      <c r="AI3" s="181">
        <v>33.0</v>
      </c>
      <c r="AJ3" s="181">
        <v>34.0</v>
      </c>
      <c r="AK3" s="181">
        <v>35.0</v>
      </c>
      <c r="AL3" s="181">
        <v>36.0</v>
      </c>
      <c r="AM3" s="181">
        <v>37.0</v>
      </c>
      <c r="AN3" s="181">
        <v>38.0</v>
      </c>
      <c r="AO3" s="181">
        <v>39.0</v>
      </c>
      <c r="AP3" s="181">
        <v>40.0</v>
      </c>
      <c r="AQ3" s="54"/>
    </row>
    <row r="4" ht="15.75" customHeight="1">
      <c r="A4" s="54"/>
      <c r="B4" s="182" t="s">
        <v>305</v>
      </c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  <c r="AA4" s="183"/>
      <c r="AB4" s="183"/>
      <c r="AC4" s="18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83"/>
      <c r="AP4" s="183"/>
      <c r="AQ4" s="54"/>
    </row>
    <row r="5" ht="15.75" customHeight="1">
      <c r="A5" s="54"/>
      <c r="B5" s="184" t="s">
        <v>97</v>
      </c>
      <c r="C5" s="185">
        <f>SUMIF('Monthly CF'!$C$4:$DR$4,C$3,'Monthly CF'!$C$8:$DR$8)</f>
        <v>0</v>
      </c>
      <c r="D5" s="185">
        <f>SUMIF('Monthly CF'!$C$4:$DR$4,D$3,'Monthly CF'!$C$8:$DR$8)</f>
        <v>0</v>
      </c>
      <c r="E5" s="185">
        <f>SUMIF('Monthly CF'!$C$4:$DR$4,E$3,'Monthly CF'!$C$8:$DR$8)</f>
        <v>0</v>
      </c>
      <c r="F5" s="185">
        <f>SUMIF('Monthly CF'!$C$4:$DR$4,F$3,'Monthly CF'!$C$8:$DR$8)</f>
        <v>0</v>
      </c>
      <c r="G5" s="185">
        <f>SUMIF('Monthly CF'!$C$4:$DR$4,G$3,'Monthly CF'!$C$8:$DR$8)</f>
        <v>0</v>
      </c>
      <c r="H5" s="185">
        <f>SUMIF('Monthly CF'!$C$4:$DR$4,H$3,'Monthly CF'!$C$8:$DR$8)</f>
        <v>0</v>
      </c>
      <c r="I5" s="185">
        <f>SUMIF('Monthly CF'!$C$4:$DR$4,I$3,'Monthly CF'!$C$8:$DR$8)</f>
        <v>0</v>
      </c>
      <c r="J5" s="185">
        <f>SUMIF('Monthly CF'!$C$4:$DR$4,J$3,'Monthly CF'!$C$8:$DR$8)</f>
        <v>0</v>
      </c>
      <c r="K5" s="185">
        <f>SUMIF('Monthly CF'!$C$4:$DR$4,K$3,'Monthly CF'!$C$8:$DR$8)</f>
        <v>0</v>
      </c>
      <c r="L5" s="185">
        <f>SUMIF('Monthly CF'!$C$4:$DR$4,L$3,'Monthly CF'!$C$8:$DR$8)</f>
        <v>0</v>
      </c>
      <c r="M5" s="185">
        <f>SUMIF('Monthly CF'!$C$4:$DR$4,M$3,'Monthly CF'!$C$8:$DR$8)</f>
        <v>0</v>
      </c>
      <c r="N5" s="185">
        <f>SUMIF('Monthly CF'!$C$4:$DR$4,N$3,'Monthly CF'!$C$8:$DR$8)</f>
        <v>0</v>
      </c>
      <c r="O5" s="185">
        <f>SUMIF('Monthly CF'!$C$4:$DR$4,O$3,'Monthly CF'!$C$8:$DR$8)</f>
        <v>0</v>
      </c>
      <c r="P5" s="185">
        <f>SUMIF('Monthly CF'!$C$4:$DR$4,P$3,'Monthly CF'!$C$8:$DR$8)</f>
        <v>0</v>
      </c>
      <c r="Q5" s="185">
        <f>SUMIF('Monthly CF'!$C$4:$DR$4,Q$3,'Monthly CF'!$C$8:$DR$8)</f>
        <v>0</v>
      </c>
      <c r="R5" s="185">
        <f>SUMIF('Monthly CF'!$C$4:$DR$4,R$3,'Monthly CF'!$C$8:$DR$8)</f>
        <v>0</v>
      </c>
      <c r="S5" s="185">
        <f>SUMIF('Monthly CF'!$C$4:$DR$4,S$3,'Monthly CF'!$C$8:$DR$8)</f>
        <v>0</v>
      </c>
      <c r="T5" s="185">
        <f>SUMIF('Monthly CF'!$C$4:$DR$4,T$3,'Monthly CF'!$C$8:$DR$8)</f>
        <v>0</v>
      </c>
      <c r="U5" s="185">
        <f>SUMIF('Monthly CF'!$C$4:$DR$4,U$3,'Monthly CF'!$C$8:$DR$8)</f>
        <v>0</v>
      </c>
      <c r="V5" s="185">
        <f>SUMIF('Monthly CF'!$C$4:$DR$4,V$3,'Monthly CF'!$C$8:$DR$8)</f>
        <v>0</v>
      </c>
      <c r="W5" s="185">
        <f>SUMIF('Monthly CF'!$C$4:$DR$4,W$3,'Monthly CF'!$C$8:$DR$8)</f>
        <v>0</v>
      </c>
      <c r="X5" s="185">
        <f>SUMIF('Monthly CF'!$C$4:$DR$4,X$3,'Monthly CF'!$C$8:$DR$8)</f>
        <v>0</v>
      </c>
      <c r="Y5" s="185">
        <f>SUMIF('Monthly CF'!$C$4:$DR$4,Y$3,'Monthly CF'!$C$8:$DR$8)</f>
        <v>0</v>
      </c>
      <c r="Z5" s="185">
        <f>SUMIF('Monthly CF'!$C$4:$DR$4,Z$3,'Monthly CF'!$C$8:$DR$8)</f>
        <v>0</v>
      </c>
      <c r="AA5" s="185">
        <f>SUMIF('Monthly CF'!$C$4:$DR$4,AA$3,'Monthly CF'!$C$8:$DR$8)</f>
        <v>0</v>
      </c>
      <c r="AB5" s="185">
        <f>SUMIF('Monthly CF'!$C$4:$DR$4,AB$3,'Monthly CF'!$C$8:$DR$8)</f>
        <v>0</v>
      </c>
      <c r="AC5" s="185">
        <f>SUMIF('Monthly CF'!$C$4:$DR$4,AC$3,'Monthly CF'!$C$8:$DR$8)</f>
        <v>0</v>
      </c>
      <c r="AD5" s="185">
        <f>SUMIF('Monthly CF'!$C$4:$DR$4,AD$3,'Monthly CF'!$C$8:$DR$8)</f>
        <v>0</v>
      </c>
      <c r="AE5" s="185">
        <f>SUMIF('Monthly CF'!$C$4:$DR$4,AE$3,'Monthly CF'!$C$8:$DR$8)</f>
        <v>0</v>
      </c>
      <c r="AF5" s="185">
        <f>SUMIF('Monthly CF'!$C$4:$DR$4,AF$3,'Monthly CF'!$C$8:$DR$8)</f>
        <v>0</v>
      </c>
      <c r="AG5" s="185">
        <f>SUMIF('Monthly CF'!$C$4:$DR$4,AG$3,'Monthly CF'!$C$8:$DR$8)</f>
        <v>0</v>
      </c>
      <c r="AH5" s="185">
        <f>SUMIF('Monthly CF'!$C$4:$DR$4,AH$3,'Monthly CF'!$C$8:$DR$8)</f>
        <v>0</v>
      </c>
      <c r="AI5" s="185">
        <f>SUMIF('Monthly CF'!$C$4:$DR$4,AI$3,'Monthly CF'!$C$8:$DR$8)</f>
        <v>0</v>
      </c>
      <c r="AJ5" s="185">
        <f>SUMIF('Monthly CF'!$C$4:$DR$4,AJ$3,'Monthly CF'!$C$8:$DR$8)</f>
        <v>0</v>
      </c>
      <c r="AK5" s="185">
        <f>SUMIF('Monthly CF'!$C$4:$DR$4,AK$3,'Monthly CF'!$C$8:$DR$8)</f>
        <v>0</v>
      </c>
      <c r="AL5" s="185">
        <f>SUMIF('Monthly CF'!$C$4:$DR$4,AL$3,'Monthly CF'!$C$8:$DR$8)</f>
        <v>0</v>
      </c>
      <c r="AM5" s="185">
        <f>SUMIF('Monthly CF'!$C$4:$DR$4,AM$3,'Monthly CF'!$C$8:$DR$8)</f>
        <v>0</v>
      </c>
      <c r="AN5" s="185">
        <f>SUMIF('Monthly CF'!$C$4:$DR$4,AN$3,'Monthly CF'!$C$8:$DR$8)</f>
        <v>0</v>
      </c>
      <c r="AO5" s="185">
        <f>SUMIF('Monthly CF'!$C$4:$DR$4,AO$3,'Monthly CF'!$C$8:$DR$8)</f>
        <v>0</v>
      </c>
      <c r="AP5" s="185">
        <f>SUMIF('Monthly CF'!$C$4:$DR$4,AP$3,'Monthly CF'!$C$8:$DR$8)</f>
        <v>0</v>
      </c>
      <c r="AQ5" s="54"/>
    </row>
    <row r="6" ht="15.75" customHeight="1">
      <c r="A6" s="54"/>
      <c r="B6" s="184" t="s">
        <v>306</v>
      </c>
      <c r="C6" s="185">
        <f>SUMIF('Monthly CF'!$C$4:$DR$4,C$3,'Monthly CF'!$C$9:$DR$9)</f>
        <v>0</v>
      </c>
      <c r="D6" s="185">
        <f>SUMIF('Monthly CF'!$C$4:$DR$4,D$3,'Monthly CF'!$C$9:$DR$9)</f>
        <v>0</v>
      </c>
      <c r="E6" s="185">
        <f>SUMIF('Monthly CF'!$C$4:$DR$4,E$3,'Monthly CF'!$C$9:$DR$9)</f>
        <v>0</v>
      </c>
      <c r="F6" s="185">
        <f>SUMIF('Monthly CF'!$C$4:$DR$4,F$3,'Monthly CF'!$C$9:$DR$9)</f>
        <v>0</v>
      </c>
      <c r="G6" s="185">
        <f>SUMIF('Monthly CF'!$C$4:$DR$4,G$3,'Monthly CF'!$C$9:$DR$9)</f>
        <v>0</v>
      </c>
      <c r="H6" s="185">
        <f>SUMIF('Monthly CF'!$C$4:$DR$4,H$3,'Monthly CF'!$C$9:$DR$9)</f>
        <v>0</v>
      </c>
      <c r="I6" s="185">
        <f>SUMIF('Monthly CF'!$C$4:$DR$4,I$3,'Monthly CF'!$C$9:$DR$9)</f>
        <v>0</v>
      </c>
      <c r="J6" s="185">
        <f>SUMIF('Monthly CF'!$C$4:$DR$4,J$3,'Monthly CF'!$C$9:$DR$9)</f>
        <v>0</v>
      </c>
      <c r="K6" s="185">
        <f>SUMIF('Monthly CF'!$C$4:$DR$4,K$3,'Monthly CF'!$C$9:$DR$9)</f>
        <v>0</v>
      </c>
      <c r="L6" s="185">
        <f>SUMIF('Monthly CF'!$C$4:$DR$4,L$3,'Monthly CF'!$C$9:$DR$9)</f>
        <v>0</v>
      </c>
      <c r="M6" s="185">
        <f>SUMIF('Monthly CF'!$C$4:$DR$4,M$3,'Monthly CF'!$C$9:$DR$9)</f>
        <v>0</v>
      </c>
      <c r="N6" s="185">
        <f>SUMIF('Monthly CF'!$C$4:$DR$4,N$3,'Monthly CF'!$C$9:$DR$9)</f>
        <v>0</v>
      </c>
      <c r="O6" s="185">
        <f>SUMIF('Monthly CF'!$C$4:$DR$4,O$3,'Monthly CF'!$C$9:$DR$9)</f>
        <v>0</v>
      </c>
      <c r="P6" s="185">
        <f>SUMIF('Monthly CF'!$C$4:$DR$4,P$3,'Monthly CF'!$C$9:$DR$9)</f>
        <v>0</v>
      </c>
      <c r="Q6" s="185">
        <f>SUMIF('Monthly CF'!$C$4:$DR$4,Q$3,'Monthly CF'!$C$9:$DR$9)</f>
        <v>0</v>
      </c>
      <c r="R6" s="185">
        <f>SUMIF('Monthly CF'!$C$4:$DR$4,R$3,'Monthly CF'!$C$9:$DR$9)</f>
        <v>0</v>
      </c>
      <c r="S6" s="185">
        <f>SUMIF('Monthly CF'!$C$4:$DR$4,S$3,'Monthly CF'!$C$9:$DR$9)</f>
        <v>0</v>
      </c>
      <c r="T6" s="185">
        <f>SUMIF('Monthly CF'!$C$4:$DR$4,T$3,'Monthly CF'!$C$9:$DR$9)</f>
        <v>0</v>
      </c>
      <c r="U6" s="185">
        <f>SUMIF('Monthly CF'!$C$4:$DR$4,U$3,'Monthly CF'!$C$9:$DR$9)</f>
        <v>0</v>
      </c>
      <c r="V6" s="185">
        <f>SUMIF('Monthly CF'!$C$4:$DR$4,V$3,'Monthly CF'!$C$9:$DR$9)</f>
        <v>0</v>
      </c>
      <c r="W6" s="185">
        <f>SUMIF('Monthly CF'!$C$4:$DR$4,W$3,'Monthly CF'!$C$9:$DR$9)</f>
        <v>0</v>
      </c>
      <c r="X6" s="185">
        <f>SUMIF('Monthly CF'!$C$4:$DR$4,X$3,'Monthly CF'!$C$9:$DR$9)</f>
        <v>0</v>
      </c>
      <c r="Y6" s="185">
        <f>SUMIF('Monthly CF'!$C$4:$DR$4,Y$3,'Monthly CF'!$C$9:$DR$9)</f>
        <v>0</v>
      </c>
      <c r="Z6" s="185">
        <f>SUMIF('Monthly CF'!$C$4:$DR$4,Z$3,'Monthly CF'!$C$9:$DR$9)</f>
        <v>0</v>
      </c>
      <c r="AA6" s="185">
        <f>SUMIF('Monthly CF'!$C$4:$DR$4,AA$3,'Monthly CF'!$C$9:$DR$9)</f>
        <v>0</v>
      </c>
      <c r="AB6" s="185">
        <f>SUMIF('Monthly CF'!$C$4:$DR$4,AB$3,'Monthly CF'!$C$9:$DR$9)</f>
        <v>0</v>
      </c>
      <c r="AC6" s="185">
        <f>SUMIF('Monthly CF'!$C$4:$DR$4,AC$3,'Monthly CF'!$C$9:$DR$9)</f>
        <v>0</v>
      </c>
      <c r="AD6" s="185">
        <f>SUMIF('Monthly CF'!$C$4:$DR$4,AD$3,'Monthly CF'!$C$9:$DR$9)</f>
        <v>0</v>
      </c>
      <c r="AE6" s="185">
        <f>SUMIF('Monthly CF'!$C$4:$DR$4,AE$3,'Monthly CF'!$C$9:$DR$9)</f>
        <v>0</v>
      </c>
      <c r="AF6" s="185">
        <f>SUMIF('Monthly CF'!$C$4:$DR$4,AF$3,'Monthly CF'!$C$9:$DR$9)</f>
        <v>0</v>
      </c>
      <c r="AG6" s="185">
        <f>SUMIF('Monthly CF'!$C$4:$DR$4,AG$3,'Monthly CF'!$C$9:$DR$9)</f>
        <v>0</v>
      </c>
      <c r="AH6" s="185">
        <f>SUMIF('Monthly CF'!$C$4:$DR$4,AH$3,'Monthly CF'!$C$9:$DR$9)</f>
        <v>0</v>
      </c>
      <c r="AI6" s="185">
        <f>SUMIF('Monthly CF'!$C$4:$DR$4,AI$3,'Monthly CF'!$C$9:$DR$9)</f>
        <v>0</v>
      </c>
      <c r="AJ6" s="185">
        <f>SUMIF('Monthly CF'!$C$4:$DR$4,AJ$3,'Monthly CF'!$C$9:$DR$9)</f>
        <v>0</v>
      </c>
      <c r="AK6" s="185">
        <f>SUMIF('Monthly CF'!$C$4:$DR$4,AK$3,'Monthly CF'!$C$9:$DR$9)</f>
        <v>0</v>
      </c>
      <c r="AL6" s="185">
        <f>SUMIF('Monthly CF'!$C$4:$DR$4,AL$3,'Monthly CF'!$C$9:$DR$9)</f>
        <v>0</v>
      </c>
      <c r="AM6" s="185">
        <f>SUMIF('Monthly CF'!$C$4:$DR$4,AM$3,'Monthly CF'!$C$9:$DR$9)</f>
        <v>0</v>
      </c>
      <c r="AN6" s="185">
        <f>SUMIF('Monthly CF'!$C$4:$DR$4,AN$3,'Monthly CF'!$C$9:$DR$9)</f>
        <v>0</v>
      </c>
      <c r="AO6" s="185">
        <f>SUMIF('Monthly CF'!$C$4:$DR$4,AO$3,'Monthly CF'!$C$9:$DR$9)</f>
        <v>0</v>
      </c>
      <c r="AP6" s="185">
        <f>SUMIF('Monthly CF'!$C$4:$DR$4,AP$3,'Monthly CF'!$C$9:$DR$9)</f>
        <v>0</v>
      </c>
      <c r="AQ6" s="54"/>
    </row>
    <row r="7" ht="15.75" customHeight="1">
      <c r="A7" s="54"/>
      <c r="B7" s="184" t="s">
        <v>307</v>
      </c>
      <c r="C7" s="67">
        <f>SUMIF('Monthly CF'!$C$4:$DR$4,C$3,'Monthly CF'!$C$10:$DR$10)</f>
        <v>0</v>
      </c>
      <c r="D7" s="67">
        <f>SUMIF('Monthly CF'!$C$4:$DR$4,D$3,'Monthly CF'!$C$10:$DR$10)</f>
        <v>0</v>
      </c>
      <c r="E7" s="67">
        <f>SUMIF('Monthly CF'!$C$4:$DR$4,E$3,'Monthly CF'!$C$10:$DR$10)</f>
        <v>0</v>
      </c>
      <c r="F7" s="67">
        <f>SUMIF('Monthly CF'!$C$4:$DR$4,F$3,'Monthly CF'!$C$10:$DR$10)</f>
        <v>0</v>
      </c>
      <c r="G7" s="67">
        <f>SUMIF('Monthly CF'!$C$4:$DR$4,G$3,'Monthly CF'!$C$10:$DR$10)</f>
        <v>0</v>
      </c>
      <c r="H7" s="67">
        <f>SUMIF('Monthly CF'!$C$4:$DR$4,H$3,'Monthly CF'!$C$10:$DR$10)</f>
        <v>0</v>
      </c>
      <c r="I7" s="67">
        <f>SUMIF('Monthly CF'!$C$4:$DR$4,I$3,'Monthly CF'!$C$10:$DR$10)</f>
        <v>0</v>
      </c>
      <c r="J7" s="67">
        <f>SUMIF('Monthly CF'!$C$4:$DR$4,J$3,'Monthly CF'!$C$10:$DR$10)</f>
        <v>0</v>
      </c>
      <c r="K7" s="67">
        <f>SUMIF('Monthly CF'!$C$4:$DR$4,K$3,'Monthly CF'!$C$10:$DR$10)</f>
        <v>0</v>
      </c>
      <c r="L7" s="67">
        <f>SUMIF('Monthly CF'!$C$4:$DR$4,L$3,'Monthly CF'!$C$10:$DR$10)</f>
        <v>0</v>
      </c>
      <c r="M7" s="67">
        <f>SUMIF('Monthly CF'!$C$4:$DR$4,M$3,'Monthly CF'!$C$10:$DR$10)</f>
        <v>0</v>
      </c>
      <c r="N7" s="67">
        <f>SUMIF('Monthly CF'!$C$4:$DR$4,N$3,'Monthly CF'!$C$10:$DR$10)</f>
        <v>0</v>
      </c>
      <c r="O7" s="67">
        <f>SUMIF('Monthly CF'!$C$4:$DR$4,O$3,'Monthly CF'!$C$10:$DR$10)</f>
        <v>0</v>
      </c>
      <c r="P7" s="67">
        <f>SUMIF('Monthly CF'!$C$4:$DR$4,P$3,'Monthly CF'!$C$10:$DR$10)</f>
        <v>0</v>
      </c>
      <c r="Q7" s="67">
        <f>SUMIF('Monthly CF'!$C$4:$DR$4,Q$3,'Monthly CF'!$C$10:$DR$10)</f>
        <v>0</v>
      </c>
      <c r="R7" s="67">
        <f>SUMIF('Monthly CF'!$C$4:$DR$4,R$3,'Monthly CF'!$C$10:$DR$10)</f>
        <v>0</v>
      </c>
      <c r="S7" s="67">
        <f>SUMIF('Monthly CF'!$C$4:$DR$4,S$3,'Monthly CF'!$C$10:$DR$10)</f>
        <v>0</v>
      </c>
      <c r="T7" s="67">
        <f>SUMIF('Monthly CF'!$C$4:$DR$4,T$3,'Monthly CF'!$C$10:$DR$10)</f>
        <v>0</v>
      </c>
      <c r="U7" s="67">
        <f>SUMIF('Monthly CF'!$C$4:$DR$4,U$3,'Monthly CF'!$C$10:$DR$10)</f>
        <v>0</v>
      </c>
      <c r="V7" s="67">
        <f>SUMIF('Monthly CF'!$C$4:$DR$4,V$3,'Monthly CF'!$C$10:$DR$10)</f>
        <v>0</v>
      </c>
      <c r="W7" s="67">
        <f>SUMIF('Monthly CF'!$C$4:$DR$4,W$3,'Monthly CF'!$C$10:$DR$10)</f>
        <v>0</v>
      </c>
      <c r="X7" s="67">
        <f>SUMIF('Monthly CF'!$C$4:$DR$4,X$3,'Monthly CF'!$C$10:$DR$10)</f>
        <v>0</v>
      </c>
      <c r="Y7" s="67">
        <f>SUMIF('Monthly CF'!$C$4:$DR$4,Y$3,'Monthly CF'!$C$10:$DR$10)</f>
        <v>0</v>
      </c>
      <c r="Z7" s="67">
        <f>SUMIF('Monthly CF'!$C$4:$DR$4,Z$3,'Monthly CF'!$C$10:$DR$10)</f>
        <v>0</v>
      </c>
      <c r="AA7" s="67">
        <f>SUMIF('Monthly CF'!$C$4:$DR$4,AA$3,'Monthly CF'!$C$10:$DR$10)</f>
        <v>0</v>
      </c>
      <c r="AB7" s="67">
        <f>SUMIF('Monthly CF'!$C$4:$DR$4,AB$3,'Monthly CF'!$C$10:$DR$10)</f>
        <v>0</v>
      </c>
      <c r="AC7" s="67">
        <f>SUMIF('Monthly CF'!$C$4:$DR$4,AC$3,'Monthly CF'!$C$10:$DR$10)</f>
        <v>0</v>
      </c>
      <c r="AD7" s="67">
        <f>SUMIF('Monthly CF'!$C$4:$DR$4,AD$3,'Monthly CF'!$C$10:$DR$10)</f>
        <v>0</v>
      </c>
      <c r="AE7" s="67">
        <f>SUMIF('Monthly CF'!$C$4:$DR$4,AE$3,'Monthly CF'!$C$10:$DR$10)</f>
        <v>0</v>
      </c>
      <c r="AF7" s="67">
        <f>SUMIF('Monthly CF'!$C$4:$DR$4,AF$3,'Monthly CF'!$C$10:$DR$10)</f>
        <v>0</v>
      </c>
      <c r="AG7" s="67">
        <f>SUMIF('Monthly CF'!$C$4:$DR$4,AG$3,'Monthly CF'!$C$10:$DR$10)</f>
        <v>0</v>
      </c>
      <c r="AH7" s="67">
        <f>SUMIF('Monthly CF'!$C$4:$DR$4,AH$3,'Monthly CF'!$C$10:$DR$10)</f>
        <v>0</v>
      </c>
      <c r="AI7" s="67">
        <f>SUMIF('Monthly CF'!$C$4:$DR$4,AI$3,'Monthly CF'!$C$10:$DR$10)</f>
        <v>0</v>
      </c>
      <c r="AJ7" s="67">
        <f>SUMIF('Monthly CF'!$C$4:$DR$4,AJ$3,'Monthly CF'!$C$10:$DR$10)</f>
        <v>0</v>
      </c>
      <c r="AK7" s="67">
        <f>SUMIF('Monthly CF'!$C$4:$DR$4,AK$3,'Monthly CF'!$C$10:$DR$10)</f>
        <v>0</v>
      </c>
      <c r="AL7" s="67">
        <f>SUMIF('Monthly CF'!$C$4:$DR$4,AL$3,'Monthly CF'!$C$10:$DR$10)</f>
        <v>0</v>
      </c>
      <c r="AM7" s="67">
        <f>SUMIF('Monthly CF'!$C$4:$DR$4,AM$3,'Monthly CF'!$C$10:$DR$10)</f>
        <v>0</v>
      </c>
      <c r="AN7" s="67">
        <f>SUMIF('Monthly CF'!$C$4:$DR$4,AN$3,'Monthly CF'!$C$10:$DR$10)</f>
        <v>0</v>
      </c>
      <c r="AO7" s="67">
        <f>SUMIF('Monthly CF'!$C$4:$DR$4,AO$3,'Monthly CF'!$C$10:$DR$10)</f>
        <v>0</v>
      </c>
      <c r="AP7" s="67">
        <f>SUMIF('Monthly CF'!$C$4:$DR$4,AP$3,'Monthly CF'!$C$10:$DR$10)</f>
        <v>0</v>
      </c>
      <c r="AQ7" s="67">
        <f>SUMIF('Monthly CF'!$C$4:$DR$4,AQ$3,'Monthly CF'!$C$10:$DR$10)</f>
        <v>0</v>
      </c>
    </row>
    <row r="8" ht="15.75" customHeight="1">
      <c r="A8" s="54"/>
      <c r="B8" s="186" t="s">
        <v>308</v>
      </c>
      <c r="C8" s="187">
        <f>SUMIF('Monthly CF'!$C$4:$DR$4,C$3,'Monthly CF'!$C$11:$DR$11)</f>
        <v>0</v>
      </c>
      <c r="D8" s="187">
        <f>SUMIF('Monthly CF'!$C$4:$DR$4,D$3,'Monthly CF'!$C$11:$DR$11)</f>
        <v>0</v>
      </c>
      <c r="E8" s="187">
        <f>SUMIF('Monthly CF'!$C$4:$DR$4,E$3,'Monthly CF'!$C$11:$DR$11)</f>
        <v>0</v>
      </c>
      <c r="F8" s="187">
        <f>SUMIF('Monthly CF'!$C$4:$DR$4,F$3,'Monthly CF'!$C$11:$DR$11)</f>
        <v>0</v>
      </c>
      <c r="G8" s="187">
        <f>SUMIF('Monthly CF'!$C$4:$DR$4,G$3,'Monthly CF'!$C$11:$DR$11)</f>
        <v>0</v>
      </c>
      <c r="H8" s="187">
        <f>SUMIF('Monthly CF'!$C$4:$DR$4,H$3,'Monthly CF'!$C$11:$DR$11)</f>
        <v>0</v>
      </c>
      <c r="I8" s="187">
        <f>SUMIF('Monthly CF'!$C$4:$DR$4,I$3,'Monthly CF'!$C$11:$DR$11)</f>
        <v>0</v>
      </c>
      <c r="J8" s="187">
        <f>SUMIF('Monthly CF'!$C$4:$DR$4,J$3,'Monthly CF'!$C$11:$DR$11)</f>
        <v>0</v>
      </c>
      <c r="K8" s="187">
        <f>SUMIF('Monthly CF'!$C$4:$DR$4,K$3,'Monthly CF'!$C$11:$DR$11)</f>
        <v>0</v>
      </c>
      <c r="L8" s="187">
        <f>SUMIF('Monthly CF'!$C$4:$DR$4,L$3,'Monthly CF'!$C$11:$DR$11)</f>
        <v>0</v>
      </c>
      <c r="M8" s="187">
        <f>SUMIF('Monthly CF'!$C$4:$DR$4,M$3,'Monthly CF'!$C$11:$DR$11)</f>
        <v>0</v>
      </c>
      <c r="N8" s="187">
        <f>SUMIF('Monthly CF'!$C$4:$DR$4,N$3,'Monthly CF'!$C$11:$DR$11)</f>
        <v>0</v>
      </c>
      <c r="O8" s="187">
        <f>SUMIF('Monthly CF'!$C$4:$DR$4,O$3,'Monthly CF'!$C$11:$DR$11)</f>
        <v>0</v>
      </c>
      <c r="P8" s="187">
        <f>SUMIF('Monthly CF'!$C$4:$DR$4,P$3,'Monthly CF'!$C$11:$DR$11)</f>
        <v>0</v>
      </c>
      <c r="Q8" s="187">
        <f>SUMIF('Monthly CF'!$C$4:$DR$4,Q$3,'Monthly CF'!$C$11:$DR$11)</f>
        <v>0</v>
      </c>
      <c r="R8" s="187">
        <f>SUMIF('Monthly CF'!$C$4:$DR$4,R$3,'Monthly CF'!$C$11:$DR$11)</f>
        <v>0</v>
      </c>
      <c r="S8" s="187">
        <f>SUMIF('Monthly CF'!$C$4:$DR$4,S$3,'Monthly CF'!$C$11:$DR$11)</f>
        <v>0</v>
      </c>
      <c r="T8" s="187">
        <f>SUMIF('Monthly CF'!$C$4:$DR$4,T$3,'Monthly CF'!$C$11:$DR$11)</f>
        <v>0</v>
      </c>
      <c r="U8" s="187">
        <f>SUMIF('Monthly CF'!$C$4:$DR$4,U$3,'Monthly CF'!$C$11:$DR$11)</f>
        <v>0</v>
      </c>
      <c r="V8" s="187">
        <f>SUMIF('Monthly CF'!$C$4:$DR$4,V$3,'Monthly CF'!$C$11:$DR$11)</f>
        <v>0</v>
      </c>
      <c r="W8" s="187">
        <f>SUMIF('Monthly CF'!$C$4:$DR$4,W$3,'Monthly CF'!$C$11:$DR$11)</f>
        <v>0</v>
      </c>
      <c r="X8" s="187">
        <f>SUMIF('Monthly CF'!$C$4:$DR$4,X$3,'Monthly CF'!$C$11:$DR$11)</f>
        <v>0</v>
      </c>
      <c r="Y8" s="187">
        <f>SUMIF('Monthly CF'!$C$4:$DR$4,Y$3,'Monthly CF'!$C$11:$DR$11)</f>
        <v>0</v>
      </c>
      <c r="Z8" s="187">
        <f>SUMIF('Monthly CF'!$C$4:$DR$4,Z$3,'Monthly CF'!$C$11:$DR$11)</f>
        <v>0</v>
      </c>
      <c r="AA8" s="187">
        <f>SUMIF('Monthly CF'!$C$4:$DR$4,AA$3,'Monthly CF'!$C$11:$DR$11)</f>
        <v>0</v>
      </c>
      <c r="AB8" s="187">
        <f>SUMIF('Monthly CF'!$C$4:$DR$4,AB$3,'Monthly CF'!$C$11:$DR$11)</f>
        <v>0</v>
      </c>
      <c r="AC8" s="187">
        <f>SUMIF('Monthly CF'!$C$4:$DR$4,AC$3,'Monthly CF'!$C$11:$DR$11)</f>
        <v>0</v>
      </c>
      <c r="AD8" s="187">
        <f>SUMIF('Monthly CF'!$C$4:$DR$4,AD$3,'Monthly CF'!$C$11:$DR$11)</f>
        <v>0</v>
      </c>
      <c r="AE8" s="187">
        <f>SUMIF('Monthly CF'!$C$4:$DR$4,AE$3,'Monthly CF'!$C$11:$DR$11)</f>
        <v>0</v>
      </c>
      <c r="AF8" s="187">
        <f>SUMIF('Monthly CF'!$C$4:$DR$4,AF$3,'Monthly CF'!$C$11:$DR$11)</f>
        <v>0</v>
      </c>
      <c r="AG8" s="187">
        <f>SUMIF('Monthly CF'!$C$4:$DR$4,AG$3,'Monthly CF'!$C$11:$DR$11)</f>
        <v>0</v>
      </c>
      <c r="AH8" s="187">
        <f>SUMIF('Monthly CF'!$C$4:$DR$4,AH$3,'Monthly CF'!$C$11:$DR$11)</f>
        <v>0</v>
      </c>
      <c r="AI8" s="187">
        <f>SUMIF('Monthly CF'!$C$4:$DR$4,AI$3,'Monthly CF'!$C$11:$DR$11)</f>
        <v>0</v>
      </c>
      <c r="AJ8" s="187">
        <f>SUMIF('Monthly CF'!$C$4:$DR$4,AJ$3,'Monthly CF'!$C$11:$DR$11)</f>
        <v>0</v>
      </c>
      <c r="AK8" s="187">
        <f>SUMIF('Monthly CF'!$C$4:$DR$4,AK$3,'Monthly CF'!$C$11:$DR$11)</f>
        <v>0</v>
      </c>
      <c r="AL8" s="187">
        <f>SUMIF('Monthly CF'!$C$4:$DR$4,AL$3,'Monthly CF'!$C$11:$DR$11)</f>
        <v>0</v>
      </c>
      <c r="AM8" s="187">
        <f>SUMIF('Monthly CF'!$C$4:$DR$4,AM$3,'Monthly CF'!$C$11:$DR$11)</f>
        <v>0</v>
      </c>
      <c r="AN8" s="187">
        <f>SUMIF('Monthly CF'!$C$4:$DR$4,AN$3,'Monthly CF'!$C$11:$DR$11)</f>
        <v>0</v>
      </c>
      <c r="AO8" s="187">
        <f>SUMIF('Monthly CF'!$C$4:$DR$4,AO$3,'Monthly CF'!$C$11:$DR$11)</f>
        <v>0</v>
      </c>
      <c r="AP8" s="187">
        <f>SUMIF('Monthly CF'!$C$4:$DR$4,AP$3,'Monthly CF'!$C$11:$DR$11)</f>
        <v>0</v>
      </c>
      <c r="AQ8" s="54"/>
    </row>
    <row r="9" ht="15.75" customHeight="1">
      <c r="A9" s="54"/>
      <c r="B9" s="184" t="str">
        <f>Inputs!B23</f>
        <v>  Other Income – Parking</v>
      </c>
      <c r="C9" s="185">
        <f>SUMIF('Monthly CF'!$C$4:$DR$4,C$3,'Monthly CF'!$C$12:$DR$12)</f>
        <v>0</v>
      </c>
      <c r="D9" s="185">
        <f>SUMIF('Monthly CF'!$C$4:$DR$4,D$3,'Monthly CF'!$C$12:$DR$12)</f>
        <v>0</v>
      </c>
      <c r="E9" s="185">
        <f>SUMIF('Monthly CF'!$C$4:$DR$4,E$3,'Monthly CF'!$C$12:$DR$12)</f>
        <v>0</v>
      </c>
      <c r="F9" s="185">
        <f>SUMIF('Monthly CF'!$C$4:$DR$4,F$3,'Monthly CF'!$C$12:$DR$12)</f>
        <v>0</v>
      </c>
      <c r="G9" s="185">
        <f>SUMIF('Monthly CF'!$C$4:$DR$4,G$3,'Monthly CF'!$C$12:$DR$12)</f>
        <v>0</v>
      </c>
      <c r="H9" s="185">
        <f>SUMIF('Monthly CF'!$C$4:$DR$4,H$3,'Monthly CF'!$C$12:$DR$12)</f>
        <v>0</v>
      </c>
      <c r="I9" s="185">
        <f>SUMIF('Monthly CF'!$C$4:$DR$4,I$3,'Monthly CF'!$C$12:$DR$12)</f>
        <v>0</v>
      </c>
      <c r="J9" s="185">
        <f>SUMIF('Monthly CF'!$C$4:$DR$4,J$3,'Monthly CF'!$C$12:$DR$12)</f>
        <v>0</v>
      </c>
      <c r="K9" s="185">
        <f>SUMIF('Monthly CF'!$C$4:$DR$4,K$3,'Monthly CF'!$C$12:$DR$12)</f>
        <v>0</v>
      </c>
      <c r="L9" s="185">
        <f>SUMIF('Monthly CF'!$C$4:$DR$4,L$3,'Monthly CF'!$C$12:$DR$12)</f>
        <v>0</v>
      </c>
      <c r="M9" s="185">
        <f>SUMIF('Monthly CF'!$C$4:$DR$4,M$3,'Monthly CF'!$C$12:$DR$12)</f>
        <v>0</v>
      </c>
      <c r="N9" s="185">
        <f>SUMIF('Monthly CF'!$C$4:$DR$4,N$3,'Monthly CF'!$C$12:$DR$12)</f>
        <v>0</v>
      </c>
      <c r="O9" s="185">
        <f>SUMIF('Monthly CF'!$C$4:$DR$4,O$3,'Monthly CF'!$C$12:$DR$12)</f>
        <v>0</v>
      </c>
      <c r="P9" s="185">
        <f>SUMIF('Monthly CF'!$C$4:$DR$4,P$3,'Monthly CF'!$C$12:$DR$12)</f>
        <v>0</v>
      </c>
      <c r="Q9" s="185">
        <f>SUMIF('Monthly CF'!$C$4:$DR$4,Q$3,'Monthly CF'!$C$12:$DR$12)</f>
        <v>0</v>
      </c>
      <c r="R9" s="185">
        <f>SUMIF('Monthly CF'!$C$4:$DR$4,R$3,'Monthly CF'!$C$12:$DR$12)</f>
        <v>0</v>
      </c>
      <c r="S9" s="185">
        <f>SUMIF('Monthly CF'!$C$4:$DR$4,S$3,'Monthly CF'!$C$12:$DR$12)</f>
        <v>0</v>
      </c>
      <c r="T9" s="185">
        <f>SUMIF('Monthly CF'!$C$4:$DR$4,T$3,'Monthly CF'!$C$12:$DR$12)</f>
        <v>0</v>
      </c>
      <c r="U9" s="185">
        <f>SUMIF('Monthly CF'!$C$4:$DR$4,U$3,'Monthly CF'!$C$12:$DR$12)</f>
        <v>0</v>
      </c>
      <c r="V9" s="185">
        <f>SUMIF('Monthly CF'!$C$4:$DR$4,V$3,'Monthly CF'!$C$12:$DR$12)</f>
        <v>0</v>
      </c>
      <c r="W9" s="185">
        <f>SUMIF('Monthly CF'!$C$4:$DR$4,W$3,'Monthly CF'!$C$12:$DR$12)</f>
        <v>0</v>
      </c>
      <c r="X9" s="185">
        <f>SUMIF('Monthly CF'!$C$4:$DR$4,X$3,'Monthly CF'!$C$12:$DR$12)</f>
        <v>0</v>
      </c>
      <c r="Y9" s="185">
        <f>SUMIF('Monthly CF'!$C$4:$DR$4,Y$3,'Monthly CF'!$C$12:$DR$12)</f>
        <v>0</v>
      </c>
      <c r="Z9" s="185">
        <f>SUMIF('Monthly CF'!$C$4:$DR$4,Z$3,'Monthly CF'!$C$12:$DR$12)</f>
        <v>0</v>
      </c>
      <c r="AA9" s="185">
        <f>SUMIF('Monthly CF'!$C$4:$DR$4,AA$3,'Monthly CF'!$C$12:$DR$12)</f>
        <v>0</v>
      </c>
      <c r="AB9" s="185">
        <f>SUMIF('Monthly CF'!$C$4:$DR$4,AB$3,'Monthly CF'!$C$12:$DR$12)</f>
        <v>0</v>
      </c>
      <c r="AC9" s="185">
        <f>SUMIF('Monthly CF'!$C$4:$DR$4,AC$3,'Monthly CF'!$C$12:$DR$12)</f>
        <v>0</v>
      </c>
      <c r="AD9" s="185">
        <f>SUMIF('Monthly CF'!$C$4:$DR$4,AD$3,'Monthly CF'!$C$12:$DR$12)</f>
        <v>0</v>
      </c>
      <c r="AE9" s="185">
        <f>SUMIF('Monthly CF'!$C$4:$DR$4,AE$3,'Monthly CF'!$C$12:$DR$12)</f>
        <v>0</v>
      </c>
      <c r="AF9" s="185">
        <f>SUMIF('Monthly CF'!$C$4:$DR$4,AF$3,'Monthly CF'!$C$12:$DR$12)</f>
        <v>0</v>
      </c>
      <c r="AG9" s="185">
        <f>SUMIF('Monthly CF'!$C$4:$DR$4,AG$3,'Monthly CF'!$C$12:$DR$12)</f>
        <v>0</v>
      </c>
      <c r="AH9" s="185">
        <f>SUMIF('Monthly CF'!$C$4:$DR$4,AH$3,'Monthly CF'!$C$12:$DR$12)</f>
        <v>0</v>
      </c>
      <c r="AI9" s="185">
        <f>SUMIF('Monthly CF'!$C$4:$DR$4,AI$3,'Monthly CF'!$C$12:$DR$12)</f>
        <v>0</v>
      </c>
      <c r="AJ9" s="185">
        <f>SUMIF('Monthly CF'!$C$4:$DR$4,AJ$3,'Monthly CF'!$C$12:$DR$12)</f>
        <v>0</v>
      </c>
      <c r="AK9" s="185">
        <f>SUMIF('Monthly CF'!$C$4:$DR$4,AK$3,'Monthly CF'!$C$12:$DR$12)</f>
        <v>0</v>
      </c>
      <c r="AL9" s="185">
        <f>SUMIF('Monthly CF'!$C$4:$DR$4,AL$3,'Monthly CF'!$C$12:$DR$12)</f>
        <v>0</v>
      </c>
      <c r="AM9" s="185">
        <f>SUMIF('Monthly CF'!$C$4:$DR$4,AM$3,'Monthly CF'!$C$12:$DR$12)</f>
        <v>0</v>
      </c>
      <c r="AN9" s="185">
        <f>SUMIF('Monthly CF'!$C$4:$DR$4,AN$3,'Monthly CF'!$C$12:$DR$12)</f>
        <v>0</v>
      </c>
      <c r="AO9" s="185">
        <f>SUMIF('Monthly CF'!$C$4:$DR$4,AO$3,'Monthly CF'!$C$12:$DR$12)</f>
        <v>0</v>
      </c>
      <c r="AP9" s="185">
        <f>SUMIF('Monthly CF'!$C$4:$DR$4,AP$3,'Monthly CF'!$C$12:$DR$12)</f>
        <v>0</v>
      </c>
      <c r="AQ9" s="54"/>
    </row>
    <row r="10" ht="15.75" customHeight="1">
      <c r="A10" s="54"/>
      <c r="B10" s="184" t="str">
        <f>Inputs!B24</f>
        <v>  Other Income – Laundry </v>
      </c>
      <c r="C10" s="185">
        <f>SUMIF('Monthly CF'!$C$4:$DR$4,C$3,'Monthly CF'!$C$13:$DR$13)</f>
        <v>0</v>
      </c>
      <c r="D10" s="185">
        <f>SUMIF('Monthly CF'!$C$4:$DR$4,D$3,'Monthly CF'!$C$13:$DR$13)</f>
        <v>0</v>
      </c>
      <c r="E10" s="185">
        <f>SUMIF('Monthly CF'!$C$4:$DR$4,E$3,'Monthly CF'!$C$13:$DR$13)</f>
        <v>0</v>
      </c>
      <c r="F10" s="185">
        <f>SUMIF('Monthly CF'!$C$4:$DR$4,F$3,'Monthly CF'!$C$13:$DR$13)</f>
        <v>0</v>
      </c>
      <c r="G10" s="185">
        <f>SUMIF('Monthly CF'!$C$4:$DR$4,G$3,'Monthly CF'!$C$13:$DR$13)</f>
        <v>0</v>
      </c>
      <c r="H10" s="185">
        <f>SUMIF('Monthly CF'!$C$4:$DR$4,H$3,'Monthly CF'!$C$13:$DR$13)</f>
        <v>0</v>
      </c>
      <c r="I10" s="185">
        <f>SUMIF('Monthly CF'!$C$4:$DR$4,I$3,'Monthly CF'!$C$13:$DR$13)</f>
        <v>0</v>
      </c>
      <c r="J10" s="185">
        <f>SUMIF('Monthly CF'!$C$4:$DR$4,J$3,'Monthly CF'!$C$13:$DR$13)</f>
        <v>0</v>
      </c>
      <c r="K10" s="185">
        <f>SUMIF('Monthly CF'!$C$4:$DR$4,K$3,'Monthly CF'!$C$13:$DR$13)</f>
        <v>0</v>
      </c>
      <c r="L10" s="185">
        <f>SUMIF('Monthly CF'!$C$4:$DR$4,L$3,'Monthly CF'!$C$13:$DR$13)</f>
        <v>0</v>
      </c>
      <c r="M10" s="185">
        <f>SUMIF('Monthly CF'!$C$4:$DR$4,M$3,'Monthly CF'!$C$13:$DR$13)</f>
        <v>0</v>
      </c>
      <c r="N10" s="185">
        <f>SUMIF('Monthly CF'!$C$4:$DR$4,N$3,'Monthly CF'!$C$13:$DR$13)</f>
        <v>0</v>
      </c>
      <c r="O10" s="185">
        <f>SUMIF('Monthly CF'!$C$4:$DR$4,O$3,'Monthly CF'!$C$13:$DR$13)</f>
        <v>0</v>
      </c>
      <c r="P10" s="185">
        <f>SUMIF('Monthly CF'!$C$4:$DR$4,P$3,'Monthly CF'!$C$13:$DR$13)</f>
        <v>0</v>
      </c>
      <c r="Q10" s="185">
        <f>SUMIF('Monthly CF'!$C$4:$DR$4,Q$3,'Monthly CF'!$C$13:$DR$13)</f>
        <v>0</v>
      </c>
      <c r="R10" s="185">
        <f>SUMIF('Monthly CF'!$C$4:$DR$4,R$3,'Monthly CF'!$C$13:$DR$13)</f>
        <v>0</v>
      </c>
      <c r="S10" s="185">
        <f>SUMIF('Monthly CF'!$C$4:$DR$4,S$3,'Monthly CF'!$C$13:$DR$13)</f>
        <v>0</v>
      </c>
      <c r="T10" s="185">
        <f>SUMIF('Monthly CF'!$C$4:$DR$4,T$3,'Monthly CF'!$C$13:$DR$13)</f>
        <v>0</v>
      </c>
      <c r="U10" s="185">
        <f>SUMIF('Monthly CF'!$C$4:$DR$4,U$3,'Monthly CF'!$C$13:$DR$13)</f>
        <v>0</v>
      </c>
      <c r="V10" s="185">
        <f>SUMIF('Monthly CF'!$C$4:$DR$4,V$3,'Monthly CF'!$C$13:$DR$13)</f>
        <v>0</v>
      </c>
      <c r="W10" s="185">
        <f>SUMIF('Monthly CF'!$C$4:$DR$4,W$3,'Monthly CF'!$C$13:$DR$13)</f>
        <v>0</v>
      </c>
      <c r="X10" s="185">
        <f>SUMIF('Monthly CF'!$C$4:$DR$4,X$3,'Monthly CF'!$C$13:$DR$13)</f>
        <v>0</v>
      </c>
      <c r="Y10" s="185">
        <f>SUMIF('Monthly CF'!$C$4:$DR$4,Y$3,'Monthly CF'!$C$13:$DR$13)</f>
        <v>0</v>
      </c>
      <c r="Z10" s="185">
        <f>SUMIF('Monthly CF'!$C$4:$DR$4,Z$3,'Monthly CF'!$C$13:$DR$13)</f>
        <v>0</v>
      </c>
      <c r="AA10" s="185">
        <f>SUMIF('Monthly CF'!$C$4:$DR$4,AA$3,'Monthly CF'!$C$13:$DR$13)</f>
        <v>0</v>
      </c>
      <c r="AB10" s="185">
        <f>SUMIF('Monthly CF'!$C$4:$DR$4,AB$3,'Monthly CF'!$C$13:$DR$13)</f>
        <v>0</v>
      </c>
      <c r="AC10" s="185">
        <f>SUMIF('Monthly CF'!$C$4:$DR$4,AC$3,'Monthly CF'!$C$13:$DR$13)</f>
        <v>0</v>
      </c>
      <c r="AD10" s="185">
        <f>SUMIF('Monthly CF'!$C$4:$DR$4,AD$3,'Monthly CF'!$C$13:$DR$13)</f>
        <v>0</v>
      </c>
      <c r="AE10" s="185">
        <f>SUMIF('Monthly CF'!$C$4:$DR$4,AE$3,'Monthly CF'!$C$13:$DR$13)</f>
        <v>0</v>
      </c>
      <c r="AF10" s="185">
        <f>SUMIF('Monthly CF'!$C$4:$DR$4,AF$3,'Monthly CF'!$C$13:$DR$13)</f>
        <v>0</v>
      </c>
      <c r="AG10" s="185">
        <f>SUMIF('Monthly CF'!$C$4:$DR$4,AG$3,'Monthly CF'!$C$13:$DR$13)</f>
        <v>0</v>
      </c>
      <c r="AH10" s="185">
        <f>SUMIF('Monthly CF'!$C$4:$DR$4,AH$3,'Monthly CF'!$C$13:$DR$13)</f>
        <v>0</v>
      </c>
      <c r="AI10" s="185">
        <f>SUMIF('Monthly CF'!$C$4:$DR$4,AI$3,'Monthly CF'!$C$13:$DR$13)</f>
        <v>0</v>
      </c>
      <c r="AJ10" s="185">
        <f>SUMIF('Monthly CF'!$C$4:$DR$4,AJ$3,'Monthly CF'!$C$13:$DR$13)</f>
        <v>0</v>
      </c>
      <c r="AK10" s="185">
        <f>SUMIF('Monthly CF'!$C$4:$DR$4,AK$3,'Monthly CF'!$C$13:$DR$13)</f>
        <v>0</v>
      </c>
      <c r="AL10" s="185">
        <f>SUMIF('Monthly CF'!$C$4:$DR$4,AL$3,'Monthly CF'!$C$13:$DR$13)</f>
        <v>0</v>
      </c>
      <c r="AM10" s="185">
        <f>SUMIF('Monthly CF'!$C$4:$DR$4,AM$3,'Monthly CF'!$C$13:$DR$13)</f>
        <v>0</v>
      </c>
      <c r="AN10" s="185">
        <f>SUMIF('Monthly CF'!$C$4:$DR$4,AN$3,'Monthly CF'!$C$13:$DR$13)</f>
        <v>0</v>
      </c>
      <c r="AO10" s="185">
        <f>SUMIF('Monthly CF'!$C$4:$DR$4,AO$3,'Monthly CF'!$C$13:$DR$13)</f>
        <v>0</v>
      </c>
      <c r="AP10" s="185">
        <f>SUMIF('Monthly CF'!$C$4:$DR$4,AP$3,'Monthly CF'!$C$13:$DR$13)</f>
        <v>0</v>
      </c>
      <c r="AQ10" s="54"/>
    </row>
    <row r="11" ht="15.75" customHeight="1">
      <c r="A11" s="54"/>
      <c r="B11" s="184" t="str">
        <f>Inputs!B25</f>
        <v>  Other Income – Misc</v>
      </c>
      <c r="C11" s="185">
        <f>SUMIF('Monthly CF'!$C$4:$DR$4,C$3,'Monthly CF'!$C$14:$DR$14)</f>
        <v>0</v>
      </c>
      <c r="D11" s="185">
        <f>SUMIF('Monthly CF'!$C$4:$DR$4,D$3,'Monthly CF'!$C$14:$DR$14)</f>
        <v>0</v>
      </c>
      <c r="E11" s="185">
        <f>SUMIF('Monthly CF'!$C$4:$DR$4,E$3,'Monthly CF'!$C$14:$DR$14)</f>
        <v>0</v>
      </c>
      <c r="F11" s="185">
        <f>SUMIF('Monthly CF'!$C$4:$DR$4,F$3,'Monthly CF'!$C$14:$DR$14)</f>
        <v>0</v>
      </c>
      <c r="G11" s="185">
        <f>SUMIF('Monthly CF'!$C$4:$DR$4,G$3,'Monthly CF'!$C$14:$DR$14)</f>
        <v>0</v>
      </c>
      <c r="H11" s="185">
        <f>SUMIF('Monthly CF'!$C$4:$DR$4,H$3,'Monthly CF'!$C$14:$DR$14)</f>
        <v>0</v>
      </c>
      <c r="I11" s="185">
        <f>SUMIF('Monthly CF'!$C$4:$DR$4,I$3,'Monthly CF'!$C$14:$DR$14)</f>
        <v>0</v>
      </c>
      <c r="J11" s="185">
        <f>SUMIF('Monthly CF'!$C$4:$DR$4,J$3,'Monthly CF'!$C$14:$DR$14)</f>
        <v>0</v>
      </c>
      <c r="K11" s="185">
        <f>SUMIF('Monthly CF'!$C$4:$DR$4,K$3,'Monthly CF'!$C$14:$DR$14)</f>
        <v>0</v>
      </c>
      <c r="L11" s="185">
        <f>SUMIF('Monthly CF'!$C$4:$DR$4,L$3,'Monthly CF'!$C$14:$DR$14)</f>
        <v>0</v>
      </c>
      <c r="M11" s="185">
        <f>SUMIF('Monthly CF'!$C$4:$DR$4,M$3,'Monthly CF'!$C$14:$DR$14)</f>
        <v>0</v>
      </c>
      <c r="N11" s="185">
        <f>SUMIF('Monthly CF'!$C$4:$DR$4,N$3,'Monthly CF'!$C$14:$DR$14)</f>
        <v>0</v>
      </c>
      <c r="O11" s="185">
        <f>SUMIF('Monthly CF'!$C$4:$DR$4,O$3,'Monthly CF'!$C$14:$DR$14)</f>
        <v>0</v>
      </c>
      <c r="P11" s="185">
        <f>SUMIF('Monthly CF'!$C$4:$DR$4,P$3,'Monthly CF'!$C$14:$DR$14)</f>
        <v>0</v>
      </c>
      <c r="Q11" s="185">
        <f>SUMIF('Monthly CF'!$C$4:$DR$4,Q$3,'Monthly CF'!$C$14:$DR$14)</f>
        <v>0</v>
      </c>
      <c r="R11" s="185">
        <f>SUMIF('Monthly CF'!$C$4:$DR$4,R$3,'Monthly CF'!$C$14:$DR$14)</f>
        <v>0</v>
      </c>
      <c r="S11" s="185">
        <f>SUMIF('Monthly CF'!$C$4:$DR$4,S$3,'Monthly CF'!$C$14:$DR$14)</f>
        <v>0</v>
      </c>
      <c r="T11" s="185">
        <f>SUMIF('Monthly CF'!$C$4:$DR$4,T$3,'Monthly CF'!$C$14:$DR$14)</f>
        <v>0</v>
      </c>
      <c r="U11" s="185">
        <f>SUMIF('Monthly CF'!$C$4:$DR$4,U$3,'Monthly CF'!$C$14:$DR$14)</f>
        <v>0</v>
      </c>
      <c r="V11" s="185">
        <f>SUMIF('Monthly CF'!$C$4:$DR$4,V$3,'Monthly CF'!$C$14:$DR$14)</f>
        <v>0</v>
      </c>
      <c r="W11" s="185">
        <f>SUMIF('Monthly CF'!$C$4:$DR$4,W$3,'Monthly CF'!$C$14:$DR$14)</f>
        <v>0</v>
      </c>
      <c r="X11" s="185">
        <f>SUMIF('Monthly CF'!$C$4:$DR$4,X$3,'Monthly CF'!$C$14:$DR$14)</f>
        <v>0</v>
      </c>
      <c r="Y11" s="185">
        <f>SUMIF('Monthly CF'!$C$4:$DR$4,Y$3,'Monthly CF'!$C$14:$DR$14)</f>
        <v>0</v>
      </c>
      <c r="Z11" s="185">
        <f>SUMIF('Monthly CF'!$C$4:$DR$4,Z$3,'Monthly CF'!$C$14:$DR$14)</f>
        <v>0</v>
      </c>
      <c r="AA11" s="185">
        <f>SUMIF('Monthly CF'!$C$4:$DR$4,AA$3,'Monthly CF'!$C$14:$DR$14)</f>
        <v>0</v>
      </c>
      <c r="AB11" s="185">
        <f>SUMIF('Monthly CF'!$C$4:$DR$4,AB$3,'Monthly CF'!$C$14:$DR$14)</f>
        <v>0</v>
      </c>
      <c r="AC11" s="185">
        <f>SUMIF('Monthly CF'!$C$4:$DR$4,AC$3,'Monthly CF'!$C$14:$DR$14)</f>
        <v>0</v>
      </c>
      <c r="AD11" s="185">
        <f>SUMIF('Monthly CF'!$C$4:$DR$4,AD$3,'Monthly CF'!$C$14:$DR$14)</f>
        <v>0</v>
      </c>
      <c r="AE11" s="185">
        <f>SUMIF('Monthly CF'!$C$4:$DR$4,AE$3,'Monthly CF'!$C$14:$DR$14)</f>
        <v>0</v>
      </c>
      <c r="AF11" s="185">
        <f>SUMIF('Monthly CF'!$C$4:$DR$4,AF$3,'Monthly CF'!$C$14:$DR$14)</f>
        <v>0</v>
      </c>
      <c r="AG11" s="185">
        <f>SUMIF('Monthly CF'!$C$4:$DR$4,AG$3,'Monthly CF'!$C$14:$DR$14)</f>
        <v>0</v>
      </c>
      <c r="AH11" s="185">
        <f>SUMIF('Monthly CF'!$C$4:$DR$4,AH$3,'Monthly CF'!$C$14:$DR$14)</f>
        <v>0</v>
      </c>
      <c r="AI11" s="185">
        <f>SUMIF('Monthly CF'!$C$4:$DR$4,AI$3,'Monthly CF'!$C$14:$DR$14)</f>
        <v>0</v>
      </c>
      <c r="AJ11" s="185">
        <f>SUMIF('Monthly CF'!$C$4:$DR$4,AJ$3,'Monthly CF'!$C$14:$DR$14)</f>
        <v>0</v>
      </c>
      <c r="AK11" s="185">
        <f>SUMIF('Monthly CF'!$C$4:$DR$4,AK$3,'Monthly CF'!$C$14:$DR$14)</f>
        <v>0</v>
      </c>
      <c r="AL11" s="185">
        <f>SUMIF('Monthly CF'!$C$4:$DR$4,AL$3,'Monthly CF'!$C$14:$DR$14)</f>
        <v>0</v>
      </c>
      <c r="AM11" s="185">
        <f>SUMIF('Monthly CF'!$C$4:$DR$4,AM$3,'Monthly CF'!$C$14:$DR$14)</f>
        <v>0</v>
      </c>
      <c r="AN11" s="185">
        <f>SUMIF('Monthly CF'!$C$4:$DR$4,AN$3,'Monthly CF'!$C$14:$DR$14)</f>
        <v>0</v>
      </c>
      <c r="AO11" s="185">
        <f>SUMIF('Monthly CF'!$C$4:$DR$4,AO$3,'Monthly CF'!$C$14:$DR$14)</f>
        <v>0</v>
      </c>
      <c r="AP11" s="185">
        <f>SUMIF('Monthly CF'!$C$4:$DR$4,AP$3,'Monthly CF'!$C$14:$DR$14)</f>
        <v>0</v>
      </c>
      <c r="AQ11" s="54"/>
    </row>
    <row r="12" ht="15.75" customHeight="1">
      <c r="A12" s="54"/>
      <c r="B12" s="104" t="str">
        <f>Inputs!B26</f>
        <v>  Other Income 4 </v>
      </c>
      <c r="C12" s="115">
        <f>SUMIF('Monthly CF'!$C$4:$DR$4,C$3,'Monthly CF'!$C$15:$DR$15)</f>
        <v>0</v>
      </c>
      <c r="D12" s="67">
        <f>SUMIF('Monthly CF'!$C$4:$DR$4,D$3,'Monthly CF'!$C$15:$DR$15)</f>
        <v>0</v>
      </c>
      <c r="E12" s="67">
        <f>SUMIF('Monthly CF'!$C$4:$DR$4,E$3,'Monthly CF'!$C$15:$DR$15)</f>
        <v>0</v>
      </c>
      <c r="F12" s="67">
        <f>SUMIF('Monthly CF'!$C$4:$DR$4,F$3,'Monthly CF'!$C$15:$DR$15)</f>
        <v>0</v>
      </c>
      <c r="G12" s="67">
        <f>SUMIF('Monthly CF'!$C$4:$DR$4,G$3,'Monthly CF'!$C$15:$DR$15)</f>
        <v>0</v>
      </c>
      <c r="H12" s="67">
        <f>SUMIF('Monthly CF'!$C$4:$DR$4,H$3,'Monthly CF'!$C$15:$DR$15)</f>
        <v>0</v>
      </c>
      <c r="I12" s="67">
        <f>SUMIF('Monthly CF'!$C$4:$DR$4,I$3,'Monthly CF'!$C$15:$DR$15)</f>
        <v>0</v>
      </c>
      <c r="J12" s="67">
        <f>SUMIF('Monthly CF'!$C$4:$DR$4,J$3,'Monthly CF'!$C$15:$DR$15)</f>
        <v>0</v>
      </c>
      <c r="K12" s="67">
        <f>SUMIF('Monthly CF'!$C$4:$DR$4,K$3,'Monthly CF'!$C$15:$DR$15)</f>
        <v>0</v>
      </c>
      <c r="L12" s="67">
        <f>SUMIF('Monthly CF'!$C$4:$DR$4,L$3,'Monthly CF'!$C$15:$DR$15)</f>
        <v>0</v>
      </c>
      <c r="M12" s="67">
        <f>SUMIF('Monthly CF'!$C$4:$DR$4,M$3,'Monthly CF'!$C$15:$DR$15)</f>
        <v>0</v>
      </c>
      <c r="N12" s="67">
        <f>SUMIF('Monthly CF'!$C$4:$DR$4,N$3,'Monthly CF'!$C$15:$DR$15)</f>
        <v>0</v>
      </c>
      <c r="O12" s="67">
        <f>SUMIF('Monthly CF'!$C$4:$DR$4,O$3,'Monthly CF'!$C$15:$DR$15)</f>
        <v>0</v>
      </c>
      <c r="P12" s="67">
        <f>SUMIF('Monthly CF'!$C$4:$DR$4,P$3,'Monthly CF'!$C$15:$DR$15)</f>
        <v>0</v>
      </c>
      <c r="Q12" s="67">
        <f>SUMIF('Monthly CF'!$C$4:$DR$4,Q$3,'Monthly CF'!$C$15:$DR$15)</f>
        <v>0</v>
      </c>
      <c r="R12" s="67">
        <f>SUMIF('Monthly CF'!$C$4:$DR$4,R$3,'Monthly CF'!$C$15:$DR$15)</f>
        <v>0</v>
      </c>
      <c r="S12" s="67">
        <f>SUMIF('Monthly CF'!$C$4:$DR$4,S$3,'Monthly CF'!$C$15:$DR$15)</f>
        <v>0</v>
      </c>
      <c r="T12" s="67">
        <f>SUMIF('Monthly CF'!$C$4:$DR$4,T$3,'Monthly CF'!$C$15:$DR$15)</f>
        <v>0</v>
      </c>
      <c r="U12" s="67">
        <f>SUMIF('Monthly CF'!$C$4:$DR$4,U$3,'Monthly CF'!$C$15:$DR$15)</f>
        <v>0</v>
      </c>
      <c r="V12" s="67">
        <f>SUMIF('Monthly CF'!$C$4:$DR$4,V$3,'Monthly CF'!$C$15:$DR$15)</f>
        <v>0</v>
      </c>
      <c r="W12" s="67">
        <f>SUMIF('Monthly CF'!$C$4:$DR$4,W$3,'Monthly CF'!$C$15:$DR$15)</f>
        <v>0</v>
      </c>
      <c r="X12" s="67">
        <f>SUMIF('Monthly CF'!$C$4:$DR$4,X$3,'Monthly CF'!$C$15:$DR$15)</f>
        <v>0</v>
      </c>
      <c r="Y12" s="67">
        <f>SUMIF('Monthly CF'!$C$4:$DR$4,Y$3,'Monthly CF'!$C$15:$DR$15)</f>
        <v>0</v>
      </c>
      <c r="Z12" s="67">
        <f>SUMIF('Monthly CF'!$C$4:$DR$4,Z$3,'Monthly CF'!$C$15:$DR$15)</f>
        <v>0</v>
      </c>
      <c r="AA12" s="67">
        <f>SUMIF('Monthly CF'!$C$4:$DR$4,AA$3,'Monthly CF'!$C$15:$DR$15)</f>
        <v>0</v>
      </c>
      <c r="AB12" s="67">
        <f>SUMIF('Monthly CF'!$C$4:$DR$4,AB$3,'Monthly CF'!$C$15:$DR$15)</f>
        <v>0</v>
      </c>
      <c r="AC12" s="67">
        <f>SUMIF('Monthly CF'!$C$4:$DR$4,AC$3,'Monthly CF'!$C$15:$DR$15)</f>
        <v>0</v>
      </c>
      <c r="AD12" s="67">
        <f>SUMIF('Monthly CF'!$C$4:$DR$4,AD$3,'Monthly CF'!$C$15:$DR$15)</f>
        <v>0</v>
      </c>
      <c r="AE12" s="67">
        <f>SUMIF('Monthly CF'!$C$4:$DR$4,AE$3,'Monthly CF'!$C$15:$DR$15)</f>
        <v>0</v>
      </c>
      <c r="AF12" s="67">
        <f>SUMIF('Monthly CF'!$C$4:$DR$4,AF$3,'Monthly CF'!$C$15:$DR$15)</f>
        <v>0</v>
      </c>
      <c r="AG12" s="67">
        <f>SUMIF('Monthly CF'!$C$4:$DR$4,AG$3,'Monthly CF'!$C$15:$DR$15)</f>
        <v>0</v>
      </c>
      <c r="AH12" s="67">
        <f>SUMIF('Monthly CF'!$C$4:$DR$4,AH$3,'Monthly CF'!$C$15:$DR$15)</f>
        <v>0</v>
      </c>
      <c r="AI12" s="67">
        <f>SUMIF('Monthly CF'!$C$4:$DR$4,AI$3,'Monthly CF'!$C$15:$DR$15)</f>
        <v>0</v>
      </c>
      <c r="AJ12" s="67">
        <f>SUMIF('Monthly CF'!$C$4:$DR$4,AJ$3,'Monthly CF'!$C$15:$DR$15)</f>
        <v>0</v>
      </c>
      <c r="AK12" s="67">
        <f>SUMIF('Monthly CF'!$C$4:$DR$4,AK$3,'Monthly CF'!$C$15:$DR$15)</f>
        <v>0</v>
      </c>
      <c r="AL12" s="67">
        <f>SUMIF('Monthly CF'!$C$4:$DR$4,AL$3,'Monthly CF'!$C$15:$DR$15)</f>
        <v>0</v>
      </c>
      <c r="AM12" s="67">
        <f>SUMIF('Monthly CF'!$C$4:$DR$4,AM$3,'Monthly CF'!$C$15:$DR$15)</f>
        <v>0</v>
      </c>
      <c r="AN12" s="67">
        <f>SUMIF('Monthly CF'!$C$4:$DR$4,AN$3,'Monthly CF'!$C$15:$DR$15)</f>
        <v>0</v>
      </c>
      <c r="AO12" s="67">
        <f>SUMIF('Monthly CF'!$C$4:$DR$4,AO$3,'Monthly CF'!$C$15:$DR$15)</f>
        <v>0</v>
      </c>
      <c r="AP12" s="67">
        <f>SUMIF('Monthly CF'!$C$4:$DR$4,AP$3,'Monthly CF'!$C$15:$DR$15)</f>
        <v>0</v>
      </c>
      <c r="AQ12" s="67">
        <f>SUMIF('Monthly CF'!$C$4:$DR$4,AQ$3,'Monthly CF'!$C$15:$DR$15)</f>
        <v>0</v>
      </c>
    </row>
    <row r="13" ht="15.75" customHeight="1">
      <c r="A13" s="54"/>
      <c r="B13" s="104" t="str">
        <f>Inputs!B27</f>
        <v>  Other Income 5 </v>
      </c>
      <c r="C13" s="67">
        <f>SUMIF('Monthly CF'!$C$4:$DR$4,C$3,'Monthly CF'!$C$16:$DR$16)</f>
        <v>0</v>
      </c>
      <c r="D13" s="67">
        <f>SUMIF('Monthly CF'!$C$4:$DR$4,D$3,'Monthly CF'!$C$16:$DR$16)</f>
        <v>0</v>
      </c>
      <c r="E13" s="67">
        <f>SUMIF('Monthly CF'!$C$4:$DR$4,E$3,'Monthly CF'!$C$16:$DR$16)</f>
        <v>0</v>
      </c>
      <c r="F13" s="67">
        <f>SUMIF('Monthly CF'!$C$4:$DR$4,F$3,'Monthly CF'!$C$16:$DR$16)</f>
        <v>0</v>
      </c>
      <c r="G13" s="67">
        <f>SUMIF('Monthly CF'!$C$4:$DR$4,G$3,'Monthly CF'!$C$16:$DR$16)</f>
        <v>0</v>
      </c>
      <c r="H13" s="67">
        <f>SUMIF('Monthly CF'!$C$4:$DR$4,H$3,'Monthly CF'!$C$16:$DR$16)</f>
        <v>0</v>
      </c>
      <c r="I13" s="67">
        <f>SUMIF('Monthly CF'!$C$4:$DR$4,I$3,'Monthly CF'!$C$16:$DR$16)</f>
        <v>0</v>
      </c>
      <c r="J13" s="67">
        <f>SUMIF('Monthly CF'!$C$4:$DR$4,J$3,'Monthly CF'!$C$16:$DR$16)</f>
        <v>0</v>
      </c>
      <c r="K13" s="67">
        <f>SUMIF('Monthly CF'!$C$4:$DR$4,K$3,'Monthly CF'!$C$16:$DR$16)</f>
        <v>0</v>
      </c>
      <c r="L13" s="67">
        <f>SUMIF('Monthly CF'!$C$4:$DR$4,L$3,'Monthly CF'!$C$16:$DR$16)</f>
        <v>0</v>
      </c>
      <c r="M13" s="67">
        <f>SUMIF('Monthly CF'!$C$4:$DR$4,M$3,'Monthly CF'!$C$16:$DR$16)</f>
        <v>0</v>
      </c>
      <c r="N13" s="67">
        <f>SUMIF('Monthly CF'!$C$4:$DR$4,N$3,'Monthly CF'!$C$16:$DR$16)</f>
        <v>0</v>
      </c>
      <c r="O13" s="67">
        <f>SUMIF('Monthly CF'!$C$4:$DR$4,O$3,'Monthly CF'!$C$16:$DR$16)</f>
        <v>0</v>
      </c>
      <c r="P13" s="67">
        <f>SUMIF('Monthly CF'!$C$4:$DR$4,P$3,'Monthly CF'!$C$16:$DR$16)</f>
        <v>0</v>
      </c>
      <c r="Q13" s="67">
        <f>SUMIF('Monthly CF'!$C$4:$DR$4,Q$3,'Monthly CF'!$C$16:$DR$16)</f>
        <v>0</v>
      </c>
      <c r="R13" s="67">
        <f>SUMIF('Monthly CF'!$C$4:$DR$4,R$3,'Monthly CF'!$C$16:$DR$16)</f>
        <v>0</v>
      </c>
      <c r="S13" s="67">
        <f>SUMIF('Monthly CF'!$C$4:$DR$4,S$3,'Monthly CF'!$C$16:$DR$16)</f>
        <v>0</v>
      </c>
      <c r="T13" s="67">
        <f>SUMIF('Monthly CF'!$C$4:$DR$4,T$3,'Monthly CF'!$C$16:$DR$16)</f>
        <v>0</v>
      </c>
      <c r="U13" s="67">
        <f>SUMIF('Monthly CF'!$C$4:$DR$4,U$3,'Monthly CF'!$C$16:$DR$16)</f>
        <v>0</v>
      </c>
      <c r="V13" s="67">
        <f>SUMIF('Monthly CF'!$C$4:$DR$4,V$3,'Monthly CF'!$C$16:$DR$16)</f>
        <v>0</v>
      </c>
      <c r="W13" s="67">
        <f>SUMIF('Monthly CF'!$C$4:$DR$4,W$3,'Monthly CF'!$C$16:$DR$16)</f>
        <v>0</v>
      </c>
      <c r="X13" s="67">
        <f>SUMIF('Monthly CF'!$C$4:$DR$4,X$3,'Monthly CF'!$C$16:$DR$16)</f>
        <v>0</v>
      </c>
      <c r="Y13" s="67">
        <f>SUMIF('Monthly CF'!$C$4:$DR$4,Y$3,'Monthly CF'!$C$16:$DR$16)</f>
        <v>0</v>
      </c>
      <c r="Z13" s="67">
        <f>SUMIF('Monthly CF'!$C$4:$DR$4,Z$3,'Monthly CF'!$C$16:$DR$16)</f>
        <v>0</v>
      </c>
      <c r="AA13" s="67">
        <f>SUMIF('Monthly CF'!$C$4:$DR$4,AA$3,'Monthly CF'!$C$16:$DR$16)</f>
        <v>0</v>
      </c>
      <c r="AB13" s="67">
        <f>SUMIF('Monthly CF'!$C$4:$DR$4,AB$3,'Monthly CF'!$C$16:$DR$16)</f>
        <v>0</v>
      </c>
      <c r="AC13" s="67">
        <f>SUMIF('Monthly CF'!$C$4:$DR$4,AC$3,'Monthly CF'!$C$16:$DR$16)</f>
        <v>0</v>
      </c>
      <c r="AD13" s="67">
        <f>SUMIF('Monthly CF'!$C$4:$DR$4,AD$3,'Monthly CF'!$C$16:$DR$16)</f>
        <v>0</v>
      </c>
      <c r="AE13" s="67">
        <f>SUMIF('Monthly CF'!$C$4:$DR$4,AE$3,'Monthly CF'!$C$16:$DR$16)</f>
        <v>0</v>
      </c>
      <c r="AF13" s="67">
        <f>SUMIF('Monthly CF'!$C$4:$DR$4,AF$3,'Monthly CF'!$C$16:$DR$16)</f>
        <v>0</v>
      </c>
      <c r="AG13" s="67">
        <f>SUMIF('Monthly CF'!$C$4:$DR$4,AG$3,'Monthly CF'!$C$16:$DR$16)</f>
        <v>0</v>
      </c>
      <c r="AH13" s="67">
        <f>SUMIF('Monthly CF'!$C$4:$DR$4,AH$3,'Monthly CF'!$C$16:$DR$16)</f>
        <v>0</v>
      </c>
      <c r="AI13" s="67">
        <f>SUMIF('Monthly CF'!$C$4:$DR$4,AI$3,'Monthly CF'!$C$16:$DR$16)</f>
        <v>0</v>
      </c>
      <c r="AJ13" s="67">
        <f>SUMIF('Monthly CF'!$C$4:$DR$4,AJ$3,'Monthly CF'!$C$16:$DR$16)</f>
        <v>0</v>
      </c>
      <c r="AK13" s="67">
        <f>SUMIF('Monthly CF'!$C$4:$DR$4,AK$3,'Monthly CF'!$C$16:$DR$16)</f>
        <v>0</v>
      </c>
      <c r="AL13" s="67">
        <f>SUMIF('Monthly CF'!$C$4:$DR$4,AL$3,'Monthly CF'!$C$16:$DR$16)</f>
        <v>0</v>
      </c>
      <c r="AM13" s="67">
        <f>SUMIF('Monthly CF'!$C$4:$DR$4,AM$3,'Monthly CF'!$C$16:$DR$16)</f>
        <v>0</v>
      </c>
      <c r="AN13" s="67">
        <f>SUMIF('Monthly CF'!$C$4:$DR$4,AN$3,'Monthly CF'!$C$16:$DR$16)</f>
        <v>0</v>
      </c>
      <c r="AO13" s="67">
        <f>SUMIF('Monthly CF'!$C$4:$DR$4,AO$3,'Monthly CF'!$C$16:$DR$16)</f>
        <v>0</v>
      </c>
      <c r="AP13" s="67">
        <f>SUMIF('Monthly CF'!$C$4:$DR$4,AP$3,'Monthly CF'!$C$16:$DR$16)</f>
        <v>0</v>
      </c>
      <c r="AQ13" s="67">
        <f>SUMIF('Monthly CF'!$C$4:$DR$4,AQ$3,'Monthly CF'!$C$16:$DR$16)</f>
        <v>0</v>
      </c>
    </row>
    <row r="14" ht="15.75" customHeight="1">
      <c r="A14" s="54"/>
      <c r="B14" s="130" t="s">
        <v>309</v>
      </c>
      <c r="C14" s="188">
        <f>SUMIF('Monthly CF'!$C$4:$DR$4,C$3,'Monthly CF'!$C$17:$DR$17)</f>
        <v>0</v>
      </c>
      <c r="D14" s="189">
        <f>SUMIF('Monthly CF'!$C$4:$DR$4,D$3,'Monthly CF'!$C$17:$DR$17)</f>
        <v>0</v>
      </c>
      <c r="E14" s="189">
        <f>SUMIF('Monthly CF'!$C$4:$DR$4,E$3,'Monthly CF'!$C$17:$DR$17)</f>
        <v>0</v>
      </c>
      <c r="F14" s="189">
        <f>SUMIF('Monthly CF'!$C$4:$DR$4,F$3,'Monthly CF'!$C$17:$DR$17)</f>
        <v>0</v>
      </c>
      <c r="G14" s="189">
        <f>SUMIF('Monthly CF'!$C$4:$DR$4,G$3,'Monthly CF'!$C$17:$DR$17)</f>
        <v>0</v>
      </c>
      <c r="H14" s="189">
        <f>SUMIF('Monthly CF'!$C$4:$DR$4,H$3,'Monthly CF'!$C$17:$DR$17)</f>
        <v>0</v>
      </c>
      <c r="I14" s="189">
        <f>SUMIF('Monthly CF'!$C$4:$DR$4,I$3,'Monthly CF'!$C$17:$DR$17)</f>
        <v>0</v>
      </c>
      <c r="J14" s="189">
        <f>SUMIF('Monthly CF'!$C$4:$DR$4,J$3,'Monthly CF'!$C$17:$DR$17)</f>
        <v>0</v>
      </c>
      <c r="K14" s="189">
        <f>SUMIF('Monthly CF'!$C$4:$DR$4,K$3,'Monthly CF'!$C$17:$DR$17)</f>
        <v>0</v>
      </c>
      <c r="L14" s="189">
        <f>SUMIF('Monthly CF'!$C$4:$DR$4,L$3,'Monthly CF'!$C$17:$DR$17)</f>
        <v>0</v>
      </c>
      <c r="M14" s="189">
        <f>SUMIF('Monthly CF'!$C$4:$DR$4,M$3,'Monthly CF'!$C$17:$DR$17)</f>
        <v>0</v>
      </c>
      <c r="N14" s="189">
        <f>SUMIF('Monthly CF'!$C$4:$DR$4,N$3,'Monthly CF'!$C$17:$DR$17)</f>
        <v>0</v>
      </c>
      <c r="O14" s="189">
        <f>SUMIF('Monthly CF'!$C$4:$DR$4,O$3,'Monthly CF'!$C$17:$DR$17)</f>
        <v>0</v>
      </c>
      <c r="P14" s="189">
        <f>SUMIF('Monthly CF'!$C$4:$DR$4,P$3,'Monthly CF'!$C$17:$DR$17)</f>
        <v>0</v>
      </c>
      <c r="Q14" s="189">
        <f>SUMIF('Monthly CF'!$C$4:$DR$4,Q$3,'Monthly CF'!$C$17:$DR$17)</f>
        <v>0</v>
      </c>
      <c r="R14" s="189">
        <f>SUMIF('Monthly CF'!$C$4:$DR$4,R$3,'Monthly CF'!$C$17:$DR$17)</f>
        <v>0</v>
      </c>
      <c r="S14" s="189">
        <f>SUMIF('Monthly CF'!$C$4:$DR$4,S$3,'Monthly CF'!$C$17:$DR$17)</f>
        <v>0</v>
      </c>
      <c r="T14" s="189">
        <f>SUMIF('Monthly CF'!$C$4:$DR$4,T$3,'Monthly CF'!$C$17:$DR$17)</f>
        <v>0</v>
      </c>
      <c r="U14" s="189">
        <f>SUMIF('Monthly CF'!$C$4:$DR$4,U$3,'Monthly CF'!$C$17:$DR$17)</f>
        <v>0</v>
      </c>
      <c r="V14" s="189">
        <f>SUMIF('Monthly CF'!$C$4:$DR$4,V$3,'Monthly CF'!$C$17:$DR$17)</f>
        <v>0</v>
      </c>
      <c r="W14" s="189">
        <f>SUMIF('Monthly CF'!$C$4:$DR$4,W$3,'Monthly CF'!$C$17:$DR$17)</f>
        <v>0</v>
      </c>
      <c r="X14" s="189">
        <f>SUMIF('Monthly CF'!$C$4:$DR$4,X$3,'Monthly CF'!$C$17:$DR$17)</f>
        <v>0</v>
      </c>
      <c r="Y14" s="189">
        <f>SUMIF('Monthly CF'!$C$4:$DR$4,Y$3,'Monthly CF'!$C$17:$DR$17)</f>
        <v>0</v>
      </c>
      <c r="Z14" s="189">
        <f>SUMIF('Monthly CF'!$C$4:$DR$4,Z$3,'Monthly CF'!$C$17:$DR$17)</f>
        <v>0</v>
      </c>
      <c r="AA14" s="189">
        <f>SUMIF('Monthly CF'!$C$4:$DR$4,AA$3,'Monthly CF'!$C$17:$DR$17)</f>
        <v>0</v>
      </c>
      <c r="AB14" s="189">
        <f>SUMIF('Monthly CF'!$C$4:$DR$4,AB$3,'Monthly CF'!$C$17:$DR$17)</f>
        <v>0</v>
      </c>
      <c r="AC14" s="189">
        <f>SUMIF('Monthly CF'!$C$4:$DR$4,AC$3,'Monthly CF'!$C$17:$DR$17)</f>
        <v>0</v>
      </c>
      <c r="AD14" s="189">
        <f>SUMIF('Monthly CF'!$C$4:$DR$4,AD$3,'Monthly CF'!$C$17:$DR$17)</f>
        <v>0</v>
      </c>
      <c r="AE14" s="189">
        <f>SUMIF('Monthly CF'!$C$4:$DR$4,AE$3,'Monthly CF'!$C$17:$DR$17)</f>
        <v>0</v>
      </c>
      <c r="AF14" s="189">
        <f>SUMIF('Monthly CF'!$C$4:$DR$4,AF$3,'Monthly CF'!$C$17:$DR$17)</f>
        <v>0</v>
      </c>
      <c r="AG14" s="189">
        <f>SUMIF('Monthly CF'!$C$4:$DR$4,AG$3,'Monthly CF'!$C$17:$DR$17)</f>
        <v>0</v>
      </c>
      <c r="AH14" s="189">
        <f>SUMIF('Monthly CF'!$C$4:$DR$4,AH$3,'Monthly CF'!$C$17:$DR$17)</f>
        <v>0</v>
      </c>
      <c r="AI14" s="189">
        <f>SUMIF('Monthly CF'!$C$4:$DR$4,AI$3,'Monthly CF'!$C$17:$DR$17)</f>
        <v>0</v>
      </c>
      <c r="AJ14" s="189">
        <f>SUMIF('Monthly CF'!$C$4:$DR$4,AJ$3,'Monthly CF'!$C$17:$DR$17)</f>
        <v>0</v>
      </c>
      <c r="AK14" s="189">
        <f>SUMIF('Monthly CF'!$C$4:$DR$4,AK$3,'Monthly CF'!$C$17:$DR$17)</f>
        <v>0</v>
      </c>
      <c r="AL14" s="189">
        <f>SUMIF('Monthly CF'!$C$4:$DR$4,AL$3,'Monthly CF'!$C$17:$DR$17)</f>
        <v>0</v>
      </c>
      <c r="AM14" s="189">
        <f>SUMIF('Monthly CF'!$C$4:$DR$4,AM$3,'Monthly CF'!$C$17:$DR$17)</f>
        <v>0</v>
      </c>
      <c r="AN14" s="189">
        <f>SUMIF('Monthly CF'!$C$4:$DR$4,AN$3,'Monthly CF'!$C$17:$DR$17)</f>
        <v>0</v>
      </c>
      <c r="AO14" s="189">
        <f>SUMIF('Monthly CF'!$C$4:$DR$4,AO$3,'Monthly CF'!$C$17:$DR$17)</f>
        <v>0</v>
      </c>
      <c r="AP14" s="189">
        <f>SUMIF('Monthly CF'!$C$4:$DR$4,AP$3,'Monthly CF'!$C$17:$DR$17)</f>
        <v>0</v>
      </c>
      <c r="AQ14" s="54"/>
    </row>
    <row r="15" ht="15.75" customHeight="1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</row>
    <row r="16" ht="15.75" customHeight="1">
      <c r="A16" s="54"/>
      <c r="B16" s="182" t="s">
        <v>310</v>
      </c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  <c r="AQ16" s="54"/>
    </row>
    <row r="17" ht="15.75" customHeight="1">
      <c r="A17" s="54"/>
      <c r="B17" s="184" t="str">
        <f>Inputs!B32</f>
        <v>  Property Taxes</v>
      </c>
      <c r="C17" s="185">
        <f>SUMIF('Monthly CF'!$C$4:$DR$4,C$3,'Monthly CF'!$C$20:$DR$20)</f>
        <v>0</v>
      </c>
      <c r="D17" s="185">
        <f>SUMIF('Monthly CF'!$C$4:$DR$4,D$3,'Monthly CF'!$C$20:$DR$20)</f>
        <v>0</v>
      </c>
      <c r="E17" s="185">
        <f>SUMIF('Monthly CF'!$C$4:$DR$4,E$3,'Monthly CF'!$C$20:$DR$20)</f>
        <v>0</v>
      </c>
      <c r="F17" s="185">
        <f>SUMIF('Monthly CF'!$C$4:$DR$4,F$3,'Monthly CF'!$C$20:$DR$20)</f>
        <v>0</v>
      </c>
      <c r="G17" s="185">
        <f>SUMIF('Monthly CF'!$C$4:$DR$4,G$3,'Monthly CF'!$C$20:$DR$20)</f>
        <v>0</v>
      </c>
      <c r="H17" s="185">
        <f>SUMIF('Monthly CF'!$C$4:$DR$4,H$3,'Monthly CF'!$C$20:$DR$20)</f>
        <v>0</v>
      </c>
      <c r="I17" s="185">
        <f>SUMIF('Monthly CF'!$C$4:$DR$4,I$3,'Monthly CF'!$C$20:$DR$20)</f>
        <v>0</v>
      </c>
      <c r="J17" s="185">
        <f>SUMIF('Monthly CF'!$C$4:$DR$4,J$3,'Monthly CF'!$C$20:$DR$20)</f>
        <v>0</v>
      </c>
      <c r="K17" s="185">
        <f>SUMIF('Monthly CF'!$C$4:$DR$4,K$3,'Monthly CF'!$C$20:$DR$20)</f>
        <v>0</v>
      </c>
      <c r="L17" s="185">
        <f>SUMIF('Monthly CF'!$C$4:$DR$4,L$3,'Monthly CF'!$C$20:$DR$20)</f>
        <v>0</v>
      </c>
      <c r="M17" s="185">
        <f>SUMIF('Monthly CF'!$C$4:$DR$4,M$3,'Monthly CF'!$C$20:$DR$20)</f>
        <v>0</v>
      </c>
      <c r="N17" s="185">
        <f>SUMIF('Monthly CF'!$C$4:$DR$4,N$3,'Monthly CF'!$C$20:$DR$20)</f>
        <v>0</v>
      </c>
      <c r="O17" s="185">
        <f>SUMIF('Monthly CF'!$C$4:$DR$4,O$3,'Monthly CF'!$C$20:$DR$20)</f>
        <v>0</v>
      </c>
      <c r="P17" s="185">
        <f>SUMIF('Monthly CF'!$C$4:$DR$4,P$3,'Monthly CF'!$C$20:$DR$20)</f>
        <v>0</v>
      </c>
      <c r="Q17" s="185">
        <f>SUMIF('Monthly CF'!$C$4:$DR$4,Q$3,'Monthly CF'!$C$20:$DR$20)</f>
        <v>0</v>
      </c>
      <c r="R17" s="185">
        <f>SUMIF('Monthly CF'!$C$4:$DR$4,R$3,'Monthly CF'!$C$20:$DR$20)</f>
        <v>0</v>
      </c>
      <c r="S17" s="185">
        <f>SUMIF('Monthly CF'!$C$4:$DR$4,S$3,'Monthly CF'!$C$20:$DR$20)</f>
        <v>0</v>
      </c>
      <c r="T17" s="185">
        <f>SUMIF('Monthly CF'!$C$4:$DR$4,T$3,'Monthly CF'!$C$20:$DR$20)</f>
        <v>0</v>
      </c>
      <c r="U17" s="185">
        <f>SUMIF('Monthly CF'!$C$4:$DR$4,U$3,'Monthly CF'!$C$20:$DR$20)</f>
        <v>0</v>
      </c>
      <c r="V17" s="185">
        <f>SUMIF('Monthly CF'!$C$4:$DR$4,V$3,'Monthly CF'!$C$20:$DR$20)</f>
        <v>0</v>
      </c>
      <c r="W17" s="185">
        <f>SUMIF('Monthly CF'!$C$4:$DR$4,W$3,'Monthly CF'!$C$20:$DR$20)</f>
        <v>0</v>
      </c>
      <c r="X17" s="185">
        <f>SUMIF('Monthly CF'!$C$4:$DR$4,X$3,'Monthly CF'!$C$20:$DR$20)</f>
        <v>0</v>
      </c>
      <c r="Y17" s="185">
        <f>SUMIF('Monthly CF'!$C$4:$DR$4,Y$3,'Monthly CF'!$C$20:$DR$20)</f>
        <v>0</v>
      </c>
      <c r="Z17" s="185">
        <f>SUMIF('Monthly CF'!$C$4:$DR$4,Z$3,'Monthly CF'!$C$20:$DR$20)</f>
        <v>0</v>
      </c>
      <c r="AA17" s="185">
        <f>SUMIF('Monthly CF'!$C$4:$DR$4,AA$3,'Monthly CF'!$C$20:$DR$20)</f>
        <v>0</v>
      </c>
      <c r="AB17" s="185">
        <f>SUMIF('Monthly CF'!$C$4:$DR$4,AB$3,'Monthly CF'!$C$20:$DR$20)</f>
        <v>0</v>
      </c>
      <c r="AC17" s="185">
        <f>SUMIF('Monthly CF'!$C$4:$DR$4,AC$3,'Monthly CF'!$C$20:$DR$20)</f>
        <v>0</v>
      </c>
      <c r="AD17" s="185">
        <f>SUMIF('Monthly CF'!$C$4:$DR$4,AD$3,'Monthly CF'!$C$20:$DR$20)</f>
        <v>0</v>
      </c>
      <c r="AE17" s="185">
        <f>SUMIF('Monthly CF'!$C$4:$DR$4,AE$3,'Monthly CF'!$C$20:$DR$20)</f>
        <v>0</v>
      </c>
      <c r="AF17" s="185">
        <f>SUMIF('Monthly CF'!$C$4:$DR$4,AF$3,'Monthly CF'!$C$20:$DR$20)</f>
        <v>0</v>
      </c>
      <c r="AG17" s="185">
        <f>SUMIF('Monthly CF'!$C$4:$DR$4,AG$3,'Monthly CF'!$C$20:$DR$20)</f>
        <v>0</v>
      </c>
      <c r="AH17" s="185">
        <f>SUMIF('Monthly CF'!$C$4:$DR$4,AH$3,'Monthly CF'!$C$20:$DR$20)</f>
        <v>0</v>
      </c>
      <c r="AI17" s="185">
        <f>SUMIF('Monthly CF'!$C$4:$DR$4,AI$3,'Monthly CF'!$C$20:$DR$20)</f>
        <v>0</v>
      </c>
      <c r="AJ17" s="185">
        <f>SUMIF('Monthly CF'!$C$4:$DR$4,AJ$3,'Monthly CF'!$C$20:$DR$20)</f>
        <v>0</v>
      </c>
      <c r="AK17" s="185">
        <f>SUMIF('Monthly CF'!$C$4:$DR$4,AK$3,'Monthly CF'!$C$20:$DR$20)</f>
        <v>0</v>
      </c>
      <c r="AL17" s="185">
        <f>SUMIF('Monthly CF'!$C$4:$DR$4,AL$3,'Monthly CF'!$C$20:$DR$20)</f>
        <v>0</v>
      </c>
      <c r="AM17" s="185">
        <f>SUMIF('Monthly CF'!$C$4:$DR$4,AM$3,'Monthly CF'!$C$20:$DR$20)</f>
        <v>0</v>
      </c>
      <c r="AN17" s="185">
        <f>SUMIF('Monthly CF'!$C$4:$DR$4,AN$3,'Monthly CF'!$C$20:$DR$20)</f>
        <v>0</v>
      </c>
      <c r="AO17" s="185">
        <f>SUMIF('Monthly CF'!$C$4:$DR$4,AO$3,'Monthly CF'!$C$20:$DR$20)</f>
        <v>0</v>
      </c>
      <c r="AP17" s="185">
        <f>SUMIF('Monthly CF'!$C$4:$DR$4,AP$3,'Monthly CF'!$C$20:$DR$20)</f>
        <v>0</v>
      </c>
      <c r="AQ17" s="54"/>
    </row>
    <row r="18" ht="15.75" customHeight="1">
      <c r="A18" s="54"/>
      <c r="B18" s="184" t="str">
        <f>Inputs!B33</f>
        <v>  Insurance</v>
      </c>
      <c r="C18" s="185">
        <f>SUMIF('Monthly CF'!$C$4:$DR$4,C$3,'Monthly CF'!$C$21:$DR$21)</f>
        <v>0</v>
      </c>
      <c r="D18" s="185">
        <f>SUMIF('Monthly CF'!$C$4:$DR$4,D$3,'Monthly CF'!$C$21:$DR$21)</f>
        <v>0</v>
      </c>
      <c r="E18" s="185">
        <f>SUMIF('Monthly CF'!$C$4:$DR$4,E$3,'Monthly CF'!$C$21:$DR$21)</f>
        <v>0</v>
      </c>
      <c r="F18" s="185">
        <f>SUMIF('Monthly CF'!$C$4:$DR$4,F$3,'Monthly CF'!$C$21:$DR$21)</f>
        <v>0</v>
      </c>
      <c r="G18" s="185">
        <f>SUMIF('Monthly CF'!$C$4:$DR$4,G$3,'Monthly CF'!$C$21:$DR$21)</f>
        <v>0</v>
      </c>
      <c r="H18" s="185">
        <f>SUMIF('Monthly CF'!$C$4:$DR$4,H$3,'Monthly CF'!$C$21:$DR$21)</f>
        <v>0</v>
      </c>
      <c r="I18" s="185">
        <f>SUMIF('Monthly CF'!$C$4:$DR$4,I$3,'Monthly CF'!$C$21:$DR$21)</f>
        <v>0</v>
      </c>
      <c r="J18" s="185">
        <f>SUMIF('Monthly CF'!$C$4:$DR$4,J$3,'Monthly CF'!$C$21:$DR$21)</f>
        <v>0</v>
      </c>
      <c r="K18" s="185">
        <f>SUMIF('Monthly CF'!$C$4:$DR$4,K$3,'Monthly CF'!$C$21:$DR$21)</f>
        <v>0</v>
      </c>
      <c r="L18" s="185">
        <f>SUMIF('Monthly CF'!$C$4:$DR$4,L$3,'Monthly CF'!$C$21:$DR$21)</f>
        <v>0</v>
      </c>
      <c r="M18" s="185">
        <f>SUMIF('Monthly CF'!$C$4:$DR$4,M$3,'Monthly CF'!$C$21:$DR$21)</f>
        <v>0</v>
      </c>
      <c r="N18" s="185">
        <f>SUMIF('Monthly CF'!$C$4:$DR$4,N$3,'Monthly CF'!$C$21:$DR$21)</f>
        <v>0</v>
      </c>
      <c r="O18" s="185">
        <f>SUMIF('Monthly CF'!$C$4:$DR$4,O$3,'Monthly CF'!$C$21:$DR$21)</f>
        <v>0</v>
      </c>
      <c r="P18" s="185">
        <f>SUMIF('Monthly CF'!$C$4:$DR$4,P$3,'Monthly CF'!$C$21:$DR$21)</f>
        <v>0</v>
      </c>
      <c r="Q18" s="185">
        <f>SUMIF('Monthly CF'!$C$4:$DR$4,Q$3,'Monthly CF'!$C$21:$DR$21)</f>
        <v>0</v>
      </c>
      <c r="R18" s="185">
        <f>SUMIF('Monthly CF'!$C$4:$DR$4,R$3,'Monthly CF'!$C$21:$DR$21)</f>
        <v>0</v>
      </c>
      <c r="S18" s="185">
        <f>SUMIF('Monthly CF'!$C$4:$DR$4,S$3,'Monthly CF'!$C$21:$DR$21)</f>
        <v>0</v>
      </c>
      <c r="T18" s="185">
        <f>SUMIF('Monthly CF'!$C$4:$DR$4,T$3,'Monthly CF'!$C$21:$DR$21)</f>
        <v>0</v>
      </c>
      <c r="U18" s="185">
        <f>SUMIF('Monthly CF'!$C$4:$DR$4,U$3,'Monthly CF'!$C$21:$DR$21)</f>
        <v>0</v>
      </c>
      <c r="V18" s="185">
        <f>SUMIF('Monthly CF'!$C$4:$DR$4,V$3,'Monthly CF'!$C$21:$DR$21)</f>
        <v>0</v>
      </c>
      <c r="W18" s="185">
        <f>SUMIF('Monthly CF'!$C$4:$DR$4,W$3,'Monthly CF'!$C$21:$DR$21)</f>
        <v>0</v>
      </c>
      <c r="X18" s="185">
        <f>SUMIF('Monthly CF'!$C$4:$DR$4,X$3,'Monthly CF'!$C$21:$DR$21)</f>
        <v>0</v>
      </c>
      <c r="Y18" s="185">
        <f>SUMIF('Monthly CF'!$C$4:$DR$4,Y$3,'Monthly CF'!$C$21:$DR$21)</f>
        <v>0</v>
      </c>
      <c r="Z18" s="185">
        <f>SUMIF('Monthly CF'!$C$4:$DR$4,Z$3,'Monthly CF'!$C$21:$DR$21)</f>
        <v>0</v>
      </c>
      <c r="AA18" s="185">
        <f>SUMIF('Monthly CF'!$C$4:$DR$4,AA$3,'Monthly CF'!$C$21:$DR$21)</f>
        <v>0</v>
      </c>
      <c r="AB18" s="185">
        <f>SUMIF('Monthly CF'!$C$4:$DR$4,AB$3,'Monthly CF'!$C$21:$DR$21)</f>
        <v>0</v>
      </c>
      <c r="AC18" s="185">
        <f>SUMIF('Monthly CF'!$C$4:$DR$4,AC$3,'Monthly CF'!$C$21:$DR$21)</f>
        <v>0</v>
      </c>
      <c r="AD18" s="185">
        <f>SUMIF('Monthly CF'!$C$4:$DR$4,AD$3,'Monthly CF'!$C$21:$DR$21)</f>
        <v>0</v>
      </c>
      <c r="AE18" s="185">
        <f>SUMIF('Monthly CF'!$C$4:$DR$4,AE$3,'Monthly CF'!$C$21:$DR$21)</f>
        <v>0</v>
      </c>
      <c r="AF18" s="185">
        <f>SUMIF('Monthly CF'!$C$4:$DR$4,AF$3,'Monthly CF'!$C$21:$DR$21)</f>
        <v>0</v>
      </c>
      <c r="AG18" s="185">
        <f>SUMIF('Monthly CF'!$C$4:$DR$4,AG$3,'Monthly CF'!$C$21:$DR$21)</f>
        <v>0</v>
      </c>
      <c r="AH18" s="185">
        <f>SUMIF('Monthly CF'!$C$4:$DR$4,AH$3,'Monthly CF'!$C$21:$DR$21)</f>
        <v>0</v>
      </c>
      <c r="AI18" s="185">
        <f>SUMIF('Monthly CF'!$C$4:$DR$4,AI$3,'Monthly CF'!$C$21:$DR$21)</f>
        <v>0</v>
      </c>
      <c r="AJ18" s="185">
        <f>SUMIF('Monthly CF'!$C$4:$DR$4,AJ$3,'Monthly CF'!$C$21:$DR$21)</f>
        <v>0</v>
      </c>
      <c r="AK18" s="185">
        <f>SUMIF('Monthly CF'!$C$4:$DR$4,AK$3,'Monthly CF'!$C$21:$DR$21)</f>
        <v>0</v>
      </c>
      <c r="AL18" s="185">
        <f>SUMIF('Monthly CF'!$C$4:$DR$4,AL$3,'Monthly CF'!$C$21:$DR$21)</f>
        <v>0</v>
      </c>
      <c r="AM18" s="185">
        <f>SUMIF('Monthly CF'!$C$4:$DR$4,AM$3,'Monthly CF'!$C$21:$DR$21)</f>
        <v>0</v>
      </c>
      <c r="AN18" s="185">
        <f>SUMIF('Monthly CF'!$C$4:$DR$4,AN$3,'Monthly CF'!$C$21:$DR$21)</f>
        <v>0</v>
      </c>
      <c r="AO18" s="185">
        <f>SUMIF('Monthly CF'!$C$4:$DR$4,AO$3,'Monthly CF'!$C$21:$DR$21)</f>
        <v>0</v>
      </c>
      <c r="AP18" s="185">
        <f>SUMIF('Monthly CF'!$C$4:$DR$4,AP$3,'Monthly CF'!$C$21:$DR$21)</f>
        <v>0</v>
      </c>
      <c r="AQ18" s="54"/>
    </row>
    <row r="19" ht="15.75" customHeight="1">
      <c r="A19" s="54"/>
      <c r="B19" s="184" t="str">
        <f>Inputs!B34</f>
        <v>  Property Management Fee (%EGI)</v>
      </c>
      <c r="C19" s="185">
        <f>SUMIF('Monthly CF'!$C$4:$DR$4,C$3,'Monthly CF'!$C$22:$DR$22)</f>
        <v>0</v>
      </c>
      <c r="D19" s="185">
        <f>SUMIF('Monthly CF'!$C$4:$DR$4,D$3,'Monthly CF'!$C$22:$DR$22)</f>
        <v>0</v>
      </c>
      <c r="E19" s="185">
        <f>SUMIF('Monthly CF'!$C$4:$DR$4,E$3,'Monthly CF'!$C$22:$DR$22)</f>
        <v>0</v>
      </c>
      <c r="F19" s="185">
        <f>SUMIF('Monthly CF'!$C$4:$DR$4,F$3,'Monthly CF'!$C$22:$DR$22)</f>
        <v>0</v>
      </c>
      <c r="G19" s="185">
        <f>SUMIF('Monthly CF'!$C$4:$DR$4,G$3,'Monthly CF'!$C$22:$DR$22)</f>
        <v>0</v>
      </c>
      <c r="H19" s="185">
        <f>SUMIF('Monthly CF'!$C$4:$DR$4,H$3,'Monthly CF'!$C$22:$DR$22)</f>
        <v>0</v>
      </c>
      <c r="I19" s="185">
        <f>SUMIF('Monthly CF'!$C$4:$DR$4,I$3,'Monthly CF'!$C$22:$DR$22)</f>
        <v>0</v>
      </c>
      <c r="J19" s="185">
        <f>SUMIF('Monthly CF'!$C$4:$DR$4,J$3,'Monthly CF'!$C$22:$DR$22)</f>
        <v>0</v>
      </c>
      <c r="K19" s="185">
        <f>SUMIF('Monthly CF'!$C$4:$DR$4,K$3,'Monthly CF'!$C$22:$DR$22)</f>
        <v>0</v>
      </c>
      <c r="L19" s="185">
        <f>SUMIF('Monthly CF'!$C$4:$DR$4,L$3,'Monthly CF'!$C$22:$DR$22)</f>
        <v>0</v>
      </c>
      <c r="M19" s="185">
        <f>SUMIF('Monthly CF'!$C$4:$DR$4,M$3,'Monthly CF'!$C$22:$DR$22)</f>
        <v>0</v>
      </c>
      <c r="N19" s="185">
        <f>SUMIF('Monthly CF'!$C$4:$DR$4,N$3,'Monthly CF'!$C$22:$DR$22)</f>
        <v>0</v>
      </c>
      <c r="O19" s="185">
        <f>SUMIF('Monthly CF'!$C$4:$DR$4,O$3,'Monthly CF'!$C$22:$DR$22)</f>
        <v>0</v>
      </c>
      <c r="P19" s="185">
        <f>SUMIF('Monthly CF'!$C$4:$DR$4,P$3,'Monthly CF'!$C$22:$DR$22)</f>
        <v>0</v>
      </c>
      <c r="Q19" s="185">
        <f>SUMIF('Monthly CF'!$C$4:$DR$4,Q$3,'Monthly CF'!$C$22:$DR$22)</f>
        <v>0</v>
      </c>
      <c r="R19" s="185">
        <f>SUMIF('Monthly CF'!$C$4:$DR$4,R$3,'Monthly CF'!$C$22:$DR$22)</f>
        <v>0</v>
      </c>
      <c r="S19" s="185">
        <f>SUMIF('Monthly CF'!$C$4:$DR$4,S$3,'Monthly CF'!$C$22:$DR$22)</f>
        <v>0</v>
      </c>
      <c r="T19" s="185">
        <f>SUMIF('Monthly CF'!$C$4:$DR$4,T$3,'Monthly CF'!$C$22:$DR$22)</f>
        <v>0</v>
      </c>
      <c r="U19" s="185">
        <f>SUMIF('Monthly CF'!$C$4:$DR$4,U$3,'Monthly CF'!$C$22:$DR$22)</f>
        <v>0</v>
      </c>
      <c r="V19" s="185">
        <f>SUMIF('Monthly CF'!$C$4:$DR$4,V$3,'Monthly CF'!$C$22:$DR$22)</f>
        <v>0</v>
      </c>
      <c r="W19" s="185">
        <f>SUMIF('Monthly CF'!$C$4:$DR$4,W$3,'Monthly CF'!$C$22:$DR$22)</f>
        <v>0</v>
      </c>
      <c r="X19" s="185">
        <f>SUMIF('Monthly CF'!$C$4:$DR$4,X$3,'Monthly CF'!$C$22:$DR$22)</f>
        <v>0</v>
      </c>
      <c r="Y19" s="185">
        <f>SUMIF('Monthly CF'!$C$4:$DR$4,Y$3,'Monthly CF'!$C$22:$DR$22)</f>
        <v>0</v>
      </c>
      <c r="Z19" s="185">
        <f>SUMIF('Monthly CF'!$C$4:$DR$4,Z$3,'Monthly CF'!$C$22:$DR$22)</f>
        <v>0</v>
      </c>
      <c r="AA19" s="185">
        <f>SUMIF('Monthly CF'!$C$4:$DR$4,AA$3,'Monthly CF'!$C$22:$DR$22)</f>
        <v>0</v>
      </c>
      <c r="AB19" s="185">
        <f>SUMIF('Monthly CF'!$C$4:$DR$4,AB$3,'Monthly CF'!$C$22:$DR$22)</f>
        <v>0</v>
      </c>
      <c r="AC19" s="185">
        <f>SUMIF('Monthly CF'!$C$4:$DR$4,AC$3,'Monthly CF'!$C$22:$DR$22)</f>
        <v>0</v>
      </c>
      <c r="AD19" s="185">
        <f>SUMIF('Monthly CF'!$C$4:$DR$4,AD$3,'Monthly CF'!$C$22:$DR$22)</f>
        <v>0</v>
      </c>
      <c r="AE19" s="185">
        <f>SUMIF('Monthly CF'!$C$4:$DR$4,AE$3,'Monthly CF'!$C$22:$DR$22)</f>
        <v>0</v>
      </c>
      <c r="AF19" s="185">
        <f>SUMIF('Monthly CF'!$C$4:$DR$4,AF$3,'Monthly CF'!$C$22:$DR$22)</f>
        <v>0</v>
      </c>
      <c r="AG19" s="185">
        <f>SUMIF('Monthly CF'!$C$4:$DR$4,AG$3,'Monthly CF'!$C$22:$DR$22)</f>
        <v>0</v>
      </c>
      <c r="AH19" s="185">
        <f>SUMIF('Monthly CF'!$C$4:$DR$4,AH$3,'Monthly CF'!$C$22:$DR$22)</f>
        <v>0</v>
      </c>
      <c r="AI19" s="185">
        <f>SUMIF('Monthly CF'!$C$4:$DR$4,AI$3,'Monthly CF'!$C$22:$DR$22)</f>
        <v>0</v>
      </c>
      <c r="AJ19" s="185">
        <f>SUMIF('Monthly CF'!$C$4:$DR$4,AJ$3,'Monthly CF'!$C$22:$DR$22)</f>
        <v>0</v>
      </c>
      <c r="AK19" s="185">
        <f>SUMIF('Monthly CF'!$C$4:$DR$4,AK$3,'Monthly CF'!$C$22:$DR$22)</f>
        <v>0</v>
      </c>
      <c r="AL19" s="185">
        <f>SUMIF('Monthly CF'!$C$4:$DR$4,AL$3,'Monthly CF'!$C$22:$DR$22)</f>
        <v>0</v>
      </c>
      <c r="AM19" s="185">
        <f>SUMIF('Monthly CF'!$C$4:$DR$4,AM$3,'Monthly CF'!$C$22:$DR$22)</f>
        <v>0</v>
      </c>
      <c r="AN19" s="185">
        <f>SUMIF('Monthly CF'!$C$4:$DR$4,AN$3,'Monthly CF'!$C$22:$DR$22)</f>
        <v>0</v>
      </c>
      <c r="AO19" s="185">
        <f>SUMIF('Monthly CF'!$C$4:$DR$4,AO$3,'Monthly CF'!$C$22:$DR$22)</f>
        <v>0</v>
      </c>
      <c r="AP19" s="185">
        <f>SUMIF('Monthly CF'!$C$4:$DR$4,AP$3,'Monthly CF'!$C$22:$DR$22)</f>
        <v>0</v>
      </c>
      <c r="AQ19" s="54"/>
    </row>
    <row r="20" ht="15.75" customHeight="1">
      <c r="A20" s="54"/>
      <c r="B20" s="184" t="str">
        <f>Inputs!B35</f>
        <v>  Repairs &amp; Maintenance</v>
      </c>
      <c r="C20" s="185">
        <f>SUMIF('Monthly CF'!$C$4:$DR$4,C$3,'Monthly CF'!$C$23:$DR$23)</f>
        <v>0</v>
      </c>
      <c r="D20" s="185">
        <f>SUMIF('Monthly CF'!$C$4:$DR$4,D$3,'Monthly CF'!$C$23:$DR$23)</f>
        <v>0</v>
      </c>
      <c r="E20" s="185">
        <f>SUMIF('Monthly CF'!$C$4:$DR$4,E$3,'Monthly CF'!$C$23:$DR$23)</f>
        <v>0</v>
      </c>
      <c r="F20" s="185">
        <f>SUMIF('Monthly CF'!$C$4:$DR$4,F$3,'Monthly CF'!$C$23:$DR$23)</f>
        <v>0</v>
      </c>
      <c r="G20" s="185">
        <f>SUMIF('Monthly CF'!$C$4:$DR$4,G$3,'Monthly CF'!$C$23:$DR$23)</f>
        <v>0</v>
      </c>
      <c r="H20" s="185">
        <f>SUMIF('Monthly CF'!$C$4:$DR$4,H$3,'Monthly CF'!$C$23:$DR$23)</f>
        <v>0</v>
      </c>
      <c r="I20" s="185">
        <f>SUMIF('Monthly CF'!$C$4:$DR$4,I$3,'Monthly CF'!$C$23:$DR$23)</f>
        <v>0</v>
      </c>
      <c r="J20" s="185">
        <f>SUMIF('Monthly CF'!$C$4:$DR$4,J$3,'Monthly CF'!$C$23:$DR$23)</f>
        <v>0</v>
      </c>
      <c r="K20" s="185">
        <f>SUMIF('Monthly CF'!$C$4:$DR$4,K$3,'Monthly CF'!$C$23:$DR$23)</f>
        <v>0</v>
      </c>
      <c r="L20" s="185">
        <f>SUMIF('Monthly CF'!$C$4:$DR$4,L$3,'Monthly CF'!$C$23:$DR$23)</f>
        <v>0</v>
      </c>
      <c r="M20" s="185">
        <f>SUMIF('Monthly CF'!$C$4:$DR$4,M$3,'Monthly CF'!$C$23:$DR$23)</f>
        <v>0</v>
      </c>
      <c r="N20" s="185">
        <f>SUMIF('Monthly CF'!$C$4:$DR$4,N$3,'Monthly CF'!$C$23:$DR$23)</f>
        <v>0</v>
      </c>
      <c r="O20" s="185">
        <f>SUMIF('Monthly CF'!$C$4:$DR$4,O$3,'Monthly CF'!$C$23:$DR$23)</f>
        <v>0</v>
      </c>
      <c r="P20" s="185">
        <f>SUMIF('Monthly CF'!$C$4:$DR$4,P$3,'Monthly CF'!$C$23:$DR$23)</f>
        <v>0</v>
      </c>
      <c r="Q20" s="185">
        <f>SUMIF('Monthly CF'!$C$4:$DR$4,Q$3,'Monthly CF'!$C$23:$DR$23)</f>
        <v>0</v>
      </c>
      <c r="R20" s="185">
        <f>SUMIF('Monthly CF'!$C$4:$DR$4,R$3,'Monthly CF'!$C$23:$DR$23)</f>
        <v>0</v>
      </c>
      <c r="S20" s="185">
        <f>SUMIF('Monthly CF'!$C$4:$DR$4,S$3,'Monthly CF'!$C$23:$DR$23)</f>
        <v>0</v>
      </c>
      <c r="T20" s="185">
        <f>SUMIF('Monthly CF'!$C$4:$DR$4,T$3,'Monthly CF'!$C$23:$DR$23)</f>
        <v>0</v>
      </c>
      <c r="U20" s="185">
        <f>SUMIF('Monthly CF'!$C$4:$DR$4,U$3,'Monthly CF'!$C$23:$DR$23)</f>
        <v>0</v>
      </c>
      <c r="V20" s="185">
        <f>SUMIF('Monthly CF'!$C$4:$DR$4,V$3,'Monthly CF'!$C$23:$DR$23)</f>
        <v>0</v>
      </c>
      <c r="W20" s="185">
        <f>SUMIF('Monthly CF'!$C$4:$DR$4,W$3,'Monthly CF'!$C$23:$DR$23)</f>
        <v>0</v>
      </c>
      <c r="X20" s="185">
        <f>SUMIF('Monthly CF'!$C$4:$DR$4,X$3,'Monthly CF'!$C$23:$DR$23)</f>
        <v>0</v>
      </c>
      <c r="Y20" s="185">
        <f>SUMIF('Monthly CF'!$C$4:$DR$4,Y$3,'Monthly CF'!$C$23:$DR$23)</f>
        <v>0</v>
      </c>
      <c r="Z20" s="185">
        <f>SUMIF('Monthly CF'!$C$4:$DR$4,Z$3,'Monthly CF'!$C$23:$DR$23)</f>
        <v>0</v>
      </c>
      <c r="AA20" s="185">
        <f>SUMIF('Monthly CF'!$C$4:$DR$4,AA$3,'Monthly CF'!$C$23:$DR$23)</f>
        <v>0</v>
      </c>
      <c r="AB20" s="185">
        <f>SUMIF('Monthly CF'!$C$4:$DR$4,AB$3,'Monthly CF'!$C$23:$DR$23)</f>
        <v>0</v>
      </c>
      <c r="AC20" s="185">
        <f>SUMIF('Monthly CF'!$C$4:$DR$4,AC$3,'Monthly CF'!$C$23:$DR$23)</f>
        <v>0</v>
      </c>
      <c r="AD20" s="185">
        <f>SUMIF('Monthly CF'!$C$4:$DR$4,AD$3,'Monthly CF'!$C$23:$DR$23)</f>
        <v>0</v>
      </c>
      <c r="AE20" s="185">
        <f>SUMIF('Monthly CF'!$C$4:$DR$4,AE$3,'Monthly CF'!$C$23:$DR$23)</f>
        <v>0</v>
      </c>
      <c r="AF20" s="185">
        <f>SUMIF('Monthly CF'!$C$4:$DR$4,AF$3,'Monthly CF'!$C$23:$DR$23)</f>
        <v>0</v>
      </c>
      <c r="AG20" s="185">
        <f>SUMIF('Monthly CF'!$C$4:$DR$4,AG$3,'Monthly CF'!$C$23:$DR$23)</f>
        <v>0</v>
      </c>
      <c r="AH20" s="185">
        <f>SUMIF('Monthly CF'!$C$4:$DR$4,AH$3,'Monthly CF'!$C$23:$DR$23)</f>
        <v>0</v>
      </c>
      <c r="AI20" s="185">
        <f>SUMIF('Monthly CF'!$C$4:$DR$4,AI$3,'Monthly CF'!$C$23:$DR$23)</f>
        <v>0</v>
      </c>
      <c r="AJ20" s="185">
        <f>SUMIF('Monthly CF'!$C$4:$DR$4,AJ$3,'Monthly CF'!$C$23:$DR$23)</f>
        <v>0</v>
      </c>
      <c r="AK20" s="185">
        <f>SUMIF('Monthly CF'!$C$4:$DR$4,AK$3,'Monthly CF'!$C$23:$DR$23)</f>
        <v>0</v>
      </c>
      <c r="AL20" s="185">
        <f>SUMIF('Monthly CF'!$C$4:$DR$4,AL$3,'Monthly CF'!$C$23:$DR$23)</f>
        <v>0</v>
      </c>
      <c r="AM20" s="185">
        <f>SUMIF('Monthly CF'!$C$4:$DR$4,AM$3,'Monthly CF'!$C$23:$DR$23)</f>
        <v>0</v>
      </c>
      <c r="AN20" s="185">
        <f>SUMIF('Monthly CF'!$C$4:$DR$4,AN$3,'Monthly CF'!$C$23:$DR$23)</f>
        <v>0</v>
      </c>
      <c r="AO20" s="185">
        <f>SUMIF('Monthly CF'!$C$4:$DR$4,AO$3,'Monthly CF'!$C$23:$DR$23)</f>
        <v>0</v>
      </c>
      <c r="AP20" s="185">
        <f>SUMIF('Monthly CF'!$C$4:$DR$4,AP$3,'Monthly CF'!$C$23:$DR$23)</f>
        <v>0</v>
      </c>
      <c r="AQ20" s="54"/>
    </row>
    <row r="21" ht="15.75" customHeight="1">
      <c r="A21" s="54"/>
      <c r="B21" s="184" t="str">
        <f>Inputs!B36</f>
        <v>  Utilities</v>
      </c>
      <c r="C21" s="185">
        <f>SUMIF('Monthly CF'!$C$4:$DR$4,C$3,'Monthly CF'!$C$24:$DR$24)</f>
        <v>0</v>
      </c>
      <c r="D21" s="185">
        <f>SUMIF('Monthly CF'!$C$4:$DR$4,D$3,'Monthly CF'!$C$24:$DR$24)</f>
        <v>0</v>
      </c>
      <c r="E21" s="185">
        <f>SUMIF('Monthly CF'!$C$4:$DR$4,E$3,'Monthly CF'!$C$24:$DR$24)</f>
        <v>0</v>
      </c>
      <c r="F21" s="185">
        <f>SUMIF('Monthly CF'!$C$4:$DR$4,F$3,'Monthly CF'!$C$24:$DR$24)</f>
        <v>0</v>
      </c>
      <c r="G21" s="185">
        <f>SUMIF('Monthly CF'!$C$4:$DR$4,G$3,'Monthly CF'!$C$24:$DR$24)</f>
        <v>0</v>
      </c>
      <c r="H21" s="185">
        <f>SUMIF('Monthly CF'!$C$4:$DR$4,H$3,'Monthly CF'!$C$24:$DR$24)</f>
        <v>0</v>
      </c>
      <c r="I21" s="185">
        <f>SUMIF('Monthly CF'!$C$4:$DR$4,I$3,'Monthly CF'!$C$24:$DR$24)</f>
        <v>0</v>
      </c>
      <c r="J21" s="185">
        <f>SUMIF('Monthly CF'!$C$4:$DR$4,J$3,'Monthly CF'!$C$24:$DR$24)</f>
        <v>0</v>
      </c>
      <c r="K21" s="185">
        <f>SUMIF('Monthly CF'!$C$4:$DR$4,K$3,'Monthly CF'!$C$24:$DR$24)</f>
        <v>0</v>
      </c>
      <c r="L21" s="185">
        <f>SUMIF('Monthly CF'!$C$4:$DR$4,L$3,'Monthly CF'!$C$24:$DR$24)</f>
        <v>0</v>
      </c>
      <c r="M21" s="185">
        <f>SUMIF('Monthly CF'!$C$4:$DR$4,M$3,'Monthly CF'!$C$24:$DR$24)</f>
        <v>0</v>
      </c>
      <c r="N21" s="185">
        <f>SUMIF('Monthly CF'!$C$4:$DR$4,N$3,'Monthly CF'!$C$24:$DR$24)</f>
        <v>0</v>
      </c>
      <c r="O21" s="185">
        <f>SUMIF('Monthly CF'!$C$4:$DR$4,O$3,'Monthly CF'!$C$24:$DR$24)</f>
        <v>0</v>
      </c>
      <c r="P21" s="185">
        <f>SUMIF('Monthly CF'!$C$4:$DR$4,P$3,'Monthly CF'!$C$24:$DR$24)</f>
        <v>0</v>
      </c>
      <c r="Q21" s="185">
        <f>SUMIF('Monthly CF'!$C$4:$DR$4,Q$3,'Monthly CF'!$C$24:$DR$24)</f>
        <v>0</v>
      </c>
      <c r="R21" s="185">
        <f>SUMIF('Monthly CF'!$C$4:$DR$4,R$3,'Monthly CF'!$C$24:$DR$24)</f>
        <v>0</v>
      </c>
      <c r="S21" s="185">
        <f>SUMIF('Monthly CF'!$C$4:$DR$4,S$3,'Monthly CF'!$C$24:$DR$24)</f>
        <v>0</v>
      </c>
      <c r="T21" s="185">
        <f>SUMIF('Monthly CF'!$C$4:$DR$4,T$3,'Monthly CF'!$C$24:$DR$24)</f>
        <v>0</v>
      </c>
      <c r="U21" s="185">
        <f>SUMIF('Monthly CF'!$C$4:$DR$4,U$3,'Monthly CF'!$C$24:$DR$24)</f>
        <v>0</v>
      </c>
      <c r="V21" s="185">
        <f>SUMIF('Monthly CF'!$C$4:$DR$4,V$3,'Monthly CF'!$C$24:$DR$24)</f>
        <v>0</v>
      </c>
      <c r="W21" s="185">
        <f>SUMIF('Monthly CF'!$C$4:$DR$4,W$3,'Monthly CF'!$C$24:$DR$24)</f>
        <v>0</v>
      </c>
      <c r="X21" s="185">
        <f>SUMIF('Monthly CF'!$C$4:$DR$4,X$3,'Monthly CF'!$C$24:$DR$24)</f>
        <v>0</v>
      </c>
      <c r="Y21" s="185">
        <f>SUMIF('Monthly CF'!$C$4:$DR$4,Y$3,'Monthly CF'!$C$24:$DR$24)</f>
        <v>0</v>
      </c>
      <c r="Z21" s="185">
        <f>SUMIF('Monthly CF'!$C$4:$DR$4,Z$3,'Monthly CF'!$C$24:$DR$24)</f>
        <v>0</v>
      </c>
      <c r="AA21" s="185">
        <f>SUMIF('Monthly CF'!$C$4:$DR$4,AA$3,'Monthly CF'!$C$24:$DR$24)</f>
        <v>0</v>
      </c>
      <c r="AB21" s="185">
        <f>SUMIF('Monthly CF'!$C$4:$DR$4,AB$3,'Monthly CF'!$C$24:$DR$24)</f>
        <v>0</v>
      </c>
      <c r="AC21" s="185">
        <f>SUMIF('Monthly CF'!$C$4:$DR$4,AC$3,'Monthly CF'!$C$24:$DR$24)</f>
        <v>0</v>
      </c>
      <c r="AD21" s="185">
        <f>SUMIF('Monthly CF'!$C$4:$DR$4,AD$3,'Monthly CF'!$C$24:$DR$24)</f>
        <v>0</v>
      </c>
      <c r="AE21" s="185">
        <f>SUMIF('Monthly CF'!$C$4:$DR$4,AE$3,'Monthly CF'!$C$24:$DR$24)</f>
        <v>0</v>
      </c>
      <c r="AF21" s="185">
        <f>SUMIF('Monthly CF'!$C$4:$DR$4,AF$3,'Monthly CF'!$C$24:$DR$24)</f>
        <v>0</v>
      </c>
      <c r="AG21" s="185">
        <f>SUMIF('Monthly CF'!$C$4:$DR$4,AG$3,'Monthly CF'!$C$24:$DR$24)</f>
        <v>0</v>
      </c>
      <c r="AH21" s="185">
        <f>SUMIF('Monthly CF'!$C$4:$DR$4,AH$3,'Monthly CF'!$C$24:$DR$24)</f>
        <v>0</v>
      </c>
      <c r="AI21" s="185">
        <f>SUMIF('Monthly CF'!$C$4:$DR$4,AI$3,'Monthly CF'!$C$24:$DR$24)</f>
        <v>0</v>
      </c>
      <c r="AJ21" s="185">
        <f>SUMIF('Monthly CF'!$C$4:$DR$4,AJ$3,'Monthly CF'!$C$24:$DR$24)</f>
        <v>0</v>
      </c>
      <c r="AK21" s="185">
        <f>SUMIF('Monthly CF'!$C$4:$DR$4,AK$3,'Monthly CF'!$C$24:$DR$24)</f>
        <v>0</v>
      </c>
      <c r="AL21" s="185">
        <f>SUMIF('Monthly CF'!$C$4:$DR$4,AL$3,'Monthly CF'!$C$24:$DR$24)</f>
        <v>0</v>
      </c>
      <c r="AM21" s="185">
        <f>SUMIF('Monthly CF'!$C$4:$DR$4,AM$3,'Monthly CF'!$C$24:$DR$24)</f>
        <v>0</v>
      </c>
      <c r="AN21" s="185">
        <f>SUMIF('Monthly CF'!$C$4:$DR$4,AN$3,'Monthly CF'!$C$24:$DR$24)</f>
        <v>0</v>
      </c>
      <c r="AO21" s="185">
        <f>SUMIF('Monthly CF'!$C$4:$DR$4,AO$3,'Monthly CF'!$C$24:$DR$24)</f>
        <v>0</v>
      </c>
      <c r="AP21" s="185">
        <f>SUMIF('Monthly CF'!$C$4:$DR$4,AP$3,'Monthly CF'!$C$24:$DR$24)</f>
        <v>0</v>
      </c>
      <c r="AQ21" s="54"/>
    </row>
    <row r="22" ht="15.75" customHeight="1">
      <c r="A22" s="54"/>
      <c r="B22" s="184" t="str">
        <f>Inputs!B37</f>
        <v>  Landscaping / Janitorial</v>
      </c>
      <c r="C22" s="185">
        <f>SUMIF('Monthly CF'!$C$4:$DR$4,C$3,'Monthly CF'!$C$25:$DR$25)</f>
        <v>0</v>
      </c>
      <c r="D22" s="185">
        <f>SUMIF('Monthly CF'!$C$4:$DR$4,D$3,'Monthly CF'!$C$25:$DR$25)</f>
        <v>0</v>
      </c>
      <c r="E22" s="185">
        <f>SUMIF('Monthly CF'!$C$4:$DR$4,E$3,'Monthly CF'!$C$25:$DR$25)</f>
        <v>0</v>
      </c>
      <c r="F22" s="185">
        <f>SUMIF('Monthly CF'!$C$4:$DR$4,F$3,'Monthly CF'!$C$25:$DR$25)</f>
        <v>0</v>
      </c>
      <c r="G22" s="185">
        <f>SUMIF('Monthly CF'!$C$4:$DR$4,G$3,'Monthly CF'!$C$25:$DR$25)</f>
        <v>0</v>
      </c>
      <c r="H22" s="185">
        <f>SUMIF('Monthly CF'!$C$4:$DR$4,H$3,'Monthly CF'!$C$25:$DR$25)</f>
        <v>0</v>
      </c>
      <c r="I22" s="185">
        <f>SUMIF('Monthly CF'!$C$4:$DR$4,I$3,'Monthly CF'!$C$25:$DR$25)</f>
        <v>0</v>
      </c>
      <c r="J22" s="185">
        <f>SUMIF('Monthly CF'!$C$4:$DR$4,J$3,'Monthly CF'!$C$25:$DR$25)</f>
        <v>0</v>
      </c>
      <c r="K22" s="185">
        <f>SUMIF('Monthly CF'!$C$4:$DR$4,K$3,'Monthly CF'!$C$25:$DR$25)</f>
        <v>0</v>
      </c>
      <c r="L22" s="185">
        <f>SUMIF('Monthly CF'!$C$4:$DR$4,L$3,'Monthly CF'!$C$25:$DR$25)</f>
        <v>0</v>
      </c>
      <c r="M22" s="185">
        <f>SUMIF('Monthly CF'!$C$4:$DR$4,M$3,'Monthly CF'!$C$25:$DR$25)</f>
        <v>0</v>
      </c>
      <c r="N22" s="185">
        <f>SUMIF('Monthly CF'!$C$4:$DR$4,N$3,'Monthly CF'!$C$25:$DR$25)</f>
        <v>0</v>
      </c>
      <c r="O22" s="185">
        <f>SUMIF('Monthly CF'!$C$4:$DR$4,O$3,'Monthly CF'!$C$25:$DR$25)</f>
        <v>0</v>
      </c>
      <c r="P22" s="185">
        <f>SUMIF('Monthly CF'!$C$4:$DR$4,P$3,'Monthly CF'!$C$25:$DR$25)</f>
        <v>0</v>
      </c>
      <c r="Q22" s="185">
        <f>SUMIF('Monthly CF'!$C$4:$DR$4,Q$3,'Monthly CF'!$C$25:$DR$25)</f>
        <v>0</v>
      </c>
      <c r="R22" s="185">
        <f>SUMIF('Monthly CF'!$C$4:$DR$4,R$3,'Monthly CF'!$C$25:$DR$25)</f>
        <v>0</v>
      </c>
      <c r="S22" s="185">
        <f>SUMIF('Monthly CF'!$C$4:$DR$4,S$3,'Monthly CF'!$C$25:$DR$25)</f>
        <v>0</v>
      </c>
      <c r="T22" s="185">
        <f>SUMIF('Monthly CF'!$C$4:$DR$4,T$3,'Monthly CF'!$C$25:$DR$25)</f>
        <v>0</v>
      </c>
      <c r="U22" s="185">
        <f>SUMIF('Monthly CF'!$C$4:$DR$4,U$3,'Monthly CF'!$C$25:$DR$25)</f>
        <v>0</v>
      </c>
      <c r="V22" s="185">
        <f>SUMIF('Monthly CF'!$C$4:$DR$4,V$3,'Monthly CF'!$C$25:$DR$25)</f>
        <v>0</v>
      </c>
      <c r="W22" s="185">
        <f>SUMIF('Monthly CF'!$C$4:$DR$4,W$3,'Monthly CF'!$C$25:$DR$25)</f>
        <v>0</v>
      </c>
      <c r="X22" s="185">
        <f>SUMIF('Monthly CF'!$C$4:$DR$4,X$3,'Monthly CF'!$C$25:$DR$25)</f>
        <v>0</v>
      </c>
      <c r="Y22" s="185">
        <f>SUMIF('Monthly CF'!$C$4:$DR$4,Y$3,'Monthly CF'!$C$25:$DR$25)</f>
        <v>0</v>
      </c>
      <c r="Z22" s="185">
        <f>SUMIF('Monthly CF'!$C$4:$DR$4,Z$3,'Monthly CF'!$C$25:$DR$25)</f>
        <v>0</v>
      </c>
      <c r="AA22" s="185">
        <f>SUMIF('Monthly CF'!$C$4:$DR$4,AA$3,'Monthly CF'!$C$25:$DR$25)</f>
        <v>0</v>
      </c>
      <c r="AB22" s="185">
        <f>SUMIF('Monthly CF'!$C$4:$DR$4,AB$3,'Monthly CF'!$C$25:$DR$25)</f>
        <v>0</v>
      </c>
      <c r="AC22" s="185">
        <f>SUMIF('Monthly CF'!$C$4:$DR$4,AC$3,'Monthly CF'!$C$25:$DR$25)</f>
        <v>0</v>
      </c>
      <c r="AD22" s="185">
        <f>SUMIF('Monthly CF'!$C$4:$DR$4,AD$3,'Monthly CF'!$C$25:$DR$25)</f>
        <v>0</v>
      </c>
      <c r="AE22" s="185">
        <f>SUMIF('Monthly CF'!$C$4:$DR$4,AE$3,'Monthly CF'!$C$25:$DR$25)</f>
        <v>0</v>
      </c>
      <c r="AF22" s="185">
        <f>SUMIF('Monthly CF'!$C$4:$DR$4,AF$3,'Monthly CF'!$C$25:$DR$25)</f>
        <v>0</v>
      </c>
      <c r="AG22" s="185">
        <f>SUMIF('Monthly CF'!$C$4:$DR$4,AG$3,'Monthly CF'!$C$25:$DR$25)</f>
        <v>0</v>
      </c>
      <c r="AH22" s="185">
        <f>SUMIF('Monthly CF'!$C$4:$DR$4,AH$3,'Monthly CF'!$C$25:$DR$25)</f>
        <v>0</v>
      </c>
      <c r="AI22" s="185">
        <f>SUMIF('Monthly CF'!$C$4:$DR$4,AI$3,'Monthly CF'!$C$25:$DR$25)</f>
        <v>0</v>
      </c>
      <c r="AJ22" s="185">
        <f>SUMIF('Monthly CF'!$C$4:$DR$4,AJ$3,'Monthly CF'!$C$25:$DR$25)</f>
        <v>0</v>
      </c>
      <c r="AK22" s="185">
        <f>SUMIF('Monthly CF'!$C$4:$DR$4,AK$3,'Monthly CF'!$C$25:$DR$25)</f>
        <v>0</v>
      </c>
      <c r="AL22" s="185">
        <f>SUMIF('Monthly CF'!$C$4:$DR$4,AL$3,'Monthly CF'!$C$25:$DR$25)</f>
        <v>0</v>
      </c>
      <c r="AM22" s="185">
        <f>SUMIF('Monthly CF'!$C$4:$DR$4,AM$3,'Monthly CF'!$C$25:$DR$25)</f>
        <v>0</v>
      </c>
      <c r="AN22" s="185">
        <f>SUMIF('Monthly CF'!$C$4:$DR$4,AN$3,'Monthly CF'!$C$25:$DR$25)</f>
        <v>0</v>
      </c>
      <c r="AO22" s="185">
        <f>SUMIF('Monthly CF'!$C$4:$DR$4,AO$3,'Monthly CF'!$C$25:$DR$25)</f>
        <v>0</v>
      </c>
      <c r="AP22" s="185">
        <f>SUMIF('Monthly CF'!$C$4:$DR$4,AP$3,'Monthly CF'!$C$25:$DR$25)</f>
        <v>0</v>
      </c>
      <c r="AQ22" s="54"/>
    </row>
    <row r="23" ht="15.75" customHeight="1">
      <c r="A23" s="54"/>
      <c r="B23" s="184" t="str">
        <f>Inputs!B38</f>
        <v>  Admin &amp; Marketing</v>
      </c>
      <c r="C23" s="185">
        <f>SUMIF('Monthly CF'!$C$4:$DR$4,C$3,'Monthly CF'!$C$26:$DR$26)</f>
        <v>0</v>
      </c>
      <c r="D23" s="185">
        <f>SUMIF('Monthly CF'!$C$4:$DR$4,D$3,'Monthly CF'!$C$26:$DR$26)</f>
        <v>0</v>
      </c>
      <c r="E23" s="185">
        <f>SUMIF('Monthly CF'!$C$4:$DR$4,E$3,'Monthly CF'!$C$26:$DR$26)</f>
        <v>0</v>
      </c>
      <c r="F23" s="185">
        <f>SUMIF('Monthly CF'!$C$4:$DR$4,F$3,'Monthly CF'!$C$26:$DR$26)</f>
        <v>0</v>
      </c>
      <c r="G23" s="185">
        <f>SUMIF('Monthly CF'!$C$4:$DR$4,G$3,'Monthly CF'!$C$26:$DR$26)</f>
        <v>0</v>
      </c>
      <c r="H23" s="185">
        <f>SUMIF('Monthly CF'!$C$4:$DR$4,H$3,'Monthly CF'!$C$26:$DR$26)</f>
        <v>0</v>
      </c>
      <c r="I23" s="185">
        <f>SUMIF('Monthly CF'!$C$4:$DR$4,I$3,'Monthly CF'!$C$26:$DR$26)</f>
        <v>0</v>
      </c>
      <c r="J23" s="185">
        <f>SUMIF('Monthly CF'!$C$4:$DR$4,J$3,'Monthly CF'!$C$26:$DR$26)</f>
        <v>0</v>
      </c>
      <c r="K23" s="185">
        <f>SUMIF('Monthly CF'!$C$4:$DR$4,K$3,'Monthly CF'!$C$26:$DR$26)</f>
        <v>0</v>
      </c>
      <c r="L23" s="185">
        <f>SUMIF('Monthly CF'!$C$4:$DR$4,L$3,'Monthly CF'!$C$26:$DR$26)</f>
        <v>0</v>
      </c>
      <c r="M23" s="185">
        <f>SUMIF('Monthly CF'!$C$4:$DR$4,M$3,'Monthly CF'!$C$26:$DR$26)</f>
        <v>0</v>
      </c>
      <c r="N23" s="185">
        <f>SUMIF('Monthly CF'!$C$4:$DR$4,N$3,'Monthly CF'!$C$26:$DR$26)</f>
        <v>0</v>
      </c>
      <c r="O23" s="185">
        <f>SUMIF('Monthly CF'!$C$4:$DR$4,O$3,'Monthly CF'!$C$26:$DR$26)</f>
        <v>0</v>
      </c>
      <c r="P23" s="185">
        <f>SUMIF('Monthly CF'!$C$4:$DR$4,P$3,'Monthly CF'!$C$26:$DR$26)</f>
        <v>0</v>
      </c>
      <c r="Q23" s="185">
        <f>SUMIF('Monthly CF'!$C$4:$DR$4,Q$3,'Monthly CF'!$C$26:$DR$26)</f>
        <v>0</v>
      </c>
      <c r="R23" s="185">
        <f>SUMIF('Monthly CF'!$C$4:$DR$4,R$3,'Monthly CF'!$C$26:$DR$26)</f>
        <v>0</v>
      </c>
      <c r="S23" s="185">
        <f>SUMIF('Monthly CF'!$C$4:$DR$4,S$3,'Monthly CF'!$C$26:$DR$26)</f>
        <v>0</v>
      </c>
      <c r="T23" s="185">
        <f>SUMIF('Monthly CF'!$C$4:$DR$4,T$3,'Monthly CF'!$C$26:$DR$26)</f>
        <v>0</v>
      </c>
      <c r="U23" s="185">
        <f>SUMIF('Monthly CF'!$C$4:$DR$4,U$3,'Monthly CF'!$C$26:$DR$26)</f>
        <v>0</v>
      </c>
      <c r="V23" s="185">
        <f>SUMIF('Monthly CF'!$C$4:$DR$4,V$3,'Monthly CF'!$C$26:$DR$26)</f>
        <v>0</v>
      </c>
      <c r="W23" s="185">
        <f>SUMIF('Monthly CF'!$C$4:$DR$4,W$3,'Monthly CF'!$C$26:$DR$26)</f>
        <v>0</v>
      </c>
      <c r="X23" s="185">
        <f>SUMIF('Monthly CF'!$C$4:$DR$4,X$3,'Monthly CF'!$C$26:$DR$26)</f>
        <v>0</v>
      </c>
      <c r="Y23" s="185">
        <f>SUMIF('Monthly CF'!$C$4:$DR$4,Y$3,'Monthly CF'!$C$26:$DR$26)</f>
        <v>0</v>
      </c>
      <c r="Z23" s="185">
        <f>SUMIF('Monthly CF'!$C$4:$DR$4,Z$3,'Monthly CF'!$C$26:$DR$26)</f>
        <v>0</v>
      </c>
      <c r="AA23" s="185">
        <f>SUMIF('Monthly CF'!$C$4:$DR$4,AA$3,'Monthly CF'!$C$26:$DR$26)</f>
        <v>0</v>
      </c>
      <c r="AB23" s="185">
        <f>SUMIF('Monthly CF'!$C$4:$DR$4,AB$3,'Monthly CF'!$C$26:$DR$26)</f>
        <v>0</v>
      </c>
      <c r="AC23" s="185">
        <f>SUMIF('Monthly CF'!$C$4:$DR$4,AC$3,'Monthly CF'!$C$26:$DR$26)</f>
        <v>0</v>
      </c>
      <c r="AD23" s="185">
        <f>SUMIF('Monthly CF'!$C$4:$DR$4,AD$3,'Monthly CF'!$C$26:$DR$26)</f>
        <v>0</v>
      </c>
      <c r="AE23" s="185">
        <f>SUMIF('Monthly CF'!$C$4:$DR$4,AE$3,'Monthly CF'!$C$26:$DR$26)</f>
        <v>0</v>
      </c>
      <c r="AF23" s="185">
        <f>SUMIF('Monthly CF'!$C$4:$DR$4,AF$3,'Monthly CF'!$C$26:$DR$26)</f>
        <v>0</v>
      </c>
      <c r="AG23" s="185">
        <f>SUMIF('Monthly CF'!$C$4:$DR$4,AG$3,'Monthly CF'!$C$26:$DR$26)</f>
        <v>0</v>
      </c>
      <c r="AH23" s="185">
        <f>SUMIF('Monthly CF'!$C$4:$DR$4,AH$3,'Monthly CF'!$C$26:$DR$26)</f>
        <v>0</v>
      </c>
      <c r="AI23" s="185">
        <f>SUMIF('Monthly CF'!$C$4:$DR$4,AI$3,'Monthly CF'!$C$26:$DR$26)</f>
        <v>0</v>
      </c>
      <c r="AJ23" s="185">
        <f>SUMIF('Monthly CF'!$C$4:$DR$4,AJ$3,'Monthly CF'!$C$26:$DR$26)</f>
        <v>0</v>
      </c>
      <c r="AK23" s="185">
        <f>SUMIF('Monthly CF'!$C$4:$DR$4,AK$3,'Monthly CF'!$C$26:$DR$26)</f>
        <v>0</v>
      </c>
      <c r="AL23" s="185">
        <f>SUMIF('Monthly CF'!$C$4:$DR$4,AL$3,'Monthly CF'!$C$26:$DR$26)</f>
        <v>0</v>
      </c>
      <c r="AM23" s="185">
        <f>SUMIF('Monthly CF'!$C$4:$DR$4,AM$3,'Monthly CF'!$C$26:$DR$26)</f>
        <v>0</v>
      </c>
      <c r="AN23" s="185">
        <f>SUMIF('Monthly CF'!$C$4:$DR$4,AN$3,'Monthly CF'!$C$26:$DR$26)</f>
        <v>0</v>
      </c>
      <c r="AO23" s="185">
        <f>SUMIF('Monthly CF'!$C$4:$DR$4,AO$3,'Monthly CF'!$C$26:$DR$26)</f>
        <v>0</v>
      </c>
      <c r="AP23" s="185">
        <f>SUMIF('Monthly CF'!$C$4:$DR$4,AP$3,'Monthly CF'!$C$26:$DR$26)</f>
        <v>0</v>
      </c>
      <c r="AQ23" s="54"/>
    </row>
    <row r="24" ht="15.75" customHeight="1">
      <c r="A24" s="54"/>
      <c r="B24" s="184" t="str">
        <f>Inputs!B39</f>
        <v>  Reserves for Replacement</v>
      </c>
      <c r="C24" s="185">
        <f>SUMIF('Monthly CF'!$C$4:$DR$4,C$3,'Monthly CF'!$C$27:$DR$27)</f>
        <v>0</v>
      </c>
      <c r="D24" s="185">
        <f>SUMIF('Monthly CF'!$C$4:$DR$4,D$3,'Monthly CF'!$C$27:$DR$27)</f>
        <v>0</v>
      </c>
      <c r="E24" s="185">
        <f>SUMIF('Monthly CF'!$C$4:$DR$4,E$3,'Monthly CF'!$C$27:$DR$27)</f>
        <v>0</v>
      </c>
      <c r="F24" s="185">
        <f>SUMIF('Monthly CF'!$C$4:$DR$4,F$3,'Monthly CF'!$C$27:$DR$27)</f>
        <v>0</v>
      </c>
      <c r="G24" s="185">
        <f>SUMIF('Monthly CF'!$C$4:$DR$4,G$3,'Monthly CF'!$C$27:$DR$27)</f>
        <v>0</v>
      </c>
      <c r="H24" s="185">
        <f>SUMIF('Monthly CF'!$C$4:$DR$4,H$3,'Monthly CF'!$C$27:$DR$27)</f>
        <v>0</v>
      </c>
      <c r="I24" s="185">
        <f>SUMIF('Monthly CF'!$C$4:$DR$4,I$3,'Monthly CF'!$C$27:$DR$27)</f>
        <v>0</v>
      </c>
      <c r="J24" s="185">
        <f>SUMIF('Monthly CF'!$C$4:$DR$4,J$3,'Monthly CF'!$C$27:$DR$27)</f>
        <v>0</v>
      </c>
      <c r="K24" s="185">
        <f>SUMIF('Monthly CF'!$C$4:$DR$4,K$3,'Monthly CF'!$C$27:$DR$27)</f>
        <v>0</v>
      </c>
      <c r="L24" s="185">
        <f>SUMIF('Monthly CF'!$C$4:$DR$4,L$3,'Monthly CF'!$C$27:$DR$27)</f>
        <v>0</v>
      </c>
      <c r="M24" s="185">
        <f>SUMIF('Monthly CF'!$C$4:$DR$4,M$3,'Monthly CF'!$C$27:$DR$27)</f>
        <v>0</v>
      </c>
      <c r="N24" s="185">
        <f>SUMIF('Monthly CF'!$C$4:$DR$4,N$3,'Monthly CF'!$C$27:$DR$27)</f>
        <v>0</v>
      </c>
      <c r="O24" s="185">
        <f>SUMIF('Monthly CF'!$C$4:$DR$4,O$3,'Monthly CF'!$C$27:$DR$27)</f>
        <v>0</v>
      </c>
      <c r="P24" s="185">
        <f>SUMIF('Monthly CF'!$C$4:$DR$4,P$3,'Monthly CF'!$C$27:$DR$27)</f>
        <v>0</v>
      </c>
      <c r="Q24" s="185">
        <f>SUMIF('Monthly CF'!$C$4:$DR$4,Q$3,'Monthly CF'!$C$27:$DR$27)</f>
        <v>0</v>
      </c>
      <c r="R24" s="185">
        <f>SUMIF('Monthly CF'!$C$4:$DR$4,R$3,'Monthly CF'!$C$27:$DR$27)</f>
        <v>0</v>
      </c>
      <c r="S24" s="185">
        <f>SUMIF('Monthly CF'!$C$4:$DR$4,S$3,'Monthly CF'!$C$27:$DR$27)</f>
        <v>0</v>
      </c>
      <c r="T24" s="185">
        <f>SUMIF('Monthly CF'!$C$4:$DR$4,T$3,'Monthly CF'!$C$27:$DR$27)</f>
        <v>0</v>
      </c>
      <c r="U24" s="185">
        <f>SUMIF('Monthly CF'!$C$4:$DR$4,U$3,'Monthly CF'!$C$27:$DR$27)</f>
        <v>0</v>
      </c>
      <c r="V24" s="185">
        <f>SUMIF('Monthly CF'!$C$4:$DR$4,V$3,'Monthly CF'!$C$27:$DR$27)</f>
        <v>0</v>
      </c>
      <c r="W24" s="185">
        <f>SUMIF('Monthly CF'!$C$4:$DR$4,W$3,'Monthly CF'!$C$27:$DR$27)</f>
        <v>0</v>
      </c>
      <c r="X24" s="185">
        <f>SUMIF('Monthly CF'!$C$4:$DR$4,X$3,'Monthly CF'!$C$27:$DR$27)</f>
        <v>0</v>
      </c>
      <c r="Y24" s="185">
        <f>SUMIF('Monthly CF'!$C$4:$DR$4,Y$3,'Monthly CF'!$C$27:$DR$27)</f>
        <v>0</v>
      </c>
      <c r="Z24" s="185">
        <f>SUMIF('Monthly CF'!$C$4:$DR$4,Z$3,'Monthly CF'!$C$27:$DR$27)</f>
        <v>0</v>
      </c>
      <c r="AA24" s="185">
        <f>SUMIF('Monthly CF'!$C$4:$DR$4,AA$3,'Monthly CF'!$C$27:$DR$27)</f>
        <v>0</v>
      </c>
      <c r="AB24" s="185">
        <f>SUMIF('Monthly CF'!$C$4:$DR$4,AB$3,'Monthly CF'!$C$27:$DR$27)</f>
        <v>0</v>
      </c>
      <c r="AC24" s="185">
        <f>SUMIF('Monthly CF'!$C$4:$DR$4,AC$3,'Monthly CF'!$C$27:$DR$27)</f>
        <v>0</v>
      </c>
      <c r="AD24" s="185">
        <f>SUMIF('Monthly CF'!$C$4:$DR$4,AD$3,'Monthly CF'!$C$27:$DR$27)</f>
        <v>0</v>
      </c>
      <c r="AE24" s="185">
        <f>SUMIF('Monthly CF'!$C$4:$DR$4,AE$3,'Monthly CF'!$C$27:$DR$27)</f>
        <v>0</v>
      </c>
      <c r="AF24" s="185">
        <f>SUMIF('Monthly CF'!$C$4:$DR$4,AF$3,'Monthly CF'!$C$27:$DR$27)</f>
        <v>0</v>
      </c>
      <c r="AG24" s="185">
        <f>SUMIF('Monthly CF'!$C$4:$DR$4,AG$3,'Monthly CF'!$C$27:$DR$27)</f>
        <v>0</v>
      </c>
      <c r="AH24" s="185">
        <f>SUMIF('Monthly CF'!$C$4:$DR$4,AH$3,'Monthly CF'!$C$27:$DR$27)</f>
        <v>0</v>
      </c>
      <c r="AI24" s="185">
        <f>SUMIF('Monthly CF'!$C$4:$DR$4,AI$3,'Monthly CF'!$C$27:$DR$27)</f>
        <v>0</v>
      </c>
      <c r="AJ24" s="185">
        <f>SUMIF('Monthly CF'!$C$4:$DR$4,AJ$3,'Monthly CF'!$C$27:$DR$27)</f>
        <v>0</v>
      </c>
      <c r="AK24" s="185">
        <f>SUMIF('Monthly CF'!$C$4:$DR$4,AK$3,'Monthly CF'!$C$27:$DR$27)</f>
        <v>0</v>
      </c>
      <c r="AL24" s="185">
        <f>SUMIF('Monthly CF'!$C$4:$DR$4,AL$3,'Monthly CF'!$C$27:$DR$27)</f>
        <v>0</v>
      </c>
      <c r="AM24" s="185">
        <f>SUMIF('Monthly CF'!$C$4:$DR$4,AM$3,'Monthly CF'!$C$27:$DR$27)</f>
        <v>0</v>
      </c>
      <c r="AN24" s="185">
        <f>SUMIF('Monthly CF'!$C$4:$DR$4,AN$3,'Monthly CF'!$C$27:$DR$27)</f>
        <v>0</v>
      </c>
      <c r="AO24" s="185">
        <f>SUMIF('Monthly CF'!$C$4:$DR$4,AO$3,'Monthly CF'!$C$27:$DR$27)</f>
        <v>0</v>
      </c>
      <c r="AP24" s="185">
        <f>SUMIF('Monthly CF'!$C$4:$DR$4,AP$3,'Monthly CF'!$C$27:$DR$27)</f>
        <v>0</v>
      </c>
      <c r="AQ24" s="54"/>
    </row>
    <row r="25" ht="15.75" customHeight="1">
      <c r="A25" s="54"/>
      <c r="B25" s="184" t="str">
        <f>Inputs!B40</f>
        <v>  Other Expenses</v>
      </c>
      <c r="C25" s="185">
        <f>SUMIF('Monthly CF'!$C$4:$DR$4,C$3,'Monthly CF'!$C$28:$DR$28)</f>
        <v>0</v>
      </c>
      <c r="D25" s="185">
        <f>SUMIF('Monthly CF'!$C$4:$DR$4,D$3,'Monthly CF'!$C$28:$DR$28)</f>
        <v>0</v>
      </c>
      <c r="E25" s="185">
        <f>SUMIF('Monthly CF'!$C$4:$DR$4,E$3,'Monthly CF'!$C$28:$DR$28)</f>
        <v>0</v>
      </c>
      <c r="F25" s="185">
        <f>SUMIF('Monthly CF'!$C$4:$DR$4,F$3,'Monthly CF'!$C$28:$DR$28)</f>
        <v>0</v>
      </c>
      <c r="G25" s="185">
        <f>SUMIF('Monthly CF'!$C$4:$DR$4,G$3,'Monthly CF'!$C$28:$DR$28)</f>
        <v>0</v>
      </c>
      <c r="H25" s="185">
        <f>SUMIF('Monthly CF'!$C$4:$DR$4,H$3,'Monthly CF'!$C$28:$DR$28)</f>
        <v>0</v>
      </c>
      <c r="I25" s="185">
        <f>SUMIF('Monthly CF'!$C$4:$DR$4,I$3,'Monthly CF'!$C$28:$DR$28)</f>
        <v>0</v>
      </c>
      <c r="J25" s="185">
        <f>SUMIF('Monthly CF'!$C$4:$DR$4,J$3,'Monthly CF'!$C$28:$DR$28)</f>
        <v>0</v>
      </c>
      <c r="K25" s="185">
        <f>SUMIF('Monthly CF'!$C$4:$DR$4,K$3,'Monthly CF'!$C$28:$DR$28)</f>
        <v>0</v>
      </c>
      <c r="L25" s="185">
        <f>SUMIF('Monthly CF'!$C$4:$DR$4,L$3,'Monthly CF'!$C$28:$DR$28)</f>
        <v>0</v>
      </c>
      <c r="M25" s="185">
        <f>SUMIF('Monthly CF'!$C$4:$DR$4,M$3,'Monthly CF'!$C$28:$DR$28)</f>
        <v>0</v>
      </c>
      <c r="N25" s="185">
        <f>SUMIF('Monthly CF'!$C$4:$DR$4,N$3,'Monthly CF'!$C$28:$DR$28)</f>
        <v>0</v>
      </c>
      <c r="O25" s="185">
        <f>SUMIF('Monthly CF'!$C$4:$DR$4,O$3,'Monthly CF'!$C$28:$DR$28)</f>
        <v>0</v>
      </c>
      <c r="P25" s="185">
        <f>SUMIF('Monthly CF'!$C$4:$DR$4,P$3,'Monthly CF'!$C$28:$DR$28)</f>
        <v>0</v>
      </c>
      <c r="Q25" s="185">
        <f>SUMIF('Monthly CF'!$C$4:$DR$4,Q$3,'Monthly CF'!$C$28:$DR$28)</f>
        <v>0</v>
      </c>
      <c r="R25" s="185">
        <f>SUMIF('Monthly CF'!$C$4:$DR$4,R$3,'Monthly CF'!$C$28:$DR$28)</f>
        <v>0</v>
      </c>
      <c r="S25" s="185">
        <f>SUMIF('Monthly CF'!$C$4:$DR$4,S$3,'Monthly CF'!$C$28:$DR$28)</f>
        <v>0</v>
      </c>
      <c r="T25" s="185">
        <f>SUMIF('Monthly CF'!$C$4:$DR$4,T$3,'Monthly CF'!$C$28:$DR$28)</f>
        <v>0</v>
      </c>
      <c r="U25" s="185">
        <f>SUMIF('Monthly CF'!$C$4:$DR$4,U$3,'Monthly CF'!$C$28:$DR$28)</f>
        <v>0</v>
      </c>
      <c r="V25" s="185">
        <f>SUMIF('Monthly CF'!$C$4:$DR$4,V$3,'Monthly CF'!$C$28:$DR$28)</f>
        <v>0</v>
      </c>
      <c r="W25" s="185">
        <f>SUMIF('Monthly CF'!$C$4:$DR$4,W$3,'Monthly CF'!$C$28:$DR$28)</f>
        <v>0</v>
      </c>
      <c r="X25" s="185">
        <f>SUMIF('Monthly CF'!$C$4:$DR$4,X$3,'Monthly CF'!$C$28:$DR$28)</f>
        <v>0</v>
      </c>
      <c r="Y25" s="185">
        <f>SUMIF('Monthly CF'!$C$4:$DR$4,Y$3,'Monthly CF'!$C$28:$DR$28)</f>
        <v>0</v>
      </c>
      <c r="Z25" s="185">
        <f>SUMIF('Monthly CF'!$C$4:$DR$4,Z$3,'Monthly CF'!$C$28:$DR$28)</f>
        <v>0</v>
      </c>
      <c r="AA25" s="185">
        <f>SUMIF('Monthly CF'!$C$4:$DR$4,AA$3,'Monthly CF'!$C$28:$DR$28)</f>
        <v>0</v>
      </c>
      <c r="AB25" s="185">
        <f>SUMIF('Monthly CF'!$C$4:$DR$4,AB$3,'Monthly CF'!$C$28:$DR$28)</f>
        <v>0</v>
      </c>
      <c r="AC25" s="185">
        <f>SUMIF('Monthly CF'!$C$4:$DR$4,AC$3,'Monthly CF'!$C$28:$DR$28)</f>
        <v>0</v>
      </c>
      <c r="AD25" s="185">
        <f>SUMIF('Monthly CF'!$C$4:$DR$4,AD$3,'Monthly CF'!$C$28:$DR$28)</f>
        <v>0</v>
      </c>
      <c r="AE25" s="185">
        <f>SUMIF('Monthly CF'!$C$4:$DR$4,AE$3,'Monthly CF'!$C$28:$DR$28)</f>
        <v>0</v>
      </c>
      <c r="AF25" s="185">
        <f>SUMIF('Monthly CF'!$C$4:$DR$4,AF$3,'Monthly CF'!$C$28:$DR$28)</f>
        <v>0</v>
      </c>
      <c r="AG25" s="185">
        <f>SUMIF('Monthly CF'!$C$4:$DR$4,AG$3,'Monthly CF'!$C$28:$DR$28)</f>
        <v>0</v>
      </c>
      <c r="AH25" s="185">
        <f>SUMIF('Monthly CF'!$C$4:$DR$4,AH$3,'Monthly CF'!$C$28:$DR$28)</f>
        <v>0</v>
      </c>
      <c r="AI25" s="185">
        <f>SUMIF('Monthly CF'!$C$4:$DR$4,AI$3,'Monthly CF'!$C$28:$DR$28)</f>
        <v>0</v>
      </c>
      <c r="AJ25" s="185">
        <f>SUMIF('Monthly CF'!$C$4:$DR$4,AJ$3,'Monthly CF'!$C$28:$DR$28)</f>
        <v>0</v>
      </c>
      <c r="AK25" s="185">
        <f>SUMIF('Monthly CF'!$C$4:$DR$4,AK$3,'Monthly CF'!$C$28:$DR$28)</f>
        <v>0</v>
      </c>
      <c r="AL25" s="185">
        <f>SUMIF('Monthly CF'!$C$4:$DR$4,AL$3,'Monthly CF'!$C$28:$DR$28)</f>
        <v>0</v>
      </c>
      <c r="AM25" s="185">
        <f>SUMIF('Monthly CF'!$C$4:$DR$4,AM$3,'Monthly CF'!$C$28:$DR$28)</f>
        <v>0</v>
      </c>
      <c r="AN25" s="185">
        <f>SUMIF('Monthly CF'!$C$4:$DR$4,AN$3,'Monthly CF'!$C$28:$DR$28)</f>
        <v>0</v>
      </c>
      <c r="AO25" s="185">
        <f>SUMIF('Monthly CF'!$C$4:$DR$4,AO$3,'Monthly CF'!$C$28:$DR$28)</f>
        <v>0</v>
      </c>
      <c r="AP25" s="185">
        <f>SUMIF('Monthly CF'!$C$4:$DR$4,AP$3,'Monthly CF'!$C$28:$DR$28)</f>
        <v>0</v>
      </c>
      <c r="AQ25" s="54"/>
    </row>
    <row r="26" ht="15.75" customHeight="1">
      <c r="A26" s="54"/>
      <c r="B26" s="184" t="str">
        <f>Inputs!B41</f>
        <v>  Pest Control</v>
      </c>
      <c r="C26" s="185">
        <f>SUMIF('Monthly CF'!$C$4:$DR$4,C$3,'Monthly CF'!$C$29:$DR$29)</f>
        <v>0</v>
      </c>
      <c r="D26" s="185">
        <f>SUMIF('Monthly CF'!$C$4:$DR$4,D$3,'Monthly CF'!$C$29:$DR$29)</f>
        <v>0</v>
      </c>
      <c r="E26" s="185">
        <f>SUMIF('Monthly CF'!$C$4:$DR$4,E$3,'Monthly CF'!$C$29:$DR$29)</f>
        <v>0</v>
      </c>
      <c r="F26" s="185">
        <f>SUMIF('Monthly CF'!$C$4:$DR$4,F$3,'Monthly CF'!$C$29:$DR$29)</f>
        <v>0</v>
      </c>
      <c r="G26" s="185">
        <f>SUMIF('Monthly CF'!$C$4:$DR$4,G$3,'Monthly CF'!$C$29:$DR$29)</f>
        <v>0</v>
      </c>
      <c r="H26" s="185">
        <f>SUMIF('Monthly CF'!$C$4:$DR$4,H$3,'Monthly CF'!$C$29:$DR$29)</f>
        <v>0</v>
      </c>
      <c r="I26" s="185">
        <f>SUMIF('Monthly CF'!$C$4:$DR$4,I$3,'Monthly CF'!$C$29:$DR$29)</f>
        <v>0</v>
      </c>
      <c r="J26" s="185">
        <f>SUMIF('Monthly CF'!$C$4:$DR$4,J$3,'Monthly CF'!$C$29:$DR$29)</f>
        <v>0</v>
      </c>
      <c r="K26" s="185">
        <f>SUMIF('Monthly CF'!$C$4:$DR$4,K$3,'Monthly CF'!$C$29:$DR$29)</f>
        <v>0</v>
      </c>
      <c r="L26" s="185">
        <f>SUMIF('Monthly CF'!$C$4:$DR$4,L$3,'Monthly CF'!$C$29:$DR$29)</f>
        <v>0</v>
      </c>
      <c r="M26" s="185">
        <f>SUMIF('Monthly CF'!$C$4:$DR$4,M$3,'Monthly CF'!$C$29:$DR$29)</f>
        <v>0</v>
      </c>
      <c r="N26" s="185">
        <f>SUMIF('Monthly CF'!$C$4:$DR$4,N$3,'Monthly CF'!$C$29:$DR$29)</f>
        <v>0</v>
      </c>
      <c r="O26" s="185">
        <f>SUMIF('Monthly CF'!$C$4:$DR$4,O$3,'Monthly CF'!$C$29:$DR$29)</f>
        <v>0</v>
      </c>
      <c r="P26" s="185">
        <f>SUMIF('Monthly CF'!$C$4:$DR$4,P$3,'Monthly CF'!$C$29:$DR$29)</f>
        <v>0</v>
      </c>
      <c r="Q26" s="185">
        <f>SUMIF('Monthly CF'!$C$4:$DR$4,Q$3,'Monthly CF'!$C$29:$DR$29)</f>
        <v>0</v>
      </c>
      <c r="R26" s="185">
        <f>SUMIF('Monthly CF'!$C$4:$DR$4,R$3,'Monthly CF'!$C$29:$DR$29)</f>
        <v>0</v>
      </c>
      <c r="S26" s="185">
        <f>SUMIF('Monthly CF'!$C$4:$DR$4,S$3,'Monthly CF'!$C$29:$DR$29)</f>
        <v>0</v>
      </c>
      <c r="T26" s="185">
        <f>SUMIF('Monthly CF'!$C$4:$DR$4,T$3,'Monthly CF'!$C$29:$DR$29)</f>
        <v>0</v>
      </c>
      <c r="U26" s="185">
        <f>SUMIF('Monthly CF'!$C$4:$DR$4,U$3,'Monthly CF'!$C$29:$DR$29)</f>
        <v>0</v>
      </c>
      <c r="V26" s="185">
        <f>SUMIF('Monthly CF'!$C$4:$DR$4,V$3,'Monthly CF'!$C$29:$DR$29)</f>
        <v>0</v>
      </c>
      <c r="W26" s="185">
        <f>SUMIF('Monthly CF'!$C$4:$DR$4,W$3,'Monthly CF'!$C$29:$DR$29)</f>
        <v>0</v>
      </c>
      <c r="X26" s="185">
        <f>SUMIF('Monthly CF'!$C$4:$DR$4,X$3,'Monthly CF'!$C$29:$DR$29)</f>
        <v>0</v>
      </c>
      <c r="Y26" s="185">
        <f>SUMIF('Monthly CF'!$C$4:$DR$4,Y$3,'Monthly CF'!$C$29:$DR$29)</f>
        <v>0</v>
      </c>
      <c r="Z26" s="185">
        <f>SUMIF('Monthly CF'!$C$4:$DR$4,Z$3,'Monthly CF'!$C$29:$DR$29)</f>
        <v>0</v>
      </c>
      <c r="AA26" s="185">
        <f>SUMIF('Monthly CF'!$C$4:$DR$4,AA$3,'Monthly CF'!$C$29:$DR$29)</f>
        <v>0</v>
      </c>
      <c r="AB26" s="185">
        <f>SUMIF('Monthly CF'!$C$4:$DR$4,AB$3,'Monthly CF'!$C$29:$DR$29)</f>
        <v>0</v>
      </c>
      <c r="AC26" s="185">
        <f>SUMIF('Monthly CF'!$C$4:$DR$4,AC$3,'Monthly CF'!$C$29:$DR$29)</f>
        <v>0</v>
      </c>
      <c r="AD26" s="185">
        <f>SUMIF('Monthly CF'!$C$4:$DR$4,AD$3,'Monthly CF'!$C$29:$DR$29)</f>
        <v>0</v>
      </c>
      <c r="AE26" s="185">
        <f>SUMIF('Monthly CF'!$C$4:$DR$4,AE$3,'Monthly CF'!$C$29:$DR$29)</f>
        <v>0</v>
      </c>
      <c r="AF26" s="185">
        <f>SUMIF('Monthly CF'!$C$4:$DR$4,AF$3,'Monthly CF'!$C$29:$DR$29)</f>
        <v>0</v>
      </c>
      <c r="AG26" s="185">
        <f>SUMIF('Monthly CF'!$C$4:$DR$4,AG$3,'Monthly CF'!$C$29:$DR$29)</f>
        <v>0</v>
      </c>
      <c r="AH26" s="185">
        <f>SUMIF('Monthly CF'!$C$4:$DR$4,AH$3,'Monthly CF'!$C$29:$DR$29)</f>
        <v>0</v>
      </c>
      <c r="AI26" s="185">
        <f>SUMIF('Monthly CF'!$C$4:$DR$4,AI$3,'Monthly CF'!$C$29:$DR$29)</f>
        <v>0</v>
      </c>
      <c r="AJ26" s="185">
        <f>SUMIF('Monthly CF'!$C$4:$DR$4,AJ$3,'Monthly CF'!$C$29:$DR$29)</f>
        <v>0</v>
      </c>
      <c r="AK26" s="185">
        <f>SUMIF('Monthly CF'!$C$4:$DR$4,AK$3,'Monthly CF'!$C$29:$DR$29)</f>
        <v>0</v>
      </c>
      <c r="AL26" s="185">
        <f>SUMIF('Monthly CF'!$C$4:$DR$4,AL$3,'Monthly CF'!$C$29:$DR$29)</f>
        <v>0</v>
      </c>
      <c r="AM26" s="185">
        <f>SUMIF('Monthly CF'!$C$4:$DR$4,AM$3,'Monthly CF'!$C$29:$DR$29)</f>
        <v>0</v>
      </c>
      <c r="AN26" s="185">
        <f>SUMIF('Monthly CF'!$C$4:$DR$4,AN$3,'Monthly CF'!$C$29:$DR$29)</f>
        <v>0</v>
      </c>
      <c r="AO26" s="185">
        <f>SUMIF('Monthly CF'!$C$4:$DR$4,AO$3,'Monthly CF'!$C$29:$DR$29)</f>
        <v>0</v>
      </c>
      <c r="AP26" s="185">
        <f>SUMIF('Monthly CF'!$C$4:$DR$4,AP$3,'Monthly CF'!$C$29:$DR$29)</f>
        <v>0</v>
      </c>
      <c r="AQ26" s="54"/>
    </row>
    <row r="27" ht="15.75" customHeight="1">
      <c r="A27" s="54"/>
      <c r="B27" s="184" t="str">
        <f>Inputs!B42</f>
        <v>  Security / Access Control</v>
      </c>
      <c r="C27" s="185">
        <f>SUMIF('Monthly CF'!$C$4:$DR$4,C$3,'Monthly CF'!$C$30:$DR$30)</f>
        <v>0</v>
      </c>
      <c r="D27" s="185">
        <f>SUMIF('Monthly CF'!$C$4:$DR$4,D$3,'Monthly CF'!$C$30:$DR$30)</f>
        <v>0</v>
      </c>
      <c r="E27" s="185">
        <f>SUMIF('Monthly CF'!$C$4:$DR$4,E$3,'Monthly CF'!$C$30:$DR$30)</f>
        <v>0</v>
      </c>
      <c r="F27" s="185">
        <f>SUMIF('Monthly CF'!$C$4:$DR$4,F$3,'Monthly CF'!$C$30:$DR$30)</f>
        <v>0</v>
      </c>
      <c r="G27" s="185">
        <f>SUMIF('Monthly CF'!$C$4:$DR$4,G$3,'Monthly CF'!$C$30:$DR$30)</f>
        <v>0</v>
      </c>
      <c r="H27" s="185">
        <f>SUMIF('Monthly CF'!$C$4:$DR$4,H$3,'Monthly CF'!$C$30:$DR$30)</f>
        <v>0</v>
      </c>
      <c r="I27" s="185">
        <f>SUMIF('Monthly CF'!$C$4:$DR$4,I$3,'Monthly CF'!$C$30:$DR$30)</f>
        <v>0</v>
      </c>
      <c r="J27" s="185">
        <f>SUMIF('Monthly CF'!$C$4:$DR$4,J$3,'Monthly CF'!$C$30:$DR$30)</f>
        <v>0</v>
      </c>
      <c r="K27" s="185">
        <f>SUMIF('Monthly CF'!$C$4:$DR$4,K$3,'Monthly CF'!$C$30:$DR$30)</f>
        <v>0</v>
      </c>
      <c r="L27" s="185">
        <f>SUMIF('Monthly CF'!$C$4:$DR$4,L$3,'Monthly CF'!$C$30:$DR$30)</f>
        <v>0</v>
      </c>
      <c r="M27" s="185">
        <f>SUMIF('Monthly CF'!$C$4:$DR$4,M$3,'Monthly CF'!$C$30:$DR$30)</f>
        <v>0</v>
      </c>
      <c r="N27" s="185">
        <f>SUMIF('Monthly CF'!$C$4:$DR$4,N$3,'Monthly CF'!$C$30:$DR$30)</f>
        <v>0</v>
      </c>
      <c r="O27" s="185">
        <f>SUMIF('Monthly CF'!$C$4:$DR$4,O$3,'Monthly CF'!$C$30:$DR$30)</f>
        <v>0</v>
      </c>
      <c r="P27" s="185">
        <f>SUMIF('Monthly CF'!$C$4:$DR$4,P$3,'Monthly CF'!$C$30:$DR$30)</f>
        <v>0</v>
      </c>
      <c r="Q27" s="185">
        <f>SUMIF('Monthly CF'!$C$4:$DR$4,Q$3,'Monthly CF'!$C$30:$DR$30)</f>
        <v>0</v>
      </c>
      <c r="R27" s="185">
        <f>SUMIF('Monthly CF'!$C$4:$DR$4,R$3,'Monthly CF'!$C$30:$DR$30)</f>
        <v>0</v>
      </c>
      <c r="S27" s="185">
        <f>SUMIF('Monthly CF'!$C$4:$DR$4,S$3,'Monthly CF'!$C$30:$DR$30)</f>
        <v>0</v>
      </c>
      <c r="T27" s="185">
        <f>SUMIF('Monthly CF'!$C$4:$DR$4,T$3,'Monthly CF'!$C$30:$DR$30)</f>
        <v>0</v>
      </c>
      <c r="U27" s="185">
        <f>SUMIF('Monthly CF'!$C$4:$DR$4,U$3,'Monthly CF'!$C$30:$DR$30)</f>
        <v>0</v>
      </c>
      <c r="V27" s="185">
        <f>SUMIF('Monthly CF'!$C$4:$DR$4,V$3,'Monthly CF'!$C$30:$DR$30)</f>
        <v>0</v>
      </c>
      <c r="W27" s="185">
        <f>SUMIF('Monthly CF'!$C$4:$DR$4,W$3,'Monthly CF'!$C$30:$DR$30)</f>
        <v>0</v>
      </c>
      <c r="X27" s="185">
        <f>SUMIF('Monthly CF'!$C$4:$DR$4,X$3,'Monthly CF'!$C$30:$DR$30)</f>
        <v>0</v>
      </c>
      <c r="Y27" s="185">
        <f>SUMIF('Monthly CF'!$C$4:$DR$4,Y$3,'Monthly CF'!$C$30:$DR$30)</f>
        <v>0</v>
      </c>
      <c r="Z27" s="185">
        <f>SUMIF('Monthly CF'!$C$4:$DR$4,Z$3,'Monthly CF'!$C$30:$DR$30)</f>
        <v>0</v>
      </c>
      <c r="AA27" s="185">
        <f>SUMIF('Monthly CF'!$C$4:$DR$4,AA$3,'Monthly CF'!$C$30:$DR$30)</f>
        <v>0</v>
      </c>
      <c r="AB27" s="185">
        <f>SUMIF('Monthly CF'!$C$4:$DR$4,AB$3,'Monthly CF'!$C$30:$DR$30)</f>
        <v>0</v>
      </c>
      <c r="AC27" s="185">
        <f>SUMIF('Monthly CF'!$C$4:$DR$4,AC$3,'Monthly CF'!$C$30:$DR$30)</f>
        <v>0</v>
      </c>
      <c r="AD27" s="185">
        <f>SUMIF('Monthly CF'!$C$4:$DR$4,AD$3,'Monthly CF'!$C$30:$DR$30)</f>
        <v>0</v>
      </c>
      <c r="AE27" s="185">
        <f>SUMIF('Monthly CF'!$C$4:$DR$4,AE$3,'Monthly CF'!$C$30:$DR$30)</f>
        <v>0</v>
      </c>
      <c r="AF27" s="185">
        <f>SUMIF('Monthly CF'!$C$4:$DR$4,AF$3,'Monthly CF'!$C$30:$DR$30)</f>
        <v>0</v>
      </c>
      <c r="AG27" s="185">
        <f>SUMIF('Monthly CF'!$C$4:$DR$4,AG$3,'Monthly CF'!$C$30:$DR$30)</f>
        <v>0</v>
      </c>
      <c r="AH27" s="185">
        <f>SUMIF('Monthly CF'!$C$4:$DR$4,AH$3,'Monthly CF'!$C$30:$DR$30)</f>
        <v>0</v>
      </c>
      <c r="AI27" s="185">
        <f>SUMIF('Monthly CF'!$C$4:$DR$4,AI$3,'Monthly CF'!$C$30:$DR$30)</f>
        <v>0</v>
      </c>
      <c r="AJ27" s="185">
        <f>SUMIF('Monthly CF'!$C$4:$DR$4,AJ$3,'Monthly CF'!$C$30:$DR$30)</f>
        <v>0</v>
      </c>
      <c r="AK27" s="185">
        <f>SUMIF('Monthly CF'!$C$4:$DR$4,AK$3,'Monthly CF'!$C$30:$DR$30)</f>
        <v>0</v>
      </c>
      <c r="AL27" s="185">
        <f>SUMIF('Monthly CF'!$C$4:$DR$4,AL$3,'Monthly CF'!$C$30:$DR$30)</f>
        <v>0</v>
      </c>
      <c r="AM27" s="185">
        <f>SUMIF('Monthly CF'!$C$4:$DR$4,AM$3,'Monthly CF'!$C$30:$DR$30)</f>
        <v>0</v>
      </c>
      <c r="AN27" s="185">
        <f>SUMIF('Monthly CF'!$C$4:$DR$4,AN$3,'Monthly CF'!$C$30:$DR$30)</f>
        <v>0</v>
      </c>
      <c r="AO27" s="185">
        <f>SUMIF('Monthly CF'!$C$4:$DR$4,AO$3,'Monthly CF'!$C$30:$DR$30)</f>
        <v>0</v>
      </c>
      <c r="AP27" s="185">
        <f>SUMIF('Monthly CF'!$C$4:$DR$4,AP$3,'Monthly CF'!$C$30:$DR$30)</f>
        <v>0</v>
      </c>
      <c r="AQ27" s="54"/>
    </row>
    <row r="28" ht="15.75" customHeight="1">
      <c r="A28" s="54"/>
      <c r="B28" s="184" t="str">
        <f>Inputs!B43</f>
        <v>  Trash Removal</v>
      </c>
      <c r="C28" s="185">
        <f>SUMIF('Monthly CF'!$C$4:$DR$4,C$3,'Monthly CF'!$C$31:$DR$31)</f>
        <v>0</v>
      </c>
      <c r="D28" s="185">
        <f>SUMIF('Monthly CF'!$C$4:$DR$4,D$3,'Monthly CF'!$C$31:$DR$31)</f>
        <v>0</v>
      </c>
      <c r="E28" s="185">
        <f>SUMIF('Monthly CF'!$C$4:$DR$4,E$3,'Monthly CF'!$C$31:$DR$31)</f>
        <v>0</v>
      </c>
      <c r="F28" s="185">
        <f>SUMIF('Monthly CF'!$C$4:$DR$4,F$3,'Monthly CF'!$C$31:$DR$31)</f>
        <v>0</v>
      </c>
      <c r="G28" s="185">
        <f>SUMIF('Monthly CF'!$C$4:$DR$4,G$3,'Monthly CF'!$C$31:$DR$31)</f>
        <v>0</v>
      </c>
      <c r="H28" s="185">
        <f>SUMIF('Monthly CF'!$C$4:$DR$4,H$3,'Monthly CF'!$C$31:$DR$31)</f>
        <v>0</v>
      </c>
      <c r="I28" s="185">
        <f>SUMIF('Monthly CF'!$C$4:$DR$4,I$3,'Monthly CF'!$C$31:$DR$31)</f>
        <v>0</v>
      </c>
      <c r="J28" s="185">
        <f>SUMIF('Monthly CF'!$C$4:$DR$4,J$3,'Monthly CF'!$C$31:$DR$31)</f>
        <v>0</v>
      </c>
      <c r="K28" s="185">
        <f>SUMIF('Monthly CF'!$C$4:$DR$4,K$3,'Monthly CF'!$C$31:$DR$31)</f>
        <v>0</v>
      </c>
      <c r="L28" s="185">
        <f>SUMIF('Monthly CF'!$C$4:$DR$4,L$3,'Monthly CF'!$C$31:$DR$31)</f>
        <v>0</v>
      </c>
      <c r="M28" s="185">
        <f>SUMIF('Monthly CF'!$C$4:$DR$4,M$3,'Monthly CF'!$C$31:$DR$31)</f>
        <v>0</v>
      </c>
      <c r="N28" s="185">
        <f>SUMIF('Monthly CF'!$C$4:$DR$4,N$3,'Monthly CF'!$C$31:$DR$31)</f>
        <v>0</v>
      </c>
      <c r="O28" s="185">
        <f>SUMIF('Monthly CF'!$C$4:$DR$4,O$3,'Monthly CF'!$C$31:$DR$31)</f>
        <v>0</v>
      </c>
      <c r="P28" s="185">
        <f>SUMIF('Monthly CF'!$C$4:$DR$4,P$3,'Monthly CF'!$C$31:$DR$31)</f>
        <v>0</v>
      </c>
      <c r="Q28" s="185">
        <f>SUMIF('Monthly CF'!$C$4:$DR$4,Q$3,'Monthly CF'!$C$31:$DR$31)</f>
        <v>0</v>
      </c>
      <c r="R28" s="185">
        <f>SUMIF('Monthly CF'!$C$4:$DR$4,R$3,'Monthly CF'!$C$31:$DR$31)</f>
        <v>0</v>
      </c>
      <c r="S28" s="185">
        <f>SUMIF('Monthly CF'!$C$4:$DR$4,S$3,'Monthly CF'!$C$31:$DR$31)</f>
        <v>0</v>
      </c>
      <c r="T28" s="185">
        <f>SUMIF('Monthly CF'!$C$4:$DR$4,T$3,'Monthly CF'!$C$31:$DR$31)</f>
        <v>0</v>
      </c>
      <c r="U28" s="185">
        <f>SUMIF('Monthly CF'!$C$4:$DR$4,U$3,'Monthly CF'!$C$31:$DR$31)</f>
        <v>0</v>
      </c>
      <c r="V28" s="185">
        <f>SUMIF('Monthly CF'!$C$4:$DR$4,V$3,'Monthly CF'!$C$31:$DR$31)</f>
        <v>0</v>
      </c>
      <c r="W28" s="185">
        <f>SUMIF('Monthly CF'!$C$4:$DR$4,W$3,'Monthly CF'!$C$31:$DR$31)</f>
        <v>0</v>
      </c>
      <c r="X28" s="185">
        <f>SUMIF('Monthly CF'!$C$4:$DR$4,X$3,'Monthly CF'!$C$31:$DR$31)</f>
        <v>0</v>
      </c>
      <c r="Y28" s="185">
        <f>SUMIF('Monthly CF'!$C$4:$DR$4,Y$3,'Monthly CF'!$C$31:$DR$31)</f>
        <v>0</v>
      </c>
      <c r="Z28" s="185">
        <f>SUMIF('Monthly CF'!$C$4:$DR$4,Z$3,'Monthly CF'!$C$31:$DR$31)</f>
        <v>0</v>
      </c>
      <c r="AA28" s="185">
        <f>SUMIF('Monthly CF'!$C$4:$DR$4,AA$3,'Monthly CF'!$C$31:$DR$31)</f>
        <v>0</v>
      </c>
      <c r="AB28" s="185">
        <f>SUMIF('Monthly CF'!$C$4:$DR$4,AB$3,'Monthly CF'!$C$31:$DR$31)</f>
        <v>0</v>
      </c>
      <c r="AC28" s="185">
        <f>SUMIF('Monthly CF'!$C$4:$DR$4,AC$3,'Monthly CF'!$C$31:$DR$31)</f>
        <v>0</v>
      </c>
      <c r="AD28" s="185">
        <f>SUMIF('Monthly CF'!$C$4:$DR$4,AD$3,'Monthly CF'!$C$31:$DR$31)</f>
        <v>0</v>
      </c>
      <c r="AE28" s="185">
        <f>SUMIF('Monthly CF'!$C$4:$DR$4,AE$3,'Monthly CF'!$C$31:$DR$31)</f>
        <v>0</v>
      </c>
      <c r="AF28" s="185">
        <f>SUMIF('Monthly CF'!$C$4:$DR$4,AF$3,'Monthly CF'!$C$31:$DR$31)</f>
        <v>0</v>
      </c>
      <c r="AG28" s="185">
        <f>SUMIF('Monthly CF'!$C$4:$DR$4,AG$3,'Monthly CF'!$C$31:$DR$31)</f>
        <v>0</v>
      </c>
      <c r="AH28" s="185">
        <f>SUMIF('Monthly CF'!$C$4:$DR$4,AH$3,'Monthly CF'!$C$31:$DR$31)</f>
        <v>0</v>
      </c>
      <c r="AI28" s="185">
        <f>SUMIF('Monthly CF'!$C$4:$DR$4,AI$3,'Monthly CF'!$C$31:$DR$31)</f>
        <v>0</v>
      </c>
      <c r="AJ28" s="185">
        <f>SUMIF('Monthly CF'!$C$4:$DR$4,AJ$3,'Monthly CF'!$C$31:$DR$31)</f>
        <v>0</v>
      </c>
      <c r="AK28" s="185">
        <f>SUMIF('Monthly CF'!$C$4:$DR$4,AK$3,'Monthly CF'!$C$31:$DR$31)</f>
        <v>0</v>
      </c>
      <c r="AL28" s="185">
        <f>SUMIF('Monthly CF'!$C$4:$DR$4,AL$3,'Monthly CF'!$C$31:$DR$31)</f>
        <v>0</v>
      </c>
      <c r="AM28" s="185">
        <f>SUMIF('Monthly CF'!$C$4:$DR$4,AM$3,'Monthly CF'!$C$31:$DR$31)</f>
        <v>0</v>
      </c>
      <c r="AN28" s="185">
        <f>SUMIF('Monthly CF'!$C$4:$DR$4,AN$3,'Monthly CF'!$C$31:$DR$31)</f>
        <v>0</v>
      </c>
      <c r="AO28" s="185">
        <f>SUMIF('Monthly CF'!$C$4:$DR$4,AO$3,'Monthly CF'!$C$31:$DR$31)</f>
        <v>0</v>
      </c>
      <c r="AP28" s="185">
        <f>SUMIF('Monthly CF'!$C$4:$DR$4,AP$3,'Monthly CF'!$C$31:$DR$31)</f>
        <v>0</v>
      </c>
      <c r="AQ28" s="54"/>
    </row>
    <row r="29" ht="15.75" customHeight="1">
      <c r="A29" s="54"/>
      <c r="B29" s="184" t="str">
        <f>Inputs!B44</f>
        <v>  Legal &amp; Professional</v>
      </c>
      <c r="C29" s="185">
        <f>SUMIF('Monthly CF'!$C$4:$DR$4,C$3,'Monthly CF'!$C$32:$DR$32)</f>
        <v>0</v>
      </c>
      <c r="D29" s="185">
        <f>SUMIF('Monthly CF'!$C$4:$DR$4,D$3,'Monthly CF'!$C$32:$DR$32)</f>
        <v>0</v>
      </c>
      <c r="E29" s="185">
        <f>SUMIF('Monthly CF'!$C$4:$DR$4,E$3,'Monthly CF'!$C$32:$DR$32)</f>
        <v>0</v>
      </c>
      <c r="F29" s="185">
        <f>SUMIF('Monthly CF'!$C$4:$DR$4,F$3,'Monthly CF'!$C$32:$DR$32)</f>
        <v>0</v>
      </c>
      <c r="G29" s="185">
        <f>SUMIF('Monthly CF'!$C$4:$DR$4,G$3,'Monthly CF'!$C$32:$DR$32)</f>
        <v>0</v>
      </c>
      <c r="H29" s="185">
        <f>SUMIF('Monthly CF'!$C$4:$DR$4,H$3,'Monthly CF'!$C$32:$DR$32)</f>
        <v>0</v>
      </c>
      <c r="I29" s="185">
        <f>SUMIF('Monthly CF'!$C$4:$DR$4,I$3,'Monthly CF'!$C$32:$DR$32)</f>
        <v>0</v>
      </c>
      <c r="J29" s="185">
        <f>SUMIF('Monthly CF'!$C$4:$DR$4,J$3,'Monthly CF'!$C$32:$DR$32)</f>
        <v>0</v>
      </c>
      <c r="K29" s="185">
        <f>SUMIF('Monthly CF'!$C$4:$DR$4,K$3,'Monthly CF'!$C$32:$DR$32)</f>
        <v>0</v>
      </c>
      <c r="L29" s="185">
        <f>SUMIF('Monthly CF'!$C$4:$DR$4,L$3,'Monthly CF'!$C$32:$DR$32)</f>
        <v>0</v>
      </c>
      <c r="M29" s="185">
        <f>SUMIF('Monthly CF'!$C$4:$DR$4,M$3,'Monthly CF'!$C$32:$DR$32)</f>
        <v>0</v>
      </c>
      <c r="N29" s="185">
        <f>SUMIF('Monthly CF'!$C$4:$DR$4,N$3,'Monthly CF'!$C$32:$DR$32)</f>
        <v>0</v>
      </c>
      <c r="O29" s="185">
        <f>SUMIF('Monthly CF'!$C$4:$DR$4,O$3,'Monthly CF'!$C$32:$DR$32)</f>
        <v>0</v>
      </c>
      <c r="P29" s="185">
        <f>SUMIF('Monthly CF'!$C$4:$DR$4,P$3,'Monthly CF'!$C$32:$DR$32)</f>
        <v>0</v>
      </c>
      <c r="Q29" s="185">
        <f>SUMIF('Monthly CF'!$C$4:$DR$4,Q$3,'Monthly CF'!$C$32:$DR$32)</f>
        <v>0</v>
      </c>
      <c r="R29" s="185">
        <f>SUMIF('Monthly CF'!$C$4:$DR$4,R$3,'Monthly CF'!$C$32:$DR$32)</f>
        <v>0</v>
      </c>
      <c r="S29" s="185">
        <f>SUMIF('Monthly CF'!$C$4:$DR$4,S$3,'Monthly CF'!$C$32:$DR$32)</f>
        <v>0</v>
      </c>
      <c r="T29" s="185">
        <f>SUMIF('Monthly CF'!$C$4:$DR$4,T$3,'Monthly CF'!$C$32:$DR$32)</f>
        <v>0</v>
      </c>
      <c r="U29" s="185">
        <f>SUMIF('Monthly CF'!$C$4:$DR$4,U$3,'Monthly CF'!$C$32:$DR$32)</f>
        <v>0</v>
      </c>
      <c r="V29" s="185">
        <f>SUMIF('Monthly CF'!$C$4:$DR$4,V$3,'Monthly CF'!$C$32:$DR$32)</f>
        <v>0</v>
      </c>
      <c r="W29" s="185">
        <f>SUMIF('Monthly CF'!$C$4:$DR$4,W$3,'Monthly CF'!$C$32:$DR$32)</f>
        <v>0</v>
      </c>
      <c r="X29" s="185">
        <f>SUMIF('Monthly CF'!$C$4:$DR$4,X$3,'Monthly CF'!$C$32:$DR$32)</f>
        <v>0</v>
      </c>
      <c r="Y29" s="185">
        <f>SUMIF('Monthly CF'!$C$4:$DR$4,Y$3,'Monthly CF'!$C$32:$DR$32)</f>
        <v>0</v>
      </c>
      <c r="Z29" s="185">
        <f>SUMIF('Monthly CF'!$C$4:$DR$4,Z$3,'Monthly CF'!$C$32:$DR$32)</f>
        <v>0</v>
      </c>
      <c r="AA29" s="185">
        <f>SUMIF('Monthly CF'!$C$4:$DR$4,AA$3,'Monthly CF'!$C$32:$DR$32)</f>
        <v>0</v>
      </c>
      <c r="AB29" s="185">
        <f>SUMIF('Monthly CF'!$C$4:$DR$4,AB$3,'Monthly CF'!$C$32:$DR$32)</f>
        <v>0</v>
      </c>
      <c r="AC29" s="185">
        <f>SUMIF('Monthly CF'!$C$4:$DR$4,AC$3,'Monthly CF'!$C$32:$DR$32)</f>
        <v>0</v>
      </c>
      <c r="AD29" s="185">
        <f>SUMIF('Monthly CF'!$C$4:$DR$4,AD$3,'Monthly CF'!$C$32:$DR$32)</f>
        <v>0</v>
      </c>
      <c r="AE29" s="185">
        <f>SUMIF('Monthly CF'!$C$4:$DR$4,AE$3,'Monthly CF'!$C$32:$DR$32)</f>
        <v>0</v>
      </c>
      <c r="AF29" s="185">
        <f>SUMIF('Monthly CF'!$C$4:$DR$4,AF$3,'Monthly CF'!$C$32:$DR$32)</f>
        <v>0</v>
      </c>
      <c r="AG29" s="185">
        <f>SUMIF('Monthly CF'!$C$4:$DR$4,AG$3,'Monthly CF'!$C$32:$DR$32)</f>
        <v>0</v>
      </c>
      <c r="AH29" s="185">
        <f>SUMIF('Monthly CF'!$C$4:$DR$4,AH$3,'Monthly CF'!$C$32:$DR$32)</f>
        <v>0</v>
      </c>
      <c r="AI29" s="185">
        <f>SUMIF('Monthly CF'!$C$4:$DR$4,AI$3,'Monthly CF'!$C$32:$DR$32)</f>
        <v>0</v>
      </c>
      <c r="AJ29" s="185">
        <f>SUMIF('Monthly CF'!$C$4:$DR$4,AJ$3,'Monthly CF'!$C$32:$DR$32)</f>
        <v>0</v>
      </c>
      <c r="AK29" s="185">
        <f>SUMIF('Monthly CF'!$C$4:$DR$4,AK$3,'Monthly CF'!$C$32:$DR$32)</f>
        <v>0</v>
      </c>
      <c r="AL29" s="185">
        <f>SUMIF('Monthly CF'!$C$4:$DR$4,AL$3,'Monthly CF'!$C$32:$DR$32)</f>
        <v>0</v>
      </c>
      <c r="AM29" s="185">
        <f>SUMIF('Monthly CF'!$C$4:$DR$4,AM$3,'Monthly CF'!$C$32:$DR$32)</f>
        <v>0</v>
      </c>
      <c r="AN29" s="185">
        <f>SUMIF('Monthly CF'!$C$4:$DR$4,AN$3,'Monthly CF'!$C$32:$DR$32)</f>
        <v>0</v>
      </c>
      <c r="AO29" s="185">
        <f>SUMIF('Monthly CF'!$C$4:$DR$4,AO$3,'Monthly CF'!$C$32:$DR$32)</f>
        <v>0</v>
      </c>
      <c r="AP29" s="185">
        <f>SUMIF('Monthly CF'!$C$4:$DR$4,AP$3,'Monthly CF'!$C$32:$DR$32)</f>
        <v>0</v>
      </c>
      <c r="AQ29" s="54"/>
    </row>
    <row r="30" ht="15.75" customHeight="1">
      <c r="A30" s="54"/>
      <c r="B30" s="184" t="str">
        <f>Inputs!B45</f>
        <v>  Turnover / Make-Ready</v>
      </c>
      <c r="C30" s="185">
        <f>SUMIF('Monthly CF'!$C$4:$DR$4,C$3,'Monthly CF'!$C$33:$DR$33)</f>
        <v>0</v>
      </c>
      <c r="D30" s="185">
        <f>SUMIF('Monthly CF'!$C$4:$DR$4,D$3,'Monthly CF'!$C$33:$DR$33)</f>
        <v>0</v>
      </c>
      <c r="E30" s="185">
        <f>SUMIF('Monthly CF'!$C$4:$DR$4,E$3,'Monthly CF'!$C$33:$DR$33)</f>
        <v>0</v>
      </c>
      <c r="F30" s="185">
        <f>SUMIF('Monthly CF'!$C$4:$DR$4,F$3,'Monthly CF'!$C$33:$DR$33)</f>
        <v>0</v>
      </c>
      <c r="G30" s="185">
        <f>SUMIF('Monthly CF'!$C$4:$DR$4,G$3,'Monthly CF'!$C$33:$DR$33)</f>
        <v>0</v>
      </c>
      <c r="H30" s="185">
        <f>SUMIF('Monthly CF'!$C$4:$DR$4,H$3,'Monthly CF'!$C$33:$DR$33)</f>
        <v>0</v>
      </c>
      <c r="I30" s="185">
        <f>SUMIF('Monthly CF'!$C$4:$DR$4,I$3,'Monthly CF'!$C$33:$DR$33)</f>
        <v>0</v>
      </c>
      <c r="J30" s="185">
        <f>SUMIF('Monthly CF'!$C$4:$DR$4,J$3,'Monthly CF'!$C$33:$DR$33)</f>
        <v>0</v>
      </c>
      <c r="K30" s="185">
        <f>SUMIF('Monthly CF'!$C$4:$DR$4,K$3,'Monthly CF'!$C$33:$DR$33)</f>
        <v>0</v>
      </c>
      <c r="L30" s="185">
        <f>SUMIF('Monthly CF'!$C$4:$DR$4,L$3,'Monthly CF'!$C$33:$DR$33)</f>
        <v>0</v>
      </c>
      <c r="M30" s="185">
        <f>SUMIF('Monthly CF'!$C$4:$DR$4,M$3,'Monthly CF'!$C$33:$DR$33)</f>
        <v>0</v>
      </c>
      <c r="N30" s="185">
        <f>SUMIF('Monthly CF'!$C$4:$DR$4,N$3,'Monthly CF'!$C$33:$DR$33)</f>
        <v>0</v>
      </c>
      <c r="O30" s="185">
        <f>SUMIF('Monthly CF'!$C$4:$DR$4,O$3,'Monthly CF'!$C$33:$DR$33)</f>
        <v>0</v>
      </c>
      <c r="P30" s="185">
        <f>SUMIF('Monthly CF'!$C$4:$DR$4,P$3,'Monthly CF'!$C$33:$DR$33)</f>
        <v>0</v>
      </c>
      <c r="Q30" s="185">
        <f>SUMIF('Monthly CF'!$C$4:$DR$4,Q$3,'Monthly CF'!$C$33:$DR$33)</f>
        <v>0</v>
      </c>
      <c r="R30" s="185">
        <f>SUMIF('Monthly CF'!$C$4:$DR$4,R$3,'Monthly CF'!$C$33:$DR$33)</f>
        <v>0</v>
      </c>
      <c r="S30" s="185">
        <f>SUMIF('Monthly CF'!$C$4:$DR$4,S$3,'Monthly CF'!$C$33:$DR$33)</f>
        <v>0</v>
      </c>
      <c r="T30" s="185">
        <f>SUMIF('Monthly CF'!$C$4:$DR$4,T$3,'Monthly CF'!$C$33:$DR$33)</f>
        <v>0</v>
      </c>
      <c r="U30" s="185">
        <f>SUMIF('Monthly CF'!$C$4:$DR$4,U$3,'Monthly CF'!$C$33:$DR$33)</f>
        <v>0</v>
      </c>
      <c r="V30" s="185">
        <f>SUMIF('Monthly CF'!$C$4:$DR$4,V$3,'Monthly CF'!$C$33:$DR$33)</f>
        <v>0</v>
      </c>
      <c r="W30" s="185">
        <f>SUMIF('Monthly CF'!$C$4:$DR$4,W$3,'Monthly CF'!$C$33:$DR$33)</f>
        <v>0</v>
      </c>
      <c r="X30" s="185">
        <f>SUMIF('Monthly CF'!$C$4:$DR$4,X$3,'Monthly CF'!$C$33:$DR$33)</f>
        <v>0</v>
      </c>
      <c r="Y30" s="185">
        <f>SUMIF('Monthly CF'!$C$4:$DR$4,Y$3,'Monthly CF'!$C$33:$DR$33)</f>
        <v>0</v>
      </c>
      <c r="Z30" s="185">
        <f>SUMIF('Monthly CF'!$C$4:$DR$4,Z$3,'Monthly CF'!$C$33:$DR$33)</f>
        <v>0</v>
      </c>
      <c r="AA30" s="185">
        <f>SUMIF('Monthly CF'!$C$4:$DR$4,AA$3,'Monthly CF'!$C$33:$DR$33)</f>
        <v>0</v>
      </c>
      <c r="AB30" s="185">
        <f>SUMIF('Monthly CF'!$C$4:$DR$4,AB$3,'Monthly CF'!$C$33:$DR$33)</f>
        <v>0</v>
      </c>
      <c r="AC30" s="185">
        <f>SUMIF('Monthly CF'!$C$4:$DR$4,AC$3,'Monthly CF'!$C$33:$DR$33)</f>
        <v>0</v>
      </c>
      <c r="AD30" s="185">
        <f>SUMIF('Monthly CF'!$C$4:$DR$4,AD$3,'Monthly CF'!$C$33:$DR$33)</f>
        <v>0</v>
      </c>
      <c r="AE30" s="185">
        <f>SUMIF('Monthly CF'!$C$4:$DR$4,AE$3,'Monthly CF'!$C$33:$DR$33)</f>
        <v>0</v>
      </c>
      <c r="AF30" s="185">
        <f>SUMIF('Monthly CF'!$C$4:$DR$4,AF$3,'Monthly CF'!$C$33:$DR$33)</f>
        <v>0</v>
      </c>
      <c r="AG30" s="185">
        <f>SUMIF('Monthly CF'!$C$4:$DR$4,AG$3,'Monthly CF'!$C$33:$DR$33)</f>
        <v>0</v>
      </c>
      <c r="AH30" s="185">
        <f>SUMIF('Monthly CF'!$C$4:$DR$4,AH$3,'Monthly CF'!$C$33:$DR$33)</f>
        <v>0</v>
      </c>
      <c r="AI30" s="185">
        <f>SUMIF('Monthly CF'!$C$4:$DR$4,AI$3,'Monthly CF'!$C$33:$DR$33)</f>
        <v>0</v>
      </c>
      <c r="AJ30" s="185">
        <f>SUMIF('Monthly CF'!$C$4:$DR$4,AJ$3,'Monthly CF'!$C$33:$DR$33)</f>
        <v>0</v>
      </c>
      <c r="AK30" s="185">
        <f>SUMIF('Monthly CF'!$C$4:$DR$4,AK$3,'Monthly CF'!$C$33:$DR$33)</f>
        <v>0</v>
      </c>
      <c r="AL30" s="185">
        <f>SUMIF('Monthly CF'!$C$4:$DR$4,AL$3,'Monthly CF'!$C$33:$DR$33)</f>
        <v>0</v>
      </c>
      <c r="AM30" s="185">
        <f>SUMIF('Monthly CF'!$C$4:$DR$4,AM$3,'Monthly CF'!$C$33:$DR$33)</f>
        <v>0</v>
      </c>
      <c r="AN30" s="185">
        <f>SUMIF('Monthly CF'!$C$4:$DR$4,AN$3,'Monthly CF'!$C$33:$DR$33)</f>
        <v>0</v>
      </c>
      <c r="AO30" s="185">
        <f>SUMIF('Monthly CF'!$C$4:$DR$4,AO$3,'Monthly CF'!$C$33:$DR$33)</f>
        <v>0</v>
      </c>
      <c r="AP30" s="185">
        <f>SUMIF('Monthly CF'!$C$4:$DR$4,AP$3,'Monthly CF'!$C$33:$DR$33)</f>
        <v>0</v>
      </c>
      <c r="AQ30" s="54"/>
    </row>
    <row r="31" ht="15.75" customHeight="1">
      <c r="A31" s="54"/>
      <c r="B31" s="184" t="str">
        <f>Inputs!B46</f>
        <v>  Permits &amp; Licenses</v>
      </c>
      <c r="C31" s="185">
        <f>SUMIF('Monthly CF'!$C$4:$DR$4,C$3,'Monthly CF'!$C$34:$DR$34)</f>
        <v>0</v>
      </c>
      <c r="D31" s="185">
        <f>SUMIF('Monthly CF'!$C$4:$DR$4,D$3,'Monthly CF'!$C$34:$DR$34)</f>
        <v>0</v>
      </c>
      <c r="E31" s="185">
        <f>SUMIF('Monthly CF'!$C$4:$DR$4,E$3,'Monthly CF'!$C$34:$DR$34)</f>
        <v>0</v>
      </c>
      <c r="F31" s="185">
        <f>SUMIF('Monthly CF'!$C$4:$DR$4,F$3,'Monthly CF'!$C$34:$DR$34)</f>
        <v>0</v>
      </c>
      <c r="G31" s="185">
        <f>SUMIF('Monthly CF'!$C$4:$DR$4,G$3,'Monthly CF'!$C$34:$DR$34)</f>
        <v>0</v>
      </c>
      <c r="H31" s="185">
        <f>SUMIF('Monthly CF'!$C$4:$DR$4,H$3,'Monthly CF'!$C$34:$DR$34)</f>
        <v>0</v>
      </c>
      <c r="I31" s="185">
        <f>SUMIF('Monthly CF'!$C$4:$DR$4,I$3,'Monthly CF'!$C$34:$DR$34)</f>
        <v>0</v>
      </c>
      <c r="J31" s="185">
        <f>SUMIF('Monthly CF'!$C$4:$DR$4,J$3,'Monthly CF'!$C$34:$DR$34)</f>
        <v>0</v>
      </c>
      <c r="K31" s="185">
        <f>SUMIF('Monthly CF'!$C$4:$DR$4,K$3,'Monthly CF'!$C$34:$DR$34)</f>
        <v>0</v>
      </c>
      <c r="L31" s="185">
        <f>SUMIF('Monthly CF'!$C$4:$DR$4,L$3,'Monthly CF'!$C$34:$DR$34)</f>
        <v>0</v>
      </c>
      <c r="M31" s="185">
        <f>SUMIF('Monthly CF'!$C$4:$DR$4,M$3,'Monthly CF'!$C$34:$DR$34)</f>
        <v>0</v>
      </c>
      <c r="N31" s="185">
        <f>SUMIF('Monthly CF'!$C$4:$DR$4,N$3,'Monthly CF'!$C$34:$DR$34)</f>
        <v>0</v>
      </c>
      <c r="O31" s="185">
        <f>SUMIF('Monthly CF'!$C$4:$DR$4,O$3,'Monthly CF'!$C$34:$DR$34)</f>
        <v>0</v>
      </c>
      <c r="P31" s="185">
        <f>SUMIF('Monthly CF'!$C$4:$DR$4,P$3,'Monthly CF'!$C$34:$DR$34)</f>
        <v>0</v>
      </c>
      <c r="Q31" s="185">
        <f>SUMIF('Monthly CF'!$C$4:$DR$4,Q$3,'Monthly CF'!$C$34:$DR$34)</f>
        <v>0</v>
      </c>
      <c r="R31" s="185">
        <f>SUMIF('Monthly CF'!$C$4:$DR$4,R$3,'Monthly CF'!$C$34:$DR$34)</f>
        <v>0</v>
      </c>
      <c r="S31" s="185">
        <f>SUMIF('Monthly CF'!$C$4:$DR$4,S$3,'Monthly CF'!$C$34:$DR$34)</f>
        <v>0</v>
      </c>
      <c r="T31" s="185">
        <f>SUMIF('Monthly CF'!$C$4:$DR$4,T$3,'Monthly CF'!$C$34:$DR$34)</f>
        <v>0</v>
      </c>
      <c r="U31" s="185">
        <f>SUMIF('Monthly CF'!$C$4:$DR$4,U$3,'Monthly CF'!$C$34:$DR$34)</f>
        <v>0</v>
      </c>
      <c r="V31" s="185">
        <f>SUMIF('Monthly CF'!$C$4:$DR$4,V$3,'Monthly CF'!$C$34:$DR$34)</f>
        <v>0</v>
      </c>
      <c r="W31" s="185">
        <f>SUMIF('Monthly CF'!$C$4:$DR$4,W$3,'Monthly CF'!$C$34:$DR$34)</f>
        <v>0</v>
      </c>
      <c r="X31" s="185">
        <f>SUMIF('Monthly CF'!$C$4:$DR$4,X$3,'Monthly CF'!$C$34:$DR$34)</f>
        <v>0</v>
      </c>
      <c r="Y31" s="185">
        <f>SUMIF('Monthly CF'!$C$4:$DR$4,Y$3,'Monthly CF'!$C$34:$DR$34)</f>
        <v>0</v>
      </c>
      <c r="Z31" s="185">
        <f>SUMIF('Monthly CF'!$C$4:$DR$4,Z$3,'Monthly CF'!$C$34:$DR$34)</f>
        <v>0</v>
      </c>
      <c r="AA31" s="185">
        <f>SUMIF('Monthly CF'!$C$4:$DR$4,AA$3,'Monthly CF'!$C$34:$DR$34)</f>
        <v>0</v>
      </c>
      <c r="AB31" s="185">
        <f>SUMIF('Monthly CF'!$C$4:$DR$4,AB$3,'Monthly CF'!$C$34:$DR$34)</f>
        <v>0</v>
      </c>
      <c r="AC31" s="185">
        <f>SUMIF('Monthly CF'!$C$4:$DR$4,AC$3,'Monthly CF'!$C$34:$DR$34)</f>
        <v>0</v>
      </c>
      <c r="AD31" s="185">
        <f>SUMIF('Monthly CF'!$C$4:$DR$4,AD$3,'Monthly CF'!$C$34:$DR$34)</f>
        <v>0</v>
      </c>
      <c r="AE31" s="185">
        <f>SUMIF('Monthly CF'!$C$4:$DR$4,AE$3,'Monthly CF'!$C$34:$DR$34)</f>
        <v>0</v>
      </c>
      <c r="AF31" s="185">
        <f>SUMIF('Monthly CF'!$C$4:$DR$4,AF$3,'Monthly CF'!$C$34:$DR$34)</f>
        <v>0</v>
      </c>
      <c r="AG31" s="185">
        <f>SUMIF('Monthly CF'!$C$4:$DR$4,AG$3,'Monthly CF'!$C$34:$DR$34)</f>
        <v>0</v>
      </c>
      <c r="AH31" s="185">
        <f>SUMIF('Monthly CF'!$C$4:$DR$4,AH$3,'Monthly CF'!$C$34:$DR$34)</f>
        <v>0</v>
      </c>
      <c r="AI31" s="185">
        <f>SUMIF('Monthly CF'!$C$4:$DR$4,AI$3,'Monthly CF'!$C$34:$DR$34)</f>
        <v>0</v>
      </c>
      <c r="AJ31" s="185">
        <f>SUMIF('Monthly CF'!$C$4:$DR$4,AJ$3,'Monthly CF'!$C$34:$DR$34)</f>
        <v>0</v>
      </c>
      <c r="AK31" s="185">
        <f>SUMIF('Monthly CF'!$C$4:$DR$4,AK$3,'Monthly CF'!$C$34:$DR$34)</f>
        <v>0</v>
      </c>
      <c r="AL31" s="185">
        <f>SUMIF('Monthly CF'!$C$4:$DR$4,AL$3,'Monthly CF'!$C$34:$DR$34)</f>
        <v>0</v>
      </c>
      <c r="AM31" s="185">
        <f>SUMIF('Monthly CF'!$C$4:$DR$4,AM$3,'Monthly CF'!$C$34:$DR$34)</f>
        <v>0</v>
      </c>
      <c r="AN31" s="185">
        <f>SUMIF('Monthly CF'!$C$4:$DR$4,AN$3,'Monthly CF'!$C$34:$DR$34)</f>
        <v>0</v>
      </c>
      <c r="AO31" s="185">
        <f>SUMIF('Monthly CF'!$C$4:$DR$4,AO$3,'Monthly CF'!$C$34:$DR$34)</f>
        <v>0</v>
      </c>
      <c r="AP31" s="185">
        <f>SUMIF('Monthly CF'!$C$4:$DR$4,AP$3,'Monthly CF'!$C$34:$DR$34)</f>
        <v>0</v>
      </c>
      <c r="AQ31" s="54"/>
    </row>
    <row r="32" ht="15.75" customHeight="1">
      <c r="A32" s="54"/>
      <c r="B32" s="130" t="s">
        <v>311</v>
      </c>
      <c r="C32" s="189">
        <f>SUMIF('Monthly CF'!$C$4:$DR$4,C$3,'Monthly CF'!$C$35:$DR$35)</f>
        <v>0</v>
      </c>
      <c r="D32" s="189">
        <f>SUMIF('Monthly CF'!$C$4:$DR$4,D$3,'Monthly CF'!$C$35:$DR$35)</f>
        <v>0</v>
      </c>
      <c r="E32" s="189">
        <f>SUMIF('Monthly CF'!$C$4:$DR$4,E$3,'Monthly CF'!$C$35:$DR$35)</f>
        <v>0</v>
      </c>
      <c r="F32" s="189">
        <f>SUMIF('Monthly CF'!$C$4:$DR$4,F$3,'Monthly CF'!$C$35:$DR$35)</f>
        <v>0</v>
      </c>
      <c r="G32" s="189">
        <f>SUMIF('Monthly CF'!$C$4:$DR$4,G$3,'Monthly CF'!$C$35:$DR$35)</f>
        <v>0</v>
      </c>
      <c r="H32" s="189">
        <f>SUMIF('Monthly CF'!$C$4:$DR$4,H$3,'Monthly CF'!$C$35:$DR$35)</f>
        <v>0</v>
      </c>
      <c r="I32" s="189">
        <f>SUMIF('Monthly CF'!$C$4:$DR$4,I$3,'Monthly CF'!$C$35:$DR$35)</f>
        <v>0</v>
      </c>
      <c r="J32" s="189">
        <f>SUMIF('Monthly CF'!$C$4:$DR$4,J$3,'Monthly CF'!$C$35:$DR$35)</f>
        <v>0</v>
      </c>
      <c r="K32" s="189">
        <f>SUMIF('Monthly CF'!$C$4:$DR$4,K$3,'Monthly CF'!$C$35:$DR$35)</f>
        <v>0</v>
      </c>
      <c r="L32" s="189">
        <f>SUMIF('Monthly CF'!$C$4:$DR$4,L$3,'Monthly CF'!$C$35:$DR$35)</f>
        <v>0</v>
      </c>
      <c r="M32" s="189">
        <f>SUMIF('Monthly CF'!$C$4:$DR$4,M$3,'Monthly CF'!$C$35:$DR$35)</f>
        <v>0</v>
      </c>
      <c r="N32" s="189">
        <f>SUMIF('Monthly CF'!$C$4:$DR$4,N$3,'Monthly CF'!$C$35:$DR$35)</f>
        <v>0</v>
      </c>
      <c r="O32" s="189">
        <f>SUMIF('Monthly CF'!$C$4:$DR$4,O$3,'Monthly CF'!$C$35:$DR$35)</f>
        <v>0</v>
      </c>
      <c r="P32" s="189">
        <f>SUMIF('Monthly CF'!$C$4:$DR$4,P$3,'Monthly CF'!$C$35:$DR$35)</f>
        <v>0</v>
      </c>
      <c r="Q32" s="189">
        <f>SUMIF('Monthly CF'!$C$4:$DR$4,Q$3,'Monthly CF'!$C$35:$DR$35)</f>
        <v>0</v>
      </c>
      <c r="R32" s="189">
        <f>SUMIF('Monthly CF'!$C$4:$DR$4,R$3,'Monthly CF'!$C$35:$DR$35)</f>
        <v>0</v>
      </c>
      <c r="S32" s="189">
        <f>SUMIF('Monthly CF'!$C$4:$DR$4,S$3,'Monthly CF'!$C$35:$DR$35)</f>
        <v>0</v>
      </c>
      <c r="T32" s="189">
        <f>SUMIF('Monthly CF'!$C$4:$DR$4,T$3,'Monthly CF'!$C$35:$DR$35)</f>
        <v>0</v>
      </c>
      <c r="U32" s="189">
        <f>SUMIF('Monthly CF'!$C$4:$DR$4,U$3,'Monthly CF'!$C$35:$DR$35)</f>
        <v>0</v>
      </c>
      <c r="V32" s="189">
        <f>SUMIF('Monthly CF'!$C$4:$DR$4,V$3,'Monthly CF'!$C$35:$DR$35)</f>
        <v>0</v>
      </c>
      <c r="W32" s="189">
        <f>SUMIF('Monthly CF'!$C$4:$DR$4,W$3,'Monthly CF'!$C$35:$DR$35)</f>
        <v>0</v>
      </c>
      <c r="X32" s="189">
        <f>SUMIF('Monthly CF'!$C$4:$DR$4,X$3,'Monthly CF'!$C$35:$DR$35)</f>
        <v>0</v>
      </c>
      <c r="Y32" s="189">
        <f>SUMIF('Monthly CF'!$C$4:$DR$4,Y$3,'Monthly CF'!$C$35:$DR$35)</f>
        <v>0</v>
      </c>
      <c r="Z32" s="189">
        <f>SUMIF('Monthly CF'!$C$4:$DR$4,Z$3,'Monthly CF'!$C$35:$DR$35)</f>
        <v>0</v>
      </c>
      <c r="AA32" s="189">
        <f>SUMIF('Monthly CF'!$C$4:$DR$4,AA$3,'Monthly CF'!$C$35:$DR$35)</f>
        <v>0</v>
      </c>
      <c r="AB32" s="189">
        <f>SUMIF('Monthly CF'!$C$4:$DR$4,AB$3,'Monthly CF'!$C$35:$DR$35)</f>
        <v>0</v>
      </c>
      <c r="AC32" s="189">
        <f>SUMIF('Monthly CF'!$C$4:$DR$4,AC$3,'Monthly CF'!$C$35:$DR$35)</f>
        <v>0</v>
      </c>
      <c r="AD32" s="189">
        <f>SUMIF('Monthly CF'!$C$4:$DR$4,AD$3,'Monthly CF'!$C$35:$DR$35)</f>
        <v>0</v>
      </c>
      <c r="AE32" s="189">
        <f>SUMIF('Monthly CF'!$C$4:$DR$4,AE$3,'Monthly CF'!$C$35:$DR$35)</f>
        <v>0</v>
      </c>
      <c r="AF32" s="189">
        <f>SUMIF('Monthly CF'!$C$4:$DR$4,AF$3,'Monthly CF'!$C$35:$DR$35)</f>
        <v>0</v>
      </c>
      <c r="AG32" s="189">
        <f>SUMIF('Monthly CF'!$C$4:$DR$4,AG$3,'Monthly CF'!$C$35:$DR$35)</f>
        <v>0</v>
      </c>
      <c r="AH32" s="189">
        <f>SUMIF('Monthly CF'!$C$4:$DR$4,AH$3,'Monthly CF'!$C$35:$DR$35)</f>
        <v>0</v>
      </c>
      <c r="AI32" s="189">
        <f>SUMIF('Monthly CF'!$C$4:$DR$4,AI$3,'Monthly CF'!$C$35:$DR$35)</f>
        <v>0</v>
      </c>
      <c r="AJ32" s="189">
        <f>SUMIF('Monthly CF'!$C$4:$DR$4,AJ$3,'Monthly CF'!$C$35:$DR$35)</f>
        <v>0</v>
      </c>
      <c r="AK32" s="189">
        <f>SUMIF('Monthly CF'!$C$4:$DR$4,AK$3,'Monthly CF'!$C$35:$DR$35)</f>
        <v>0</v>
      </c>
      <c r="AL32" s="189">
        <f>SUMIF('Monthly CF'!$C$4:$DR$4,AL$3,'Monthly CF'!$C$35:$DR$35)</f>
        <v>0</v>
      </c>
      <c r="AM32" s="189">
        <f>SUMIF('Monthly CF'!$C$4:$DR$4,AM$3,'Monthly CF'!$C$35:$DR$35)</f>
        <v>0</v>
      </c>
      <c r="AN32" s="189">
        <f>SUMIF('Monthly CF'!$C$4:$DR$4,AN$3,'Monthly CF'!$C$35:$DR$35)</f>
        <v>0</v>
      </c>
      <c r="AO32" s="189">
        <f>SUMIF('Monthly CF'!$C$4:$DR$4,AO$3,'Monthly CF'!$C$35:$DR$35)</f>
        <v>0</v>
      </c>
      <c r="AP32" s="189">
        <f>SUMIF('Monthly CF'!$C$4:$DR$4,AP$3,'Monthly CF'!$C$35:$DR$35)</f>
        <v>0</v>
      </c>
      <c r="AQ32" s="54"/>
    </row>
    <row r="33" ht="15.75" customHeight="1">
      <c r="A33" s="54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</row>
    <row r="34" ht="15.75" customHeight="1">
      <c r="A34" s="54"/>
      <c r="B34" s="190" t="s">
        <v>312</v>
      </c>
      <c r="C34" s="191">
        <f>SUMIF('Monthly CF'!$C$4:$DR$4,C$3,'Monthly CF'!$C$37:$DR$37)</f>
        <v>0</v>
      </c>
      <c r="D34" s="191">
        <f>SUMIF('Monthly CF'!$C$4:$DR$4,D$3,'Monthly CF'!$C$37:$DR$37)</f>
        <v>0</v>
      </c>
      <c r="E34" s="191">
        <f>SUMIF('Monthly CF'!$C$4:$DR$4,E$3,'Monthly CF'!$C$37:$DR$37)</f>
        <v>0</v>
      </c>
      <c r="F34" s="191">
        <f>SUMIF('Monthly CF'!$C$4:$DR$4,F$3,'Monthly CF'!$C$37:$DR$37)</f>
        <v>0</v>
      </c>
      <c r="G34" s="191">
        <f>SUMIF('Monthly CF'!$C$4:$DR$4,G$3,'Monthly CF'!$C$37:$DR$37)</f>
        <v>0</v>
      </c>
      <c r="H34" s="191">
        <f>SUMIF('Monthly CF'!$C$4:$DR$4,H$3,'Monthly CF'!$C$37:$DR$37)</f>
        <v>0</v>
      </c>
      <c r="I34" s="191">
        <f>SUMIF('Monthly CF'!$C$4:$DR$4,I$3,'Monthly CF'!$C$37:$DR$37)</f>
        <v>0</v>
      </c>
      <c r="J34" s="191">
        <f>SUMIF('Monthly CF'!$C$4:$DR$4,J$3,'Monthly CF'!$C$37:$DR$37)</f>
        <v>0</v>
      </c>
      <c r="K34" s="191">
        <f>SUMIF('Monthly CF'!$C$4:$DR$4,K$3,'Monthly CF'!$C$37:$DR$37)</f>
        <v>0</v>
      </c>
      <c r="L34" s="191">
        <f>SUMIF('Monthly CF'!$C$4:$DR$4,L$3,'Monthly CF'!$C$37:$DR$37)</f>
        <v>0</v>
      </c>
      <c r="M34" s="191">
        <f>SUMIF('Monthly CF'!$C$4:$DR$4,M$3,'Monthly CF'!$C$37:$DR$37)</f>
        <v>0</v>
      </c>
      <c r="N34" s="191">
        <f>SUMIF('Monthly CF'!$C$4:$DR$4,N$3,'Monthly CF'!$C$37:$DR$37)</f>
        <v>0</v>
      </c>
      <c r="O34" s="191">
        <f>SUMIF('Monthly CF'!$C$4:$DR$4,O$3,'Monthly CF'!$C$37:$DR$37)</f>
        <v>0</v>
      </c>
      <c r="P34" s="191">
        <f>SUMIF('Monthly CF'!$C$4:$DR$4,P$3,'Monthly CF'!$C$37:$DR$37)</f>
        <v>0</v>
      </c>
      <c r="Q34" s="191">
        <f>SUMIF('Monthly CF'!$C$4:$DR$4,Q$3,'Monthly CF'!$C$37:$DR$37)</f>
        <v>0</v>
      </c>
      <c r="R34" s="191">
        <f>SUMIF('Monthly CF'!$C$4:$DR$4,R$3,'Monthly CF'!$C$37:$DR$37)</f>
        <v>0</v>
      </c>
      <c r="S34" s="191">
        <f>SUMIF('Monthly CF'!$C$4:$DR$4,S$3,'Monthly CF'!$C$37:$DR$37)</f>
        <v>0</v>
      </c>
      <c r="T34" s="191">
        <f>SUMIF('Monthly CF'!$C$4:$DR$4,T$3,'Monthly CF'!$C$37:$DR$37)</f>
        <v>0</v>
      </c>
      <c r="U34" s="191">
        <f>SUMIF('Monthly CF'!$C$4:$DR$4,U$3,'Monthly CF'!$C$37:$DR$37)</f>
        <v>0</v>
      </c>
      <c r="V34" s="191">
        <f>SUMIF('Monthly CF'!$C$4:$DR$4,V$3,'Monthly CF'!$C$37:$DR$37)</f>
        <v>0</v>
      </c>
      <c r="W34" s="191">
        <f>SUMIF('Monthly CF'!$C$4:$DR$4,W$3,'Monthly CF'!$C$37:$DR$37)</f>
        <v>0</v>
      </c>
      <c r="X34" s="191">
        <f>SUMIF('Monthly CF'!$C$4:$DR$4,X$3,'Monthly CF'!$C$37:$DR$37)</f>
        <v>0</v>
      </c>
      <c r="Y34" s="191">
        <f>SUMIF('Monthly CF'!$C$4:$DR$4,Y$3,'Monthly CF'!$C$37:$DR$37)</f>
        <v>0</v>
      </c>
      <c r="Z34" s="191">
        <f>SUMIF('Monthly CF'!$C$4:$DR$4,Z$3,'Monthly CF'!$C$37:$DR$37)</f>
        <v>0</v>
      </c>
      <c r="AA34" s="191">
        <f>SUMIF('Monthly CF'!$C$4:$DR$4,AA$3,'Monthly CF'!$C$37:$DR$37)</f>
        <v>0</v>
      </c>
      <c r="AB34" s="191">
        <f>SUMIF('Monthly CF'!$C$4:$DR$4,AB$3,'Monthly CF'!$C$37:$DR$37)</f>
        <v>0</v>
      </c>
      <c r="AC34" s="191">
        <f>SUMIF('Monthly CF'!$C$4:$DR$4,AC$3,'Monthly CF'!$C$37:$DR$37)</f>
        <v>0</v>
      </c>
      <c r="AD34" s="191">
        <f>SUMIF('Monthly CF'!$C$4:$DR$4,AD$3,'Monthly CF'!$C$37:$DR$37)</f>
        <v>0</v>
      </c>
      <c r="AE34" s="191">
        <f>SUMIF('Monthly CF'!$C$4:$DR$4,AE$3,'Monthly CF'!$C$37:$DR$37)</f>
        <v>0</v>
      </c>
      <c r="AF34" s="191">
        <f>SUMIF('Monthly CF'!$C$4:$DR$4,AF$3,'Monthly CF'!$C$37:$DR$37)</f>
        <v>0</v>
      </c>
      <c r="AG34" s="191">
        <f>SUMIF('Monthly CF'!$C$4:$DR$4,AG$3,'Monthly CF'!$C$37:$DR$37)</f>
        <v>0</v>
      </c>
      <c r="AH34" s="191">
        <f>SUMIF('Monthly CF'!$C$4:$DR$4,AH$3,'Monthly CF'!$C$37:$DR$37)</f>
        <v>0</v>
      </c>
      <c r="AI34" s="191">
        <f>SUMIF('Monthly CF'!$C$4:$DR$4,AI$3,'Monthly CF'!$C$37:$DR$37)</f>
        <v>0</v>
      </c>
      <c r="AJ34" s="191">
        <f>SUMIF('Monthly CF'!$C$4:$DR$4,AJ$3,'Monthly CF'!$C$37:$DR$37)</f>
        <v>0</v>
      </c>
      <c r="AK34" s="191">
        <f>SUMIF('Monthly CF'!$C$4:$DR$4,AK$3,'Monthly CF'!$C$37:$DR$37)</f>
        <v>0</v>
      </c>
      <c r="AL34" s="191">
        <f>SUMIF('Monthly CF'!$C$4:$DR$4,AL$3,'Monthly CF'!$C$37:$DR$37)</f>
        <v>0</v>
      </c>
      <c r="AM34" s="191">
        <f>SUMIF('Monthly CF'!$C$4:$DR$4,AM$3,'Monthly CF'!$C$37:$DR$37)</f>
        <v>0</v>
      </c>
      <c r="AN34" s="191">
        <f>SUMIF('Monthly CF'!$C$4:$DR$4,AN$3,'Monthly CF'!$C$37:$DR$37)</f>
        <v>0</v>
      </c>
      <c r="AO34" s="191">
        <f>SUMIF('Monthly CF'!$C$4:$DR$4,AO$3,'Monthly CF'!$C$37:$DR$37)</f>
        <v>0</v>
      </c>
      <c r="AP34" s="191">
        <f>SUMIF('Monthly CF'!$C$4:$DR$4,AP$3,'Monthly CF'!$C$37:$DR$37)</f>
        <v>0</v>
      </c>
      <c r="AQ34" s="54"/>
    </row>
    <row r="35" ht="15.75" customHeight="1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</row>
    <row r="36" ht="15.75" customHeight="1">
      <c r="A36" s="54"/>
      <c r="B36" s="184" t="s">
        <v>353</v>
      </c>
      <c r="C36" s="192">
        <f>SUMIF('Monthly CF'!$C$4:$DR$4,C$3,'Monthly CF'!$C$40:$DR$40)</f>
        <v>0</v>
      </c>
      <c r="D36" s="192">
        <f>SUMIF('Monthly CF'!$C$4:$DR$4,D$3,'Monthly CF'!$C$40:$DR$40)</f>
        <v>0</v>
      </c>
      <c r="E36" s="192">
        <f>SUMIF('Monthly CF'!$C$4:$DR$4,E$3,'Monthly CF'!$C$40:$DR$40)</f>
        <v>0</v>
      </c>
      <c r="F36" s="192">
        <f>SUMIF('Monthly CF'!$C$4:$DR$4,F$3,'Monthly CF'!$C$40:$DR$40)</f>
        <v>0</v>
      </c>
      <c r="G36" s="192">
        <f>SUMIF('Monthly CF'!$C$4:$DR$4,G$3,'Monthly CF'!$C$40:$DR$40)</f>
        <v>0</v>
      </c>
      <c r="H36" s="192">
        <f>SUMIF('Monthly CF'!$C$4:$DR$4,H$3,'Monthly CF'!$C$40:$DR$40)</f>
        <v>0</v>
      </c>
      <c r="I36" s="192">
        <f>SUMIF('Monthly CF'!$C$4:$DR$4,I$3,'Monthly CF'!$C$40:$DR$40)</f>
        <v>0</v>
      </c>
      <c r="J36" s="192">
        <f>SUMIF('Monthly CF'!$C$4:$DR$4,J$3,'Monthly CF'!$C$40:$DR$40)</f>
        <v>0</v>
      </c>
      <c r="K36" s="192">
        <f>SUMIF('Monthly CF'!$C$4:$DR$4,K$3,'Monthly CF'!$C$40:$DR$40)</f>
        <v>0</v>
      </c>
      <c r="L36" s="192">
        <f>SUMIF('Monthly CF'!$C$4:$DR$4,L$3,'Monthly CF'!$C$40:$DR$40)</f>
        <v>0</v>
      </c>
      <c r="M36" s="192">
        <f>SUMIF('Monthly CF'!$C$4:$DR$4,M$3,'Monthly CF'!$C$40:$DR$40)</f>
        <v>0</v>
      </c>
      <c r="N36" s="192">
        <f>SUMIF('Monthly CF'!$C$4:$DR$4,N$3,'Monthly CF'!$C$40:$DR$40)</f>
        <v>0</v>
      </c>
      <c r="O36" s="192">
        <f>SUMIF('Monthly CF'!$C$4:$DR$4,O$3,'Monthly CF'!$C$40:$DR$40)</f>
        <v>0</v>
      </c>
      <c r="P36" s="192">
        <f>SUMIF('Monthly CF'!$C$4:$DR$4,P$3,'Monthly CF'!$C$40:$DR$40)</f>
        <v>0</v>
      </c>
      <c r="Q36" s="192">
        <f>SUMIF('Monthly CF'!$C$4:$DR$4,Q$3,'Monthly CF'!$C$40:$DR$40)</f>
        <v>0</v>
      </c>
      <c r="R36" s="192">
        <f>SUMIF('Monthly CF'!$C$4:$DR$4,R$3,'Monthly CF'!$C$40:$DR$40)</f>
        <v>0</v>
      </c>
      <c r="S36" s="192">
        <f>SUMIF('Monthly CF'!$C$4:$DR$4,S$3,'Monthly CF'!$C$40:$DR$40)</f>
        <v>0</v>
      </c>
      <c r="T36" s="192">
        <f>SUMIF('Monthly CF'!$C$4:$DR$4,T$3,'Monthly CF'!$C$40:$DR$40)</f>
        <v>0</v>
      </c>
      <c r="U36" s="192">
        <f>SUMIF('Monthly CF'!$C$4:$DR$4,U$3,'Monthly CF'!$C$40:$DR$40)</f>
        <v>0</v>
      </c>
      <c r="V36" s="192">
        <f>SUMIF('Monthly CF'!$C$4:$DR$4,V$3,'Monthly CF'!$C$40:$DR$40)</f>
        <v>0</v>
      </c>
      <c r="W36" s="192">
        <f>SUMIF('Monthly CF'!$C$4:$DR$4,W$3,'Monthly CF'!$C$40:$DR$40)</f>
        <v>0</v>
      </c>
      <c r="X36" s="192">
        <f>SUMIF('Monthly CF'!$C$4:$DR$4,X$3,'Monthly CF'!$C$40:$DR$40)</f>
        <v>0</v>
      </c>
      <c r="Y36" s="192">
        <f>SUMIF('Monthly CF'!$C$4:$DR$4,Y$3,'Monthly CF'!$C$40:$DR$40)</f>
        <v>0</v>
      </c>
      <c r="Z36" s="192">
        <f>SUMIF('Monthly CF'!$C$4:$DR$4,Z$3,'Monthly CF'!$C$40:$DR$40)</f>
        <v>0</v>
      </c>
      <c r="AA36" s="192">
        <f>SUMIF('Monthly CF'!$C$4:$DR$4,AA$3,'Monthly CF'!$C$40:$DR$40)</f>
        <v>0</v>
      </c>
      <c r="AB36" s="192">
        <f>SUMIF('Monthly CF'!$C$4:$DR$4,AB$3,'Monthly CF'!$C$40:$DR$40)</f>
        <v>0</v>
      </c>
      <c r="AC36" s="192">
        <f>SUMIF('Monthly CF'!$C$4:$DR$4,AC$3,'Monthly CF'!$C$40:$DR$40)</f>
        <v>0</v>
      </c>
      <c r="AD36" s="192">
        <f>SUMIF('Monthly CF'!$C$4:$DR$4,AD$3,'Monthly CF'!$C$40:$DR$40)</f>
        <v>0</v>
      </c>
      <c r="AE36" s="192">
        <f>SUMIF('Monthly CF'!$C$4:$DR$4,AE$3,'Monthly CF'!$C$40:$DR$40)</f>
        <v>0</v>
      </c>
      <c r="AF36" s="192">
        <f>SUMIF('Monthly CF'!$C$4:$DR$4,AF$3,'Monthly CF'!$C$40:$DR$40)</f>
        <v>0</v>
      </c>
      <c r="AG36" s="192">
        <f>SUMIF('Monthly CF'!$C$4:$DR$4,AG$3,'Monthly CF'!$C$40:$DR$40)</f>
        <v>0</v>
      </c>
      <c r="AH36" s="192">
        <f>SUMIF('Monthly CF'!$C$4:$DR$4,AH$3,'Monthly CF'!$C$40:$DR$40)</f>
        <v>0</v>
      </c>
      <c r="AI36" s="192">
        <f>SUMIF('Monthly CF'!$C$4:$DR$4,AI$3,'Monthly CF'!$C$40:$DR$40)</f>
        <v>0</v>
      </c>
      <c r="AJ36" s="192">
        <f>SUMIF('Monthly CF'!$C$4:$DR$4,AJ$3,'Monthly CF'!$C$40:$DR$40)</f>
        <v>0</v>
      </c>
      <c r="AK36" s="192">
        <f>SUMIF('Monthly CF'!$C$4:$DR$4,AK$3,'Monthly CF'!$C$40:$DR$40)</f>
        <v>0</v>
      </c>
      <c r="AL36" s="192">
        <f>SUMIF('Monthly CF'!$C$4:$DR$4,AL$3,'Monthly CF'!$C$40:$DR$40)</f>
        <v>0</v>
      </c>
      <c r="AM36" s="192">
        <f>SUMIF('Monthly CF'!$C$4:$DR$4,AM$3,'Monthly CF'!$C$40:$DR$40)</f>
        <v>0</v>
      </c>
      <c r="AN36" s="192">
        <f>SUMIF('Monthly CF'!$C$4:$DR$4,AN$3,'Monthly CF'!$C$40:$DR$40)</f>
        <v>0</v>
      </c>
      <c r="AO36" s="192">
        <f>SUMIF('Monthly CF'!$C$4:$DR$4,AO$3,'Monthly CF'!$C$40:$DR$40)</f>
        <v>0</v>
      </c>
      <c r="AP36" s="192">
        <f>SUMIF('Monthly CF'!$C$4:$DR$4,AP$3,'Monthly CF'!$C$40:$DR$40)</f>
        <v>0</v>
      </c>
      <c r="AQ36" s="54"/>
    </row>
    <row r="37" ht="15.75" customHeight="1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</row>
    <row r="38" ht="15.75" customHeight="1">
      <c r="A38" s="54"/>
      <c r="B38" s="184" t="s">
        <v>354</v>
      </c>
      <c r="C38" s="192">
        <f>SUMIF('Monthly CF'!$C$4:$DR$4,C$3,'Monthly CF'!$C$49:$DR$49)</f>
        <v>-5000</v>
      </c>
      <c r="D38" s="192">
        <f>SUMIF('Monthly CF'!$C$4:$DR$4,D$3,'Monthly CF'!$C$49:$DR$49)</f>
        <v>0</v>
      </c>
      <c r="E38" s="192">
        <f>SUMIF('Monthly CF'!$C$4:$DR$4,E$3,'Monthly CF'!$C$49:$DR$49)</f>
        <v>0</v>
      </c>
      <c r="F38" s="192">
        <f>SUMIF('Monthly CF'!$C$4:$DR$4,F$3,'Monthly CF'!$C$49:$DR$49)</f>
        <v>0</v>
      </c>
      <c r="G38" s="192">
        <f>SUMIF('Monthly CF'!$C$4:$DR$4,G$3,'Monthly CF'!$C$49:$DR$49)</f>
        <v>0</v>
      </c>
      <c r="H38" s="192">
        <f>SUMIF('Monthly CF'!$C$4:$DR$4,H$3,'Monthly CF'!$C$49:$DR$49)</f>
        <v>0</v>
      </c>
      <c r="I38" s="192">
        <f>SUMIF('Monthly CF'!$C$4:$DR$4,I$3,'Monthly CF'!$C$49:$DR$49)</f>
        <v>0</v>
      </c>
      <c r="J38" s="192">
        <f>SUMIF('Monthly CF'!$C$4:$DR$4,J$3,'Monthly CF'!$C$49:$DR$49)</f>
        <v>0</v>
      </c>
      <c r="K38" s="192">
        <f>SUMIF('Monthly CF'!$C$4:$DR$4,K$3,'Monthly CF'!$C$49:$DR$49)</f>
        <v>0</v>
      </c>
      <c r="L38" s="192">
        <f>SUMIF('Monthly CF'!$C$4:$DR$4,L$3,'Monthly CF'!$C$49:$DR$49)</f>
        <v>0</v>
      </c>
      <c r="M38" s="192">
        <f>SUMIF('Monthly CF'!$C$4:$DR$4,M$3,'Monthly CF'!$C$49:$DR$49)</f>
        <v>0</v>
      </c>
      <c r="N38" s="192">
        <f>SUMIF('Monthly CF'!$C$4:$DR$4,N$3,'Monthly CF'!$C$49:$DR$49)</f>
        <v>0</v>
      </c>
      <c r="O38" s="192">
        <f>SUMIF('Monthly CF'!$C$4:$DR$4,O$3,'Monthly CF'!$C$49:$DR$49)</f>
        <v>0</v>
      </c>
      <c r="P38" s="192">
        <f>SUMIF('Monthly CF'!$C$4:$DR$4,P$3,'Monthly CF'!$C$49:$DR$49)</f>
        <v>0</v>
      </c>
      <c r="Q38" s="192">
        <f>SUMIF('Monthly CF'!$C$4:$DR$4,Q$3,'Monthly CF'!$C$49:$DR$49)</f>
        <v>0</v>
      </c>
      <c r="R38" s="192">
        <f>SUMIF('Monthly CF'!$C$4:$DR$4,R$3,'Monthly CF'!$C$49:$DR$49)</f>
        <v>0</v>
      </c>
      <c r="S38" s="192">
        <f>SUMIF('Monthly CF'!$C$4:$DR$4,S$3,'Monthly CF'!$C$49:$DR$49)</f>
        <v>0</v>
      </c>
      <c r="T38" s="192">
        <f>SUMIF('Monthly CF'!$C$4:$DR$4,T$3,'Monthly CF'!$C$49:$DR$49)</f>
        <v>0</v>
      </c>
      <c r="U38" s="192">
        <f>SUMIF('Monthly CF'!$C$4:$DR$4,U$3,'Monthly CF'!$C$49:$DR$49)</f>
        <v>0</v>
      </c>
      <c r="V38" s="192">
        <f>SUMIF('Monthly CF'!$C$4:$DR$4,V$3,'Monthly CF'!$C$49:$DR$49)</f>
        <v>0</v>
      </c>
      <c r="W38" s="192">
        <f>SUMIF('Monthly CF'!$C$4:$DR$4,W$3,'Monthly CF'!$C$49:$DR$49)</f>
        <v>0</v>
      </c>
      <c r="X38" s="192">
        <f>SUMIF('Monthly CF'!$C$4:$DR$4,X$3,'Monthly CF'!$C$49:$DR$49)</f>
        <v>0</v>
      </c>
      <c r="Y38" s="192">
        <f>SUMIF('Monthly CF'!$C$4:$DR$4,Y$3,'Monthly CF'!$C$49:$DR$49)</f>
        <v>0</v>
      </c>
      <c r="Z38" s="192">
        <f>SUMIF('Monthly CF'!$C$4:$DR$4,Z$3,'Monthly CF'!$C$49:$DR$49)</f>
        <v>0</v>
      </c>
      <c r="AA38" s="192">
        <f>SUMIF('Monthly CF'!$C$4:$DR$4,AA$3,'Monthly CF'!$C$49:$DR$49)</f>
        <v>0</v>
      </c>
      <c r="AB38" s="192">
        <f>SUMIF('Monthly CF'!$C$4:$DR$4,AB$3,'Monthly CF'!$C$49:$DR$49)</f>
        <v>0</v>
      </c>
      <c r="AC38" s="192">
        <f>SUMIF('Monthly CF'!$C$4:$DR$4,AC$3,'Monthly CF'!$C$49:$DR$49)</f>
        <v>0</v>
      </c>
      <c r="AD38" s="192">
        <f>SUMIF('Monthly CF'!$C$4:$DR$4,AD$3,'Monthly CF'!$C$49:$DR$49)</f>
        <v>0</v>
      </c>
      <c r="AE38" s="192">
        <f>SUMIF('Monthly CF'!$C$4:$DR$4,AE$3,'Monthly CF'!$C$49:$DR$49)</f>
        <v>0</v>
      </c>
      <c r="AF38" s="192">
        <f>SUMIF('Monthly CF'!$C$4:$DR$4,AF$3,'Monthly CF'!$C$49:$DR$49)</f>
        <v>0</v>
      </c>
      <c r="AG38" s="192">
        <f>SUMIF('Monthly CF'!$C$4:$DR$4,AG$3,'Monthly CF'!$C$49:$DR$49)</f>
        <v>0</v>
      </c>
      <c r="AH38" s="192">
        <f>SUMIF('Monthly CF'!$C$4:$DR$4,AH$3,'Monthly CF'!$C$49:$DR$49)</f>
        <v>0</v>
      </c>
      <c r="AI38" s="192">
        <f>SUMIF('Monthly CF'!$C$4:$DR$4,AI$3,'Monthly CF'!$C$49:$DR$49)</f>
        <v>0</v>
      </c>
      <c r="AJ38" s="192">
        <f>SUMIF('Monthly CF'!$C$4:$DR$4,AJ$3,'Monthly CF'!$C$49:$DR$49)</f>
        <v>0</v>
      </c>
      <c r="AK38" s="192">
        <f>SUMIF('Monthly CF'!$C$4:$DR$4,AK$3,'Monthly CF'!$C$49:$DR$49)</f>
        <v>0</v>
      </c>
      <c r="AL38" s="192">
        <f>SUMIF('Monthly CF'!$C$4:$DR$4,AL$3,'Monthly CF'!$C$49:$DR$49)</f>
        <v>0</v>
      </c>
      <c r="AM38" s="192">
        <f>SUMIF('Monthly CF'!$C$4:$DR$4,AM$3,'Monthly CF'!$C$49:$DR$49)</f>
        <v>0</v>
      </c>
      <c r="AN38" s="192">
        <f>SUMIF('Monthly CF'!$C$4:$DR$4,AN$3,'Monthly CF'!$C$49:$DR$49)</f>
        <v>0</v>
      </c>
      <c r="AO38" s="192">
        <f>SUMIF('Monthly CF'!$C$4:$DR$4,AO$3,'Monthly CF'!$C$49:$DR$49)</f>
        <v>0</v>
      </c>
      <c r="AP38" s="192">
        <f>SUMIF('Monthly CF'!$C$4:$DR$4,AP$3,'Monthly CF'!$C$49:$DR$49)</f>
        <v>0</v>
      </c>
      <c r="AQ38" s="54"/>
    </row>
    <row r="39" ht="15.75" customHeight="1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</row>
    <row r="40" ht="15.75" customHeight="1">
      <c r="A40" s="54"/>
      <c r="B40" s="182" t="s">
        <v>317</v>
      </c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  <c r="Y40" s="183"/>
      <c r="Z40" s="183"/>
      <c r="AA40" s="183"/>
      <c r="AB40" s="183"/>
      <c r="AC40" s="183"/>
      <c r="AD40" s="183"/>
      <c r="AE40" s="183"/>
      <c r="AF40" s="183"/>
      <c r="AG40" s="183"/>
      <c r="AH40" s="183"/>
      <c r="AI40" s="183"/>
      <c r="AJ40" s="183"/>
      <c r="AK40" s="183"/>
      <c r="AL40" s="183"/>
      <c r="AM40" s="183"/>
      <c r="AN40" s="183"/>
      <c r="AO40" s="183"/>
      <c r="AP40" s="183"/>
      <c r="AQ40" s="54"/>
    </row>
    <row r="41" ht="15.75" customHeight="1">
      <c r="A41" s="54"/>
      <c r="B41" s="184" t="s">
        <v>318</v>
      </c>
      <c r="C41" s="185">
        <f>SUMIF('Monthly CF'!$C$4:$DR$4,C$3,'Monthly CF'!$C$52:$DR$52)</f>
        <v>0</v>
      </c>
      <c r="D41" s="185">
        <f>SUMIF('Monthly CF'!$C$4:$DR$4,D$3,'Monthly CF'!$C$52:$DR$52)</f>
        <v>0</v>
      </c>
      <c r="E41" s="185">
        <f>SUMIF('Monthly CF'!$C$4:$DR$4,E$3,'Monthly CF'!$C$52:$DR$52)</f>
        <v>0</v>
      </c>
      <c r="F41" s="185">
        <f>SUMIF('Monthly CF'!$C$4:$DR$4,F$3,'Monthly CF'!$C$52:$DR$52)</f>
        <v>0</v>
      </c>
      <c r="G41" s="185">
        <f>SUMIF('Monthly CF'!$C$4:$DR$4,G$3,'Monthly CF'!$C$52:$DR$52)</f>
        <v>0</v>
      </c>
      <c r="H41" s="185">
        <f>SUMIF('Monthly CF'!$C$4:$DR$4,H$3,'Monthly CF'!$C$52:$DR$52)</f>
        <v>0</v>
      </c>
      <c r="I41" s="185">
        <f>SUMIF('Monthly CF'!$C$4:$DR$4,I$3,'Monthly CF'!$C$52:$DR$52)</f>
        <v>0</v>
      </c>
      <c r="J41" s="185">
        <f>SUMIF('Monthly CF'!$C$4:$DR$4,J$3,'Monthly CF'!$C$52:$DR$52)</f>
        <v>0</v>
      </c>
      <c r="K41" s="185">
        <f>SUMIF('Monthly CF'!$C$4:$DR$4,K$3,'Monthly CF'!$C$52:$DR$52)</f>
        <v>0</v>
      </c>
      <c r="L41" s="185">
        <f>SUMIF('Monthly CF'!$C$4:$DR$4,L$3,'Monthly CF'!$C$52:$DR$52)</f>
        <v>0</v>
      </c>
      <c r="M41" s="185">
        <f>SUMIF('Monthly CF'!$C$4:$DR$4,M$3,'Monthly CF'!$C$52:$DR$52)</f>
        <v>0</v>
      </c>
      <c r="N41" s="185">
        <f>SUMIF('Monthly CF'!$C$4:$DR$4,N$3,'Monthly CF'!$C$52:$DR$52)</f>
        <v>0</v>
      </c>
      <c r="O41" s="185">
        <f>SUMIF('Monthly CF'!$C$4:$DR$4,O$3,'Monthly CF'!$C$52:$DR$52)</f>
        <v>0</v>
      </c>
      <c r="P41" s="185">
        <f>SUMIF('Monthly CF'!$C$4:$DR$4,P$3,'Monthly CF'!$C$52:$DR$52)</f>
        <v>0</v>
      </c>
      <c r="Q41" s="185">
        <f>SUMIF('Monthly CF'!$C$4:$DR$4,Q$3,'Monthly CF'!$C$52:$DR$52)</f>
        <v>0</v>
      </c>
      <c r="R41" s="185">
        <f>SUMIF('Monthly CF'!$C$4:$DR$4,R$3,'Monthly CF'!$C$52:$DR$52)</f>
        <v>0</v>
      </c>
      <c r="S41" s="185">
        <f>SUMIF('Monthly CF'!$C$4:$DR$4,S$3,'Monthly CF'!$C$52:$DR$52)</f>
        <v>0</v>
      </c>
      <c r="T41" s="185">
        <f>SUMIF('Monthly CF'!$C$4:$DR$4,T$3,'Monthly CF'!$C$52:$DR$52)</f>
        <v>0</v>
      </c>
      <c r="U41" s="185">
        <f>SUMIF('Monthly CF'!$C$4:$DR$4,U$3,'Monthly CF'!$C$52:$DR$52)</f>
        <v>0</v>
      </c>
      <c r="V41" s="185">
        <f>SUMIF('Monthly CF'!$C$4:$DR$4,V$3,'Monthly CF'!$C$52:$DR$52)</f>
        <v>0</v>
      </c>
      <c r="W41" s="185">
        <f>SUMIF('Monthly CF'!$C$4:$DR$4,W$3,'Monthly CF'!$C$52:$DR$52)</f>
        <v>0</v>
      </c>
      <c r="X41" s="185">
        <f>SUMIF('Monthly CF'!$C$4:$DR$4,X$3,'Monthly CF'!$C$52:$DR$52)</f>
        <v>0</v>
      </c>
      <c r="Y41" s="185">
        <f>SUMIF('Monthly CF'!$C$4:$DR$4,Y$3,'Monthly CF'!$C$52:$DR$52)</f>
        <v>0</v>
      </c>
      <c r="Z41" s="185">
        <f>SUMIF('Monthly CF'!$C$4:$DR$4,Z$3,'Monthly CF'!$C$52:$DR$52)</f>
        <v>0</v>
      </c>
      <c r="AA41" s="185">
        <f>SUMIF('Monthly CF'!$C$4:$DR$4,AA$3,'Monthly CF'!$C$52:$DR$52)</f>
        <v>0</v>
      </c>
      <c r="AB41" s="185">
        <f>SUMIF('Monthly CF'!$C$4:$DR$4,AB$3,'Monthly CF'!$C$52:$DR$52)</f>
        <v>0</v>
      </c>
      <c r="AC41" s="185">
        <f>SUMIF('Monthly CF'!$C$4:$DR$4,AC$3,'Monthly CF'!$C$52:$DR$52)</f>
        <v>0</v>
      </c>
      <c r="AD41" s="185">
        <f>SUMIF('Monthly CF'!$C$4:$DR$4,AD$3,'Monthly CF'!$C$52:$DR$52)</f>
        <v>0</v>
      </c>
      <c r="AE41" s="185">
        <f>SUMIF('Monthly CF'!$C$4:$DR$4,AE$3,'Monthly CF'!$C$52:$DR$52)</f>
        <v>0</v>
      </c>
      <c r="AF41" s="185">
        <f>SUMIF('Monthly CF'!$C$4:$DR$4,AF$3,'Monthly CF'!$C$52:$DR$52)</f>
        <v>0</v>
      </c>
      <c r="AG41" s="185">
        <f>SUMIF('Monthly CF'!$C$4:$DR$4,AG$3,'Monthly CF'!$C$52:$DR$52)</f>
        <v>0</v>
      </c>
      <c r="AH41" s="185">
        <f>SUMIF('Monthly CF'!$C$4:$DR$4,AH$3,'Monthly CF'!$C$52:$DR$52)</f>
        <v>0</v>
      </c>
      <c r="AI41" s="185">
        <f>SUMIF('Monthly CF'!$C$4:$DR$4,AI$3,'Monthly CF'!$C$52:$DR$52)</f>
        <v>0</v>
      </c>
      <c r="AJ41" s="185">
        <f>SUMIF('Monthly CF'!$C$4:$DR$4,AJ$3,'Monthly CF'!$C$52:$DR$52)</f>
        <v>0</v>
      </c>
      <c r="AK41" s="185">
        <f>SUMIF('Monthly CF'!$C$4:$DR$4,AK$3,'Monthly CF'!$C$52:$DR$52)</f>
        <v>0</v>
      </c>
      <c r="AL41" s="185">
        <f>SUMIF('Monthly CF'!$C$4:$DR$4,AL$3,'Monthly CF'!$C$52:$DR$52)</f>
        <v>0</v>
      </c>
      <c r="AM41" s="185">
        <f>SUMIF('Monthly CF'!$C$4:$DR$4,AM$3,'Monthly CF'!$C$52:$DR$52)</f>
        <v>0</v>
      </c>
      <c r="AN41" s="185">
        <f>SUMIF('Monthly CF'!$C$4:$DR$4,AN$3,'Monthly CF'!$C$52:$DR$52)</f>
        <v>0</v>
      </c>
      <c r="AO41" s="185">
        <f>SUMIF('Monthly CF'!$C$4:$DR$4,AO$3,'Monthly CF'!$C$52:$DR$52)</f>
        <v>0</v>
      </c>
      <c r="AP41" s="185">
        <f>SUMIF('Monthly CF'!$C$4:$DR$4,AP$3,'Monthly CF'!$C$52:$DR$52)</f>
        <v>0</v>
      </c>
      <c r="AQ41" s="54"/>
    </row>
    <row r="42" ht="15.75" customHeight="1">
      <c r="A42" s="54"/>
      <c r="B42" s="184" t="s">
        <v>319</v>
      </c>
      <c r="C42" s="185">
        <f>SUMIF('Monthly CF'!$C$4:$DR$4,C$3,'Monthly CF'!$C$53:$DR$53)</f>
        <v>0</v>
      </c>
      <c r="D42" s="185">
        <f>SUMIF('Monthly CF'!$C$4:$DR$4,D$3,'Monthly CF'!$C$53:$DR$53)</f>
        <v>0</v>
      </c>
      <c r="E42" s="185">
        <f>SUMIF('Monthly CF'!$C$4:$DR$4,E$3,'Monthly CF'!$C$53:$DR$53)</f>
        <v>0</v>
      </c>
      <c r="F42" s="185">
        <f>SUMIF('Monthly CF'!$C$4:$DR$4,F$3,'Monthly CF'!$C$53:$DR$53)</f>
        <v>0</v>
      </c>
      <c r="G42" s="185">
        <f>SUMIF('Monthly CF'!$C$4:$DR$4,G$3,'Monthly CF'!$C$53:$DR$53)</f>
        <v>0</v>
      </c>
      <c r="H42" s="185">
        <f>SUMIF('Monthly CF'!$C$4:$DR$4,H$3,'Monthly CF'!$C$53:$DR$53)</f>
        <v>0</v>
      </c>
      <c r="I42" s="185">
        <f>SUMIF('Monthly CF'!$C$4:$DR$4,I$3,'Monthly CF'!$C$53:$DR$53)</f>
        <v>0</v>
      </c>
      <c r="J42" s="185">
        <f>SUMIF('Monthly CF'!$C$4:$DR$4,J$3,'Monthly CF'!$C$53:$DR$53)</f>
        <v>0</v>
      </c>
      <c r="K42" s="185">
        <f>SUMIF('Monthly CF'!$C$4:$DR$4,K$3,'Monthly CF'!$C$53:$DR$53)</f>
        <v>0</v>
      </c>
      <c r="L42" s="185">
        <f>SUMIF('Monthly CF'!$C$4:$DR$4,L$3,'Monthly CF'!$C$53:$DR$53)</f>
        <v>0</v>
      </c>
      <c r="M42" s="185">
        <f>SUMIF('Monthly CF'!$C$4:$DR$4,M$3,'Monthly CF'!$C$53:$DR$53)</f>
        <v>0</v>
      </c>
      <c r="N42" s="185">
        <f>SUMIF('Monthly CF'!$C$4:$DR$4,N$3,'Monthly CF'!$C$53:$DR$53)</f>
        <v>0</v>
      </c>
      <c r="O42" s="185">
        <f>SUMIF('Monthly CF'!$C$4:$DR$4,O$3,'Monthly CF'!$C$53:$DR$53)</f>
        <v>0</v>
      </c>
      <c r="P42" s="185">
        <f>SUMIF('Monthly CF'!$C$4:$DR$4,P$3,'Monthly CF'!$C$53:$DR$53)</f>
        <v>0</v>
      </c>
      <c r="Q42" s="185">
        <f>SUMIF('Monthly CF'!$C$4:$DR$4,Q$3,'Monthly CF'!$C$53:$DR$53)</f>
        <v>0</v>
      </c>
      <c r="R42" s="185">
        <f>SUMIF('Monthly CF'!$C$4:$DR$4,R$3,'Monthly CF'!$C$53:$DR$53)</f>
        <v>0</v>
      </c>
      <c r="S42" s="185">
        <f>SUMIF('Monthly CF'!$C$4:$DR$4,S$3,'Monthly CF'!$C$53:$DR$53)</f>
        <v>0</v>
      </c>
      <c r="T42" s="185">
        <f>SUMIF('Monthly CF'!$C$4:$DR$4,T$3,'Monthly CF'!$C$53:$DR$53)</f>
        <v>0</v>
      </c>
      <c r="U42" s="185">
        <f>SUMIF('Monthly CF'!$C$4:$DR$4,U$3,'Monthly CF'!$C$53:$DR$53)</f>
        <v>0</v>
      </c>
      <c r="V42" s="185">
        <f>SUMIF('Monthly CF'!$C$4:$DR$4,V$3,'Monthly CF'!$C$53:$DR$53)</f>
        <v>0</v>
      </c>
      <c r="W42" s="185">
        <f>SUMIF('Monthly CF'!$C$4:$DR$4,W$3,'Monthly CF'!$C$53:$DR$53)</f>
        <v>0</v>
      </c>
      <c r="X42" s="185">
        <f>SUMIF('Monthly CF'!$C$4:$DR$4,X$3,'Monthly CF'!$C$53:$DR$53)</f>
        <v>0</v>
      </c>
      <c r="Y42" s="185">
        <f>SUMIF('Monthly CF'!$C$4:$DR$4,Y$3,'Monthly CF'!$C$53:$DR$53)</f>
        <v>0</v>
      </c>
      <c r="Z42" s="185">
        <f>SUMIF('Monthly CF'!$C$4:$DR$4,Z$3,'Monthly CF'!$C$53:$DR$53)</f>
        <v>0</v>
      </c>
      <c r="AA42" s="185">
        <f>SUMIF('Monthly CF'!$C$4:$DR$4,AA$3,'Monthly CF'!$C$53:$DR$53)</f>
        <v>0</v>
      </c>
      <c r="AB42" s="185">
        <f>SUMIF('Monthly CF'!$C$4:$DR$4,AB$3,'Monthly CF'!$C$53:$DR$53)</f>
        <v>0</v>
      </c>
      <c r="AC42" s="185">
        <f>SUMIF('Monthly CF'!$C$4:$DR$4,AC$3,'Monthly CF'!$C$53:$DR$53)</f>
        <v>0</v>
      </c>
      <c r="AD42" s="185">
        <f>SUMIF('Monthly CF'!$C$4:$DR$4,AD$3,'Monthly CF'!$C$53:$DR$53)</f>
        <v>0</v>
      </c>
      <c r="AE42" s="185">
        <f>SUMIF('Monthly CF'!$C$4:$DR$4,AE$3,'Monthly CF'!$C$53:$DR$53)</f>
        <v>0</v>
      </c>
      <c r="AF42" s="185">
        <f>SUMIF('Monthly CF'!$C$4:$DR$4,AF$3,'Monthly CF'!$C$53:$DR$53)</f>
        <v>0</v>
      </c>
      <c r="AG42" s="185">
        <f>SUMIF('Monthly CF'!$C$4:$DR$4,AG$3,'Monthly CF'!$C$53:$DR$53)</f>
        <v>0</v>
      </c>
      <c r="AH42" s="185">
        <f>SUMIF('Monthly CF'!$C$4:$DR$4,AH$3,'Monthly CF'!$C$53:$DR$53)</f>
        <v>0</v>
      </c>
      <c r="AI42" s="185">
        <f>SUMIF('Monthly CF'!$C$4:$DR$4,AI$3,'Monthly CF'!$C$53:$DR$53)</f>
        <v>0</v>
      </c>
      <c r="AJ42" s="185">
        <f>SUMIF('Monthly CF'!$C$4:$DR$4,AJ$3,'Monthly CF'!$C$53:$DR$53)</f>
        <v>0</v>
      </c>
      <c r="AK42" s="185">
        <f>SUMIF('Monthly CF'!$C$4:$DR$4,AK$3,'Monthly CF'!$C$53:$DR$53)</f>
        <v>0</v>
      </c>
      <c r="AL42" s="185">
        <f>SUMIF('Monthly CF'!$C$4:$DR$4,AL$3,'Monthly CF'!$C$53:$DR$53)</f>
        <v>0</v>
      </c>
      <c r="AM42" s="185">
        <f>SUMIF('Monthly CF'!$C$4:$DR$4,AM$3,'Monthly CF'!$C$53:$DR$53)</f>
        <v>0</v>
      </c>
      <c r="AN42" s="185">
        <f>SUMIF('Monthly CF'!$C$4:$DR$4,AN$3,'Monthly CF'!$C$53:$DR$53)</f>
        <v>0</v>
      </c>
      <c r="AO42" s="185">
        <f>SUMIF('Monthly CF'!$C$4:$DR$4,AO$3,'Monthly CF'!$C$53:$DR$53)</f>
        <v>0</v>
      </c>
      <c r="AP42" s="185">
        <f>SUMIF('Monthly CF'!$C$4:$DR$4,AP$3,'Monthly CF'!$C$53:$DR$53)</f>
        <v>0</v>
      </c>
      <c r="AQ42" s="54"/>
    </row>
    <row r="43" ht="15.75" customHeight="1">
      <c r="A43" s="54"/>
      <c r="B43" s="130" t="s">
        <v>320</v>
      </c>
      <c r="C43" s="189">
        <f>SUMIF('Monthly CF'!$C$4:$DR$4,C$3,'Monthly CF'!$C$54:$DR$54)</f>
        <v>0</v>
      </c>
      <c r="D43" s="189">
        <f>SUMIF('Monthly CF'!$C$4:$DR$4,D$3,'Monthly CF'!$C$54:$DR$54)</f>
        <v>0</v>
      </c>
      <c r="E43" s="189">
        <f>SUMIF('Monthly CF'!$C$4:$DR$4,E$3,'Monthly CF'!$C$54:$DR$54)</f>
        <v>0</v>
      </c>
      <c r="F43" s="189">
        <f>SUMIF('Monthly CF'!$C$4:$DR$4,F$3,'Monthly CF'!$C$54:$DR$54)</f>
        <v>0</v>
      </c>
      <c r="G43" s="189">
        <f>SUMIF('Monthly CF'!$C$4:$DR$4,G$3,'Monthly CF'!$C$54:$DR$54)</f>
        <v>0</v>
      </c>
      <c r="H43" s="189">
        <f>SUMIF('Monthly CF'!$C$4:$DR$4,H$3,'Monthly CF'!$C$54:$DR$54)</f>
        <v>0</v>
      </c>
      <c r="I43" s="189">
        <f>SUMIF('Monthly CF'!$C$4:$DR$4,I$3,'Monthly CF'!$C$54:$DR$54)</f>
        <v>0</v>
      </c>
      <c r="J43" s="189">
        <f>SUMIF('Monthly CF'!$C$4:$DR$4,J$3,'Monthly CF'!$C$54:$DR$54)</f>
        <v>0</v>
      </c>
      <c r="K43" s="189">
        <f>SUMIF('Monthly CF'!$C$4:$DR$4,K$3,'Monthly CF'!$C$54:$DR$54)</f>
        <v>0</v>
      </c>
      <c r="L43" s="189">
        <f>SUMIF('Monthly CF'!$C$4:$DR$4,L$3,'Monthly CF'!$C$54:$DR$54)</f>
        <v>0</v>
      </c>
      <c r="M43" s="189">
        <f>SUMIF('Monthly CF'!$C$4:$DR$4,M$3,'Monthly CF'!$C$54:$DR$54)</f>
        <v>0</v>
      </c>
      <c r="N43" s="189">
        <f>SUMIF('Monthly CF'!$C$4:$DR$4,N$3,'Monthly CF'!$C$54:$DR$54)</f>
        <v>0</v>
      </c>
      <c r="O43" s="189">
        <f>SUMIF('Monthly CF'!$C$4:$DR$4,O$3,'Monthly CF'!$C$54:$DR$54)</f>
        <v>0</v>
      </c>
      <c r="P43" s="189">
        <f>SUMIF('Monthly CF'!$C$4:$DR$4,P$3,'Monthly CF'!$C$54:$DR$54)</f>
        <v>0</v>
      </c>
      <c r="Q43" s="189">
        <f>SUMIF('Monthly CF'!$C$4:$DR$4,Q$3,'Monthly CF'!$C$54:$DR$54)</f>
        <v>0</v>
      </c>
      <c r="R43" s="189">
        <f>SUMIF('Monthly CF'!$C$4:$DR$4,R$3,'Monthly CF'!$C$54:$DR$54)</f>
        <v>0</v>
      </c>
      <c r="S43" s="189">
        <f>SUMIF('Monthly CF'!$C$4:$DR$4,S$3,'Monthly CF'!$C$54:$DR$54)</f>
        <v>0</v>
      </c>
      <c r="T43" s="189">
        <f>SUMIF('Monthly CF'!$C$4:$DR$4,T$3,'Monthly CF'!$C$54:$DR$54)</f>
        <v>0</v>
      </c>
      <c r="U43" s="189">
        <f>SUMIF('Monthly CF'!$C$4:$DR$4,U$3,'Monthly CF'!$C$54:$DR$54)</f>
        <v>0</v>
      </c>
      <c r="V43" s="189">
        <f>SUMIF('Monthly CF'!$C$4:$DR$4,V$3,'Monthly CF'!$C$54:$DR$54)</f>
        <v>0</v>
      </c>
      <c r="W43" s="189">
        <f>SUMIF('Monthly CF'!$C$4:$DR$4,W$3,'Monthly CF'!$C$54:$DR$54)</f>
        <v>0</v>
      </c>
      <c r="X43" s="189">
        <f>SUMIF('Monthly CF'!$C$4:$DR$4,X$3,'Monthly CF'!$C$54:$DR$54)</f>
        <v>0</v>
      </c>
      <c r="Y43" s="189">
        <f>SUMIF('Monthly CF'!$C$4:$DR$4,Y$3,'Monthly CF'!$C$54:$DR$54)</f>
        <v>0</v>
      </c>
      <c r="Z43" s="189">
        <f>SUMIF('Monthly CF'!$C$4:$DR$4,Z$3,'Monthly CF'!$C$54:$DR$54)</f>
        <v>0</v>
      </c>
      <c r="AA43" s="189">
        <f>SUMIF('Monthly CF'!$C$4:$DR$4,AA$3,'Monthly CF'!$C$54:$DR$54)</f>
        <v>0</v>
      </c>
      <c r="AB43" s="189">
        <f>SUMIF('Monthly CF'!$C$4:$DR$4,AB$3,'Monthly CF'!$C$54:$DR$54)</f>
        <v>0</v>
      </c>
      <c r="AC43" s="189">
        <f>SUMIF('Monthly CF'!$C$4:$DR$4,AC$3,'Monthly CF'!$C$54:$DR$54)</f>
        <v>0</v>
      </c>
      <c r="AD43" s="189">
        <f>SUMIF('Monthly CF'!$C$4:$DR$4,AD$3,'Monthly CF'!$C$54:$DR$54)</f>
        <v>0</v>
      </c>
      <c r="AE43" s="189">
        <f>SUMIF('Monthly CF'!$C$4:$DR$4,AE$3,'Monthly CF'!$C$54:$DR$54)</f>
        <v>0</v>
      </c>
      <c r="AF43" s="189">
        <f>SUMIF('Monthly CF'!$C$4:$DR$4,AF$3,'Monthly CF'!$C$54:$DR$54)</f>
        <v>0</v>
      </c>
      <c r="AG43" s="189">
        <f>SUMIF('Monthly CF'!$C$4:$DR$4,AG$3,'Monthly CF'!$C$54:$DR$54)</f>
        <v>0</v>
      </c>
      <c r="AH43" s="189">
        <f>SUMIF('Monthly CF'!$C$4:$DR$4,AH$3,'Monthly CF'!$C$54:$DR$54)</f>
        <v>0</v>
      </c>
      <c r="AI43" s="189">
        <f>SUMIF('Monthly CF'!$C$4:$DR$4,AI$3,'Monthly CF'!$C$54:$DR$54)</f>
        <v>0</v>
      </c>
      <c r="AJ43" s="189">
        <f>SUMIF('Monthly CF'!$C$4:$DR$4,AJ$3,'Monthly CF'!$C$54:$DR$54)</f>
        <v>0</v>
      </c>
      <c r="AK43" s="189">
        <f>SUMIF('Monthly CF'!$C$4:$DR$4,AK$3,'Monthly CF'!$C$54:$DR$54)</f>
        <v>0</v>
      </c>
      <c r="AL43" s="189">
        <f>SUMIF('Monthly CF'!$C$4:$DR$4,AL$3,'Monthly CF'!$C$54:$DR$54)</f>
        <v>0</v>
      </c>
      <c r="AM43" s="189">
        <f>SUMIF('Monthly CF'!$C$4:$DR$4,AM$3,'Monthly CF'!$C$54:$DR$54)</f>
        <v>0</v>
      </c>
      <c r="AN43" s="189">
        <f>SUMIF('Monthly CF'!$C$4:$DR$4,AN$3,'Monthly CF'!$C$54:$DR$54)</f>
        <v>0</v>
      </c>
      <c r="AO43" s="189">
        <f>SUMIF('Monthly CF'!$C$4:$DR$4,AO$3,'Monthly CF'!$C$54:$DR$54)</f>
        <v>0</v>
      </c>
      <c r="AP43" s="189">
        <f>SUMIF('Monthly CF'!$C$4:$DR$4,AP$3,'Monthly CF'!$C$54:$DR$54)</f>
        <v>0</v>
      </c>
      <c r="AQ43" s="54"/>
    </row>
    <row r="44" ht="15.75" customHeight="1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</row>
    <row r="45" ht="15.75" customHeight="1">
      <c r="A45" s="54"/>
      <c r="B45" s="27" t="s">
        <v>321</v>
      </c>
      <c r="C45" s="193">
        <f>SUMIF('Monthly CF'!$C$4:$DR$4,C$3,'Monthly CF'!$C$56:$DR$56)</f>
        <v>-5000</v>
      </c>
      <c r="D45" s="193">
        <f>SUMIF('Monthly CF'!$C$4:$DR$4,D$3,'Monthly CF'!$C$56:$DR$56)</f>
        <v>0</v>
      </c>
      <c r="E45" s="193">
        <f>SUMIF('Monthly CF'!$C$4:$DR$4,E$3,'Monthly CF'!$C$56:$DR$56)</f>
        <v>0</v>
      </c>
      <c r="F45" s="193">
        <f>SUMIF('Monthly CF'!$C$4:$DR$4,F$3,'Monthly CF'!$C$56:$DR$56)</f>
        <v>0</v>
      </c>
      <c r="G45" s="193">
        <f>SUMIF('Monthly CF'!$C$4:$DR$4,G$3,'Monthly CF'!$C$56:$DR$56)</f>
        <v>0</v>
      </c>
      <c r="H45" s="193">
        <f>SUMIF('Monthly CF'!$C$4:$DR$4,H$3,'Monthly CF'!$C$56:$DR$56)</f>
        <v>0</v>
      </c>
      <c r="I45" s="193">
        <f>SUMIF('Monthly CF'!$C$4:$DR$4,I$3,'Monthly CF'!$C$56:$DR$56)</f>
        <v>0</v>
      </c>
      <c r="J45" s="193">
        <f>SUMIF('Monthly CF'!$C$4:$DR$4,J$3,'Monthly CF'!$C$56:$DR$56)</f>
        <v>0</v>
      </c>
      <c r="K45" s="193">
        <f>SUMIF('Monthly CF'!$C$4:$DR$4,K$3,'Monthly CF'!$C$56:$DR$56)</f>
        <v>0</v>
      </c>
      <c r="L45" s="193">
        <f>SUMIF('Monthly CF'!$C$4:$DR$4,L$3,'Monthly CF'!$C$56:$DR$56)</f>
        <v>0</v>
      </c>
      <c r="M45" s="193">
        <f>SUMIF('Monthly CF'!$C$4:$DR$4,M$3,'Monthly CF'!$C$56:$DR$56)</f>
        <v>0</v>
      </c>
      <c r="N45" s="193">
        <f>SUMIF('Monthly CF'!$C$4:$DR$4,N$3,'Monthly CF'!$C$56:$DR$56)</f>
        <v>0</v>
      </c>
      <c r="O45" s="193">
        <f>SUMIF('Monthly CF'!$C$4:$DR$4,O$3,'Monthly CF'!$C$56:$DR$56)</f>
        <v>0</v>
      </c>
      <c r="P45" s="193">
        <f>SUMIF('Monthly CF'!$C$4:$DR$4,P$3,'Monthly CF'!$C$56:$DR$56)</f>
        <v>0</v>
      </c>
      <c r="Q45" s="193">
        <f>SUMIF('Monthly CF'!$C$4:$DR$4,Q$3,'Monthly CF'!$C$56:$DR$56)</f>
        <v>0</v>
      </c>
      <c r="R45" s="193">
        <f>SUMIF('Monthly CF'!$C$4:$DR$4,R$3,'Monthly CF'!$C$56:$DR$56)</f>
        <v>0</v>
      </c>
      <c r="S45" s="193">
        <f>SUMIF('Monthly CF'!$C$4:$DR$4,S$3,'Monthly CF'!$C$56:$DR$56)</f>
        <v>0</v>
      </c>
      <c r="T45" s="193">
        <f>SUMIF('Monthly CF'!$C$4:$DR$4,T$3,'Monthly CF'!$C$56:$DR$56)</f>
        <v>0</v>
      </c>
      <c r="U45" s="193">
        <f>SUMIF('Monthly CF'!$C$4:$DR$4,U$3,'Monthly CF'!$C$56:$DR$56)</f>
        <v>0</v>
      </c>
      <c r="V45" s="193">
        <f>SUMIF('Monthly CF'!$C$4:$DR$4,V$3,'Monthly CF'!$C$56:$DR$56)</f>
        <v>0</v>
      </c>
      <c r="W45" s="193">
        <f>SUMIF('Monthly CF'!$C$4:$DR$4,W$3,'Monthly CF'!$C$56:$DR$56)</f>
        <v>0</v>
      </c>
      <c r="X45" s="193">
        <f>SUMIF('Monthly CF'!$C$4:$DR$4,X$3,'Monthly CF'!$C$56:$DR$56)</f>
        <v>0</v>
      </c>
      <c r="Y45" s="193">
        <f>SUMIF('Monthly CF'!$C$4:$DR$4,Y$3,'Monthly CF'!$C$56:$DR$56)</f>
        <v>0</v>
      </c>
      <c r="Z45" s="193">
        <f>SUMIF('Monthly CF'!$C$4:$DR$4,Z$3,'Monthly CF'!$C$56:$DR$56)</f>
        <v>0</v>
      </c>
      <c r="AA45" s="193">
        <f>SUMIF('Monthly CF'!$C$4:$DR$4,AA$3,'Monthly CF'!$C$56:$DR$56)</f>
        <v>0</v>
      </c>
      <c r="AB45" s="193">
        <f>SUMIF('Monthly CF'!$C$4:$DR$4,AB$3,'Monthly CF'!$C$56:$DR$56)</f>
        <v>0</v>
      </c>
      <c r="AC45" s="193">
        <f>SUMIF('Monthly CF'!$C$4:$DR$4,AC$3,'Monthly CF'!$C$56:$DR$56)</f>
        <v>0</v>
      </c>
      <c r="AD45" s="193">
        <f>SUMIF('Monthly CF'!$C$4:$DR$4,AD$3,'Monthly CF'!$C$56:$DR$56)</f>
        <v>0</v>
      </c>
      <c r="AE45" s="193">
        <f>SUMIF('Monthly CF'!$C$4:$DR$4,AE$3,'Monthly CF'!$C$56:$DR$56)</f>
        <v>0</v>
      </c>
      <c r="AF45" s="193">
        <f>SUMIF('Monthly CF'!$C$4:$DR$4,AF$3,'Monthly CF'!$C$56:$DR$56)</f>
        <v>0</v>
      </c>
      <c r="AG45" s="193">
        <f>SUMIF('Monthly CF'!$C$4:$DR$4,AG$3,'Monthly CF'!$C$56:$DR$56)</f>
        <v>0</v>
      </c>
      <c r="AH45" s="193">
        <f>SUMIF('Monthly CF'!$C$4:$DR$4,AH$3,'Monthly CF'!$C$56:$DR$56)</f>
        <v>0</v>
      </c>
      <c r="AI45" s="193">
        <f>SUMIF('Monthly CF'!$C$4:$DR$4,AI$3,'Monthly CF'!$C$56:$DR$56)</f>
        <v>0</v>
      </c>
      <c r="AJ45" s="193">
        <f>SUMIF('Monthly CF'!$C$4:$DR$4,AJ$3,'Monthly CF'!$C$56:$DR$56)</f>
        <v>0</v>
      </c>
      <c r="AK45" s="193">
        <f>SUMIF('Monthly CF'!$C$4:$DR$4,AK$3,'Monthly CF'!$C$56:$DR$56)</f>
        <v>0</v>
      </c>
      <c r="AL45" s="193">
        <f>SUMIF('Monthly CF'!$C$4:$DR$4,AL$3,'Monthly CF'!$C$56:$DR$56)</f>
        <v>0</v>
      </c>
      <c r="AM45" s="193">
        <f>SUMIF('Monthly CF'!$C$4:$DR$4,AM$3,'Monthly CF'!$C$56:$DR$56)</f>
        <v>0</v>
      </c>
      <c r="AN45" s="193">
        <f>SUMIF('Monthly CF'!$C$4:$DR$4,AN$3,'Monthly CF'!$C$56:$DR$56)</f>
        <v>0</v>
      </c>
      <c r="AO45" s="193">
        <f>SUMIF('Monthly CF'!$C$4:$DR$4,AO$3,'Monthly CF'!$C$56:$DR$56)</f>
        <v>0</v>
      </c>
      <c r="AP45" s="193">
        <f>SUMIF('Monthly CF'!$C$4:$DR$4,AP$3,'Monthly CF'!$C$56:$DR$56)</f>
        <v>0</v>
      </c>
      <c r="AQ45" s="54"/>
    </row>
    <row r="46" ht="15.75" customHeight="1">
      <c r="A46" s="54"/>
      <c r="B46" s="5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</row>
    <row r="47" ht="15.75" customHeight="1">
      <c r="A47" s="54"/>
      <c r="B47" s="130" t="s">
        <v>322</v>
      </c>
      <c r="C47" s="195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</row>
    <row r="48" ht="15.75" customHeight="1">
      <c r="A48" s="54"/>
      <c r="B48" s="104" t="s">
        <v>323</v>
      </c>
      <c r="C48" s="196">
        <f t="array" ref="C48">INDEX('Monthly CF'!$C$59:$DR$59,MATCH((C$3-1)*3+1,'Monthly CF'!$C$3:$DR$3,0))</f>
        <v>0</v>
      </c>
      <c r="D48" s="196">
        <f t="array" ref="D48">INDEX('Monthly CF'!$C$59:$DR$59,MATCH((D$3-1)*3+1,'Monthly CF'!$C$3:$DR$3,0))</f>
        <v>0</v>
      </c>
      <c r="E48" s="196">
        <f t="array" ref="E48">INDEX('Monthly CF'!$C$59:$DR$59,MATCH((E$3-1)*3+1,'Monthly CF'!$C$3:$DR$3,0))</f>
        <v>0</v>
      </c>
      <c r="F48" s="196">
        <f t="array" ref="F48">INDEX('Monthly CF'!$C$59:$DR$59,MATCH((F$3-1)*3+1,'Monthly CF'!$C$3:$DR$3,0))</f>
        <v>0</v>
      </c>
      <c r="G48" s="196">
        <f t="array" ref="G48">INDEX('Monthly CF'!$C$59:$DR$59,MATCH((G$3-1)*3+1,'Monthly CF'!$C$3:$DR$3,0))</f>
        <v>0</v>
      </c>
      <c r="H48" s="196">
        <f t="array" ref="H48">INDEX('Monthly CF'!$C$59:$DR$59,MATCH((H$3-1)*3+1,'Monthly CF'!$C$3:$DR$3,0))</f>
        <v>0</v>
      </c>
      <c r="I48" s="196">
        <f t="array" ref="I48">INDEX('Monthly CF'!$C$59:$DR$59,MATCH((I$3-1)*3+1,'Monthly CF'!$C$3:$DR$3,0))</f>
        <v>0</v>
      </c>
      <c r="J48" s="196">
        <f t="array" ref="J48">INDEX('Monthly CF'!$C$59:$DR$59,MATCH((J$3-1)*3+1,'Monthly CF'!$C$3:$DR$3,0))</f>
        <v>0</v>
      </c>
      <c r="K48" s="196">
        <f t="array" ref="K48">INDEX('Monthly CF'!$C$59:$DR$59,MATCH((K$3-1)*3+1,'Monthly CF'!$C$3:$DR$3,0))</f>
        <v>0</v>
      </c>
      <c r="L48" s="196">
        <f t="array" ref="L48">INDEX('Monthly CF'!$C$59:$DR$59,MATCH((L$3-1)*3+1,'Monthly CF'!$C$3:$DR$3,0))</f>
        <v>0</v>
      </c>
      <c r="M48" s="196">
        <f t="array" ref="M48">INDEX('Monthly CF'!$C$59:$DR$59,MATCH((M$3-1)*3+1,'Monthly CF'!$C$3:$DR$3,0))</f>
        <v>0</v>
      </c>
      <c r="N48" s="196">
        <f t="array" ref="N48">INDEX('Monthly CF'!$C$59:$DR$59,MATCH((N$3-1)*3+1,'Monthly CF'!$C$3:$DR$3,0))</f>
        <v>0</v>
      </c>
      <c r="O48" s="196">
        <f t="array" ref="O48">INDEX('Monthly CF'!$C$59:$DR$59,MATCH((O$3-1)*3+1,'Monthly CF'!$C$3:$DR$3,0))</f>
        <v>0</v>
      </c>
      <c r="P48" s="196">
        <f t="array" ref="P48">INDEX('Monthly CF'!$C$59:$DR$59,MATCH((P$3-1)*3+1,'Monthly CF'!$C$3:$DR$3,0))</f>
        <v>0</v>
      </c>
      <c r="Q48" s="196">
        <f t="array" ref="Q48">INDEX('Monthly CF'!$C$59:$DR$59,MATCH((Q$3-1)*3+1,'Monthly CF'!$C$3:$DR$3,0))</f>
        <v>0</v>
      </c>
      <c r="R48" s="196">
        <f t="array" ref="R48">INDEX('Monthly CF'!$C$59:$DR$59,MATCH((R$3-1)*3+1,'Monthly CF'!$C$3:$DR$3,0))</f>
        <v>0</v>
      </c>
      <c r="S48" s="196">
        <f t="array" ref="S48">INDEX('Monthly CF'!$C$59:$DR$59,MATCH((S$3-1)*3+1,'Monthly CF'!$C$3:$DR$3,0))</f>
        <v>0</v>
      </c>
      <c r="T48" s="196">
        <f t="array" ref="T48">INDEX('Monthly CF'!$C$59:$DR$59,MATCH((T$3-1)*3+1,'Monthly CF'!$C$3:$DR$3,0))</f>
        <v>0</v>
      </c>
      <c r="U48" s="196">
        <f t="array" ref="U48">INDEX('Monthly CF'!$C$59:$DR$59,MATCH((U$3-1)*3+1,'Monthly CF'!$C$3:$DR$3,0))</f>
        <v>0</v>
      </c>
      <c r="V48" s="196">
        <f t="array" ref="V48">INDEX('Monthly CF'!$C$59:$DR$59,MATCH((V$3-1)*3+1,'Monthly CF'!$C$3:$DR$3,0))</f>
        <v>0</v>
      </c>
      <c r="W48" s="196">
        <f t="array" ref="W48">INDEX('Monthly CF'!$C$59:$DR$59,MATCH((W$3-1)*3+1,'Monthly CF'!$C$3:$DR$3,0))</f>
        <v>0</v>
      </c>
      <c r="X48" s="196">
        <f t="array" ref="X48">INDEX('Monthly CF'!$C$59:$DR$59,MATCH((X$3-1)*3+1,'Monthly CF'!$C$3:$DR$3,0))</f>
        <v>0</v>
      </c>
      <c r="Y48" s="196">
        <f t="array" ref="Y48">INDEX('Monthly CF'!$C$59:$DR$59,MATCH((Y$3-1)*3+1,'Monthly CF'!$C$3:$DR$3,0))</f>
        <v>0</v>
      </c>
      <c r="Z48" s="196">
        <f t="array" ref="Z48">INDEX('Monthly CF'!$C$59:$DR$59,MATCH((Z$3-1)*3+1,'Monthly CF'!$C$3:$DR$3,0))</f>
        <v>0</v>
      </c>
      <c r="AA48" s="196">
        <f t="array" ref="AA48">INDEX('Monthly CF'!$C$59:$DR$59,MATCH((AA$3-1)*3+1,'Monthly CF'!$C$3:$DR$3,0))</f>
        <v>0</v>
      </c>
      <c r="AB48" s="196">
        <f t="array" ref="AB48">INDEX('Monthly CF'!$C$59:$DR$59,MATCH((AB$3-1)*3+1,'Monthly CF'!$C$3:$DR$3,0))</f>
        <v>0</v>
      </c>
      <c r="AC48" s="196">
        <f t="array" ref="AC48">INDEX('Monthly CF'!$C$59:$DR$59,MATCH((AC$3-1)*3+1,'Monthly CF'!$C$3:$DR$3,0))</f>
        <v>0</v>
      </c>
      <c r="AD48" s="196">
        <f t="array" ref="AD48">INDEX('Monthly CF'!$C$59:$DR$59,MATCH((AD$3-1)*3+1,'Monthly CF'!$C$3:$DR$3,0))</f>
        <v>0</v>
      </c>
      <c r="AE48" s="196">
        <f t="array" ref="AE48">INDEX('Monthly CF'!$C$59:$DR$59,MATCH((AE$3-1)*3+1,'Monthly CF'!$C$3:$DR$3,0))</f>
        <v>0</v>
      </c>
      <c r="AF48" s="196">
        <f t="array" ref="AF48">INDEX('Monthly CF'!$C$59:$DR$59,MATCH((AF$3-1)*3+1,'Monthly CF'!$C$3:$DR$3,0))</f>
        <v>0</v>
      </c>
      <c r="AG48" s="196">
        <f t="array" ref="AG48">INDEX('Monthly CF'!$C$59:$DR$59,MATCH((AG$3-1)*3+1,'Monthly CF'!$C$3:$DR$3,0))</f>
        <v>0</v>
      </c>
      <c r="AH48" s="196">
        <f t="array" ref="AH48">INDEX('Monthly CF'!$C$59:$DR$59,MATCH((AH$3-1)*3+1,'Monthly CF'!$C$3:$DR$3,0))</f>
        <v>0</v>
      </c>
      <c r="AI48" s="196">
        <f t="array" ref="AI48">INDEX('Monthly CF'!$C$59:$DR$59,MATCH((AI$3-1)*3+1,'Monthly CF'!$C$3:$DR$3,0))</f>
        <v>0</v>
      </c>
      <c r="AJ48" s="196">
        <f t="array" ref="AJ48">INDEX('Monthly CF'!$C$59:$DR$59,MATCH((AJ$3-1)*3+1,'Monthly CF'!$C$3:$DR$3,0))</f>
        <v>0</v>
      </c>
      <c r="AK48" s="196">
        <f t="array" ref="AK48">INDEX('Monthly CF'!$C$59:$DR$59,MATCH((AK$3-1)*3+1,'Monthly CF'!$C$3:$DR$3,0))</f>
        <v>0</v>
      </c>
      <c r="AL48" s="196">
        <f t="array" ref="AL48">INDEX('Monthly CF'!$C$59:$DR$59,MATCH((AL$3-1)*3+1,'Monthly CF'!$C$3:$DR$3,0))</f>
        <v>0</v>
      </c>
      <c r="AM48" s="196">
        <f t="array" ref="AM48">INDEX('Monthly CF'!$C$59:$DR$59,MATCH((AM$3-1)*3+1,'Monthly CF'!$C$3:$DR$3,0))</f>
        <v>0</v>
      </c>
      <c r="AN48" s="196">
        <f t="array" ref="AN48">INDEX('Monthly CF'!$C$59:$DR$59,MATCH((AN$3-1)*3+1,'Monthly CF'!$C$3:$DR$3,0))</f>
        <v>0</v>
      </c>
      <c r="AO48" s="196">
        <f t="array" ref="AO48">INDEX('Monthly CF'!$C$59:$DR$59,MATCH((AO$3-1)*3+1,'Monthly CF'!$C$3:$DR$3,0))</f>
        <v>0</v>
      </c>
      <c r="AP48" s="196">
        <f t="array" ref="AP48">INDEX('Monthly CF'!$C$59:$DR$59,MATCH((AP$3-1)*3+1,'Monthly CF'!$C$3:$DR$3,0))</f>
        <v>0</v>
      </c>
      <c r="AQ48" s="196" t="str">
        <f t="array" ref="AQ48">INDEX('Monthly CF'!$C$59:$DR$59,MATCH((AQ$3-1)*3+1,'Monthly CF'!$C$3:$DR$3,0))</f>
        <v>#N/A</v>
      </c>
    </row>
    <row r="49" ht="15.75" customHeight="1">
      <c r="A49" s="54"/>
      <c r="B49" s="104" t="s">
        <v>324</v>
      </c>
      <c r="C49" s="196">
        <f>SUMIF('Monthly CF'!$C$4:$DR$4,C$3,'Monthly CF'!$C$60:$DR$60)</f>
        <v>0</v>
      </c>
      <c r="D49" s="196">
        <f>SUMIF('Monthly CF'!$C$4:$DR$4,D$3,'Monthly CF'!$C$60:$DR$60)</f>
        <v>0</v>
      </c>
      <c r="E49" s="196">
        <f>SUMIF('Monthly CF'!$C$4:$DR$4,E$3,'Monthly CF'!$C$60:$DR$60)</f>
        <v>0</v>
      </c>
      <c r="F49" s="196">
        <f>SUMIF('Monthly CF'!$C$4:$DR$4,F$3,'Monthly CF'!$C$60:$DR$60)</f>
        <v>0</v>
      </c>
      <c r="G49" s="196">
        <f>SUMIF('Monthly CF'!$C$4:$DR$4,G$3,'Monthly CF'!$C$60:$DR$60)</f>
        <v>0</v>
      </c>
      <c r="H49" s="196">
        <f>SUMIF('Monthly CF'!$C$4:$DR$4,H$3,'Monthly CF'!$C$60:$DR$60)</f>
        <v>0</v>
      </c>
      <c r="I49" s="196">
        <f>SUMIF('Monthly CF'!$C$4:$DR$4,I$3,'Monthly CF'!$C$60:$DR$60)</f>
        <v>0</v>
      </c>
      <c r="J49" s="196">
        <f>SUMIF('Monthly CF'!$C$4:$DR$4,J$3,'Monthly CF'!$C$60:$DR$60)</f>
        <v>0</v>
      </c>
      <c r="K49" s="196">
        <f>SUMIF('Monthly CF'!$C$4:$DR$4,K$3,'Monthly CF'!$C$60:$DR$60)</f>
        <v>0</v>
      </c>
      <c r="L49" s="196">
        <f>SUMIF('Monthly CF'!$C$4:$DR$4,L$3,'Monthly CF'!$C$60:$DR$60)</f>
        <v>0</v>
      </c>
      <c r="M49" s="196">
        <f>SUMIF('Monthly CF'!$C$4:$DR$4,M$3,'Monthly CF'!$C$60:$DR$60)</f>
        <v>0</v>
      </c>
      <c r="N49" s="196">
        <f>SUMIF('Monthly CF'!$C$4:$DR$4,N$3,'Monthly CF'!$C$60:$DR$60)</f>
        <v>0</v>
      </c>
      <c r="O49" s="196">
        <f>SUMIF('Monthly CF'!$C$4:$DR$4,O$3,'Monthly CF'!$C$60:$DR$60)</f>
        <v>0</v>
      </c>
      <c r="P49" s="196">
        <f>SUMIF('Monthly CF'!$C$4:$DR$4,P$3,'Monthly CF'!$C$60:$DR$60)</f>
        <v>0</v>
      </c>
      <c r="Q49" s="196">
        <f>SUMIF('Monthly CF'!$C$4:$DR$4,Q$3,'Monthly CF'!$C$60:$DR$60)</f>
        <v>0</v>
      </c>
      <c r="R49" s="196">
        <f>SUMIF('Monthly CF'!$C$4:$DR$4,R$3,'Monthly CF'!$C$60:$DR$60)</f>
        <v>0</v>
      </c>
      <c r="S49" s="196">
        <f>SUMIF('Monthly CF'!$C$4:$DR$4,S$3,'Monthly CF'!$C$60:$DR$60)</f>
        <v>0</v>
      </c>
      <c r="T49" s="196">
        <f>SUMIF('Monthly CF'!$C$4:$DR$4,T$3,'Monthly CF'!$C$60:$DR$60)</f>
        <v>0</v>
      </c>
      <c r="U49" s="196">
        <f>SUMIF('Monthly CF'!$C$4:$DR$4,U$3,'Monthly CF'!$C$60:$DR$60)</f>
        <v>0</v>
      </c>
      <c r="V49" s="196">
        <f>SUMIF('Monthly CF'!$C$4:$DR$4,V$3,'Monthly CF'!$C$60:$DR$60)</f>
        <v>0</v>
      </c>
      <c r="W49" s="196">
        <f>SUMIF('Monthly CF'!$C$4:$DR$4,W$3,'Monthly CF'!$C$60:$DR$60)</f>
        <v>0</v>
      </c>
      <c r="X49" s="196">
        <f>SUMIF('Monthly CF'!$C$4:$DR$4,X$3,'Monthly CF'!$C$60:$DR$60)</f>
        <v>0</v>
      </c>
      <c r="Y49" s="196">
        <f>SUMIF('Monthly CF'!$C$4:$DR$4,Y$3,'Monthly CF'!$C$60:$DR$60)</f>
        <v>0</v>
      </c>
      <c r="Z49" s="196">
        <f>SUMIF('Monthly CF'!$C$4:$DR$4,Z$3,'Monthly CF'!$C$60:$DR$60)</f>
        <v>0</v>
      </c>
      <c r="AA49" s="196">
        <f>SUMIF('Monthly CF'!$C$4:$DR$4,AA$3,'Monthly CF'!$C$60:$DR$60)</f>
        <v>0</v>
      </c>
      <c r="AB49" s="196">
        <f>SUMIF('Monthly CF'!$C$4:$DR$4,AB$3,'Monthly CF'!$C$60:$DR$60)</f>
        <v>0</v>
      </c>
      <c r="AC49" s="196">
        <f>SUMIF('Monthly CF'!$C$4:$DR$4,AC$3,'Monthly CF'!$C$60:$DR$60)</f>
        <v>0</v>
      </c>
      <c r="AD49" s="196">
        <f>SUMIF('Monthly CF'!$C$4:$DR$4,AD$3,'Monthly CF'!$C$60:$DR$60)</f>
        <v>0</v>
      </c>
      <c r="AE49" s="196">
        <f>SUMIF('Monthly CF'!$C$4:$DR$4,AE$3,'Monthly CF'!$C$60:$DR$60)</f>
        <v>0</v>
      </c>
      <c r="AF49" s="196">
        <f>SUMIF('Monthly CF'!$C$4:$DR$4,AF$3,'Monthly CF'!$C$60:$DR$60)</f>
        <v>0</v>
      </c>
      <c r="AG49" s="196">
        <f>SUMIF('Monthly CF'!$C$4:$DR$4,AG$3,'Monthly CF'!$C$60:$DR$60)</f>
        <v>0</v>
      </c>
      <c r="AH49" s="196">
        <f>SUMIF('Monthly CF'!$C$4:$DR$4,AH$3,'Monthly CF'!$C$60:$DR$60)</f>
        <v>0</v>
      </c>
      <c r="AI49" s="196">
        <f>SUMIF('Monthly CF'!$C$4:$DR$4,AI$3,'Monthly CF'!$C$60:$DR$60)</f>
        <v>0</v>
      </c>
      <c r="AJ49" s="196">
        <f>SUMIF('Monthly CF'!$C$4:$DR$4,AJ$3,'Monthly CF'!$C$60:$DR$60)</f>
        <v>0</v>
      </c>
      <c r="AK49" s="196">
        <f>SUMIF('Monthly CF'!$C$4:$DR$4,AK$3,'Monthly CF'!$C$60:$DR$60)</f>
        <v>0</v>
      </c>
      <c r="AL49" s="196">
        <f>SUMIF('Monthly CF'!$C$4:$DR$4,AL$3,'Monthly CF'!$C$60:$DR$60)</f>
        <v>0</v>
      </c>
      <c r="AM49" s="196">
        <f>SUMIF('Monthly CF'!$C$4:$DR$4,AM$3,'Monthly CF'!$C$60:$DR$60)</f>
        <v>0</v>
      </c>
      <c r="AN49" s="196">
        <f>SUMIF('Monthly CF'!$C$4:$DR$4,AN$3,'Monthly CF'!$C$60:$DR$60)</f>
        <v>0</v>
      </c>
      <c r="AO49" s="196">
        <f>SUMIF('Monthly CF'!$C$4:$DR$4,AO$3,'Monthly CF'!$C$60:$DR$60)</f>
        <v>0</v>
      </c>
      <c r="AP49" s="196">
        <f>SUMIF('Monthly CF'!$C$4:$DR$4,AP$3,'Monthly CF'!$C$60:$DR$60)</f>
        <v>0</v>
      </c>
      <c r="AQ49" s="196">
        <f>SUMIF('Monthly CF'!$C$4:$DR$4,AQ$3,'Monthly CF'!$C$60:$DR$60)</f>
        <v>0</v>
      </c>
    </row>
    <row r="50" ht="15.75" customHeight="1">
      <c r="A50" s="54"/>
      <c r="B50" s="104" t="s">
        <v>325</v>
      </c>
      <c r="C50" s="196">
        <f>SUMIF('Monthly CF'!$C$4:$DR$4,C$3,'Monthly CF'!$C$61:$DR$61)</f>
        <v>0</v>
      </c>
      <c r="D50" s="196">
        <f>SUMIF('Monthly CF'!$C$4:$DR$4,D$3,'Monthly CF'!$C$61:$DR$61)</f>
        <v>0</v>
      </c>
      <c r="E50" s="196">
        <f>SUMIF('Monthly CF'!$C$4:$DR$4,E$3,'Monthly CF'!$C$61:$DR$61)</f>
        <v>0</v>
      </c>
      <c r="F50" s="196">
        <f>SUMIF('Monthly CF'!$C$4:$DR$4,F$3,'Monthly CF'!$C$61:$DR$61)</f>
        <v>0</v>
      </c>
      <c r="G50" s="196">
        <f>SUMIF('Monthly CF'!$C$4:$DR$4,G$3,'Monthly CF'!$C$61:$DR$61)</f>
        <v>0</v>
      </c>
      <c r="H50" s="196">
        <f>SUMIF('Monthly CF'!$C$4:$DR$4,H$3,'Monthly CF'!$C$61:$DR$61)</f>
        <v>0</v>
      </c>
      <c r="I50" s="196">
        <f>SUMIF('Monthly CF'!$C$4:$DR$4,I$3,'Monthly CF'!$C$61:$DR$61)</f>
        <v>0</v>
      </c>
      <c r="J50" s="196">
        <f>SUMIF('Monthly CF'!$C$4:$DR$4,J$3,'Monthly CF'!$C$61:$DR$61)</f>
        <v>0</v>
      </c>
      <c r="K50" s="196">
        <f>SUMIF('Monthly CF'!$C$4:$DR$4,K$3,'Monthly CF'!$C$61:$DR$61)</f>
        <v>0</v>
      </c>
      <c r="L50" s="196">
        <f>SUMIF('Monthly CF'!$C$4:$DR$4,L$3,'Monthly CF'!$C$61:$DR$61)</f>
        <v>0</v>
      </c>
      <c r="M50" s="196">
        <f>SUMIF('Monthly CF'!$C$4:$DR$4,M$3,'Monthly CF'!$C$61:$DR$61)</f>
        <v>0</v>
      </c>
      <c r="N50" s="196">
        <f>SUMIF('Monthly CF'!$C$4:$DR$4,N$3,'Monthly CF'!$C$61:$DR$61)</f>
        <v>0</v>
      </c>
      <c r="O50" s="196">
        <f>SUMIF('Monthly CF'!$C$4:$DR$4,O$3,'Monthly CF'!$C$61:$DR$61)</f>
        <v>0</v>
      </c>
      <c r="P50" s="196">
        <f>SUMIF('Monthly CF'!$C$4:$DR$4,P$3,'Monthly CF'!$C$61:$DR$61)</f>
        <v>0</v>
      </c>
      <c r="Q50" s="196">
        <f>SUMIF('Monthly CF'!$C$4:$DR$4,Q$3,'Monthly CF'!$C$61:$DR$61)</f>
        <v>0</v>
      </c>
      <c r="R50" s="196">
        <f>SUMIF('Monthly CF'!$C$4:$DR$4,R$3,'Monthly CF'!$C$61:$DR$61)</f>
        <v>0</v>
      </c>
      <c r="S50" s="196">
        <f>SUMIF('Monthly CF'!$C$4:$DR$4,S$3,'Monthly CF'!$C$61:$DR$61)</f>
        <v>0</v>
      </c>
      <c r="T50" s="196">
        <f>SUMIF('Monthly CF'!$C$4:$DR$4,T$3,'Monthly CF'!$C$61:$DR$61)</f>
        <v>0</v>
      </c>
      <c r="U50" s="196">
        <f>SUMIF('Monthly CF'!$C$4:$DR$4,U$3,'Monthly CF'!$C$61:$DR$61)</f>
        <v>0</v>
      </c>
      <c r="V50" s="196">
        <f>SUMIF('Monthly CF'!$C$4:$DR$4,V$3,'Monthly CF'!$C$61:$DR$61)</f>
        <v>0</v>
      </c>
      <c r="W50" s="196">
        <f>SUMIF('Monthly CF'!$C$4:$DR$4,W$3,'Monthly CF'!$C$61:$DR$61)</f>
        <v>0</v>
      </c>
      <c r="X50" s="196">
        <f>SUMIF('Monthly CF'!$C$4:$DR$4,X$3,'Monthly CF'!$C$61:$DR$61)</f>
        <v>0</v>
      </c>
      <c r="Y50" s="196">
        <f>SUMIF('Monthly CF'!$C$4:$DR$4,Y$3,'Monthly CF'!$C$61:$DR$61)</f>
        <v>0</v>
      </c>
      <c r="Z50" s="196">
        <f>SUMIF('Monthly CF'!$C$4:$DR$4,Z$3,'Monthly CF'!$C$61:$DR$61)</f>
        <v>0</v>
      </c>
      <c r="AA50" s="196">
        <f>SUMIF('Monthly CF'!$C$4:$DR$4,AA$3,'Monthly CF'!$C$61:$DR$61)</f>
        <v>0</v>
      </c>
      <c r="AB50" s="196">
        <f>SUMIF('Monthly CF'!$C$4:$DR$4,AB$3,'Monthly CF'!$C$61:$DR$61)</f>
        <v>0</v>
      </c>
      <c r="AC50" s="196">
        <f>SUMIF('Monthly CF'!$C$4:$DR$4,AC$3,'Monthly CF'!$C$61:$DR$61)</f>
        <v>0</v>
      </c>
      <c r="AD50" s="196">
        <f>SUMIF('Monthly CF'!$C$4:$DR$4,AD$3,'Monthly CF'!$C$61:$DR$61)</f>
        <v>0</v>
      </c>
      <c r="AE50" s="196">
        <f>SUMIF('Monthly CF'!$C$4:$DR$4,AE$3,'Monthly CF'!$C$61:$DR$61)</f>
        <v>0</v>
      </c>
      <c r="AF50" s="196">
        <f>SUMIF('Monthly CF'!$C$4:$DR$4,AF$3,'Monthly CF'!$C$61:$DR$61)</f>
        <v>0</v>
      </c>
      <c r="AG50" s="196">
        <f>SUMIF('Monthly CF'!$C$4:$DR$4,AG$3,'Monthly CF'!$C$61:$DR$61)</f>
        <v>0</v>
      </c>
      <c r="AH50" s="196">
        <f>SUMIF('Monthly CF'!$C$4:$DR$4,AH$3,'Monthly CF'!$C$61:$DR$61)</f>
        <v>0</v>
      </c>
      <c r="AI50" s="196">
        <f>SUMIF('Monthly CF'!$C$4:$DR$4,AI$3,'Monthly CF'!$C$61:$DR$61)</f>
        <v>0</v>
      </c>
      <c r="AJ50" s="196">
        <f>SUMIF('Monthly CF'!$C$4:$DR$4,AJ$3,'Monthly CF'!$C$61:$DR$61)</f>
        <v>0</v>
      </c>
      <c r="AK50" s="196">
        <f>SUMIF('Monthly CF'!$C$4:$DR$4,AK$3,'Monthly CF'!$C$61:$DR$61)</f>
        <v>0</v>
      </c>
      <c r="AL50" s="196">
        <f>SUMIF('Monthly CF'!$C$4:$DR$4,AL$3,'Monthly CF'!$C$61:$DR$61)</f>
        <v>0</v>
      </c>
      <c r="AM50" s="196">
        <f>SUMIF('Monthly CF'!$C$4:$DR$4,AM$3,'Monthly CF'!$C$61:$DR$61)</f>
        <v>0</v>
      </c>
      <c r="AN50" s="196">
        <f>SUMIF('Monthly CF'!$C$4:$DR$4,AN$3,'Monthly CF'!$C$61:$DR$61)</f>
        <v>0</v>
      </c>
      <c r="AO50" s="196">
        <f>SUMIF('Monthly CF'!$C$4:$DR$4,AO$3,'Monthly CF'!$C$61:$DR$61)</f>
        <v>0</v>
      </c>
      <c r="AP50" s="196">
        <f>SUMIF('Monthly CF'!$C$4:$DR$4,AP$3,'Monthly CF'!$C$61:$DR$61)</f>
        <v>0</v>
      </c>
      <c r="AQ50" s="196">
        <f>SUMIF('Monthly CF'!$C$4:$DR$4,AQ$3,'Monthly CF'!$C$61:$DR$61)</f>
        <v>0</v>
      </c>
    </row>
    <row r="51" ht="15.75" customHeight="1">
      <c r="A51" s="54"/>
      <c r="B51" s="104" t="s">
        <v>326</v>
      </c>
      <c r="C51" s="196">
        <f>SUMIF('Monthly CF'!$C$4:$DR$4,C$3,'Monthly CF'!$C$62:$DR$62)</f>
        <v>0</v>
      </c>
      <c r="D51" s="196">
        <f>SUMIF('Monthly CF'!$C$4:$DR$4,D$3,'Monthly CF'!$C$62:$DR$62)</f>
        <v>0</v>
      </c>
      <c r="E51" s="196">
        <f>SUMIF('Monthly CF'!$C$4:$DR$4,E$3,'Monthly CF'!$C$62:$DR$62)</f>
        <v>0</v>
      </c>
      <c r="F51" s="196">
        <f>SUMIF('Monthly CF'!$C$4:$DR$4,F$3,'Monthly CF'!$C$62:$DR$62)</f>
        <v>0</v>
      </c>
      <c r="G51" s="196">
        <f>SUMIF('Monthly CF'!$C$4:$DR$4,G$3,'Monthly CF'!$C$62:$DR$62)</f>
        <v>0</v>
      </c>
      <c r="H51" s="196">
        <f>SUMIF('Monthly CF'!$C$4:$DR$4,H$3,'Monthly CF'!$C$62:$DR$62)</f>
        <v>0</v>
      </c>
      <c r="I51" s="196">
        <f>SUMIF('Monthly CF'!$C$4:$DR$4,I$3,'Monthly CF'!$C$62:$DR$62)</f>
        <v>0</v>
      </c>
      <c r="J51" s="196">
        <f>SUMIF('Monthly CF'!$C$4:$DR$4,J$3,'Monthly CF'!$C$62:$DR$62)</f>
        <v>0</v>
      </c>
      <c r="K51" s="196">
        <f>SUMIF('Monthly CF'!$C$4:$DR$4,K$3,'Monthly CF'!$C$62:$DR$62)</f>
        <v>0</v>
      </c>
      <c r="L51" s="196">
        <f>SUMIF('Monthly CF'!$C$4:$DR$4,L$3,'Monthly CF'!$C$62:$DR$62)</f>
        <v>0</v>
      </c>
      <c r="M51" s="196">
        <f>SUMIF('Monthly CF'!$C$4:$DR$4,M$3,'Monthly CF'!$C$62:$DR$62)</f>
        <v>0</v>
      </c>
      <c r="N51" s="196">
        <f>SUMIF('Monthly CF'!$C$4:$DR$4,N$3,'Monthly CF'!$C$62:$DR$62)</f>
        <v>0</v>
      </c>
      <c r="O51" s="196">
        <f>SUMIF('Monthly CF'!$C$4:$DR$4,O$3,'Monthly CF'!$C$62:$DR$62)</f>
        <v>0</v>
      </c>
      <c r="P51" s="196">
        <f>SUMIF('Monthly CF'!$C$4:$DR$4,P$3,'Monthly CF'!$C$62:$DR$62)</f>
        <v>0</v>
      </c>
      <c r="Q51" s="196">
        <f>SUMIF('Monthly CF'!$C$4:$DR$4,Q$3,'Monthly CF'!$C$62:$DR$62)</f>
        <v>0</v>
      </c>
      <c r="R51" s="196">
        <f>SUMIF('Monthly CF'!$C$4:$DR$4,R$3,'Monthly CF'!$C$62:$DR$62)</f>
        <v>0</v>
      </c>
      <c r="S51" s="196">
        <f>SUMIF('Monthly CF'!$C$4:$DR$4,S$3,'Monthly CF'!$C$62:$DR$62)</f>
        <v>0</v>
      </c>
      <c r="T51" s="196">
        <f>SUMIF('Monthly CF'!$C$4:$DR$4,T$3,'Monthly CF'!$C$62:$DR$62)</f>
        <v>0</v>
      </c>
      <c r="U51" s="196">
        <f>SUMIF('Monthly CF'!$C$4:$DR$4,U$3,'Monthly CF'!$C$62:$DR$62)</f>
        <v>0</v>
      </c>
      <c r="V51" s="196">
        <f>SUMIF('Monthly CF'!$C$4:$DR$4,V$3,'Monthly CF'!$C$62:$DR$62)</f>
        <v>0</v>
      </c>
      <c r="W51" s="196">
        <f>SUMIF('Monthly CF'!$C$4:$DR$4,W$3,'Monthly CF'!$C$62:$DR$62)</f>
        <v>0</v>
      </c>
      <c r="X51" s="196">
        <f>SUMIF('Monthly CF'!$C$4:$DR$4,X$3,'Monthly CF'!$C$62:$DR$62)</f>
        <v>0</v>
      </c>
      <c r="Y51" s="196">
        <f>SUMIF('Monthly CF'!$C$4:$DR$4,Y$3,'Monthly CF'!$C$62:$DR$62)</f>
        <v>0</v>
      </c>
      <c r="Z51" s="196">
        <f>SUMIF('Monthly CF'!$C$4:$DR$4,Z$3,'Monthly CF'!$C$62:$DR$62)</f>
        <v>0</v>
      </c>
      <c r="AA51" s="196">
        <f>SUMIF('Monthly CF'!$C$4:$DR$4,AA$3,'Monthly CF'!$C$62:$DR$62)</f>
        <v>0</v>
      </c>
      <c r="AB51" s="196">
        <f>SUMIF('Monthly CF'!$C$4:$DR$4,AB$3,'Monthly CF'!$C$62:$DR$62)</f>
        <v>0</v>
      </c>
      <c r="AC51" s="196">
        <f>SUMIF('Monthly CF'!$C$4:$DR$4,AC$3,'Monthly CF'!$C$62:$DR$62)</f>
        <v>0</v>
      </c>
      <c r="AD51" s="196">
        <f>SUMIF('Monthly CF'!$C$4:$DR$4,AD$3,'Monthly CF'!$C$62:$DR$62)</f>
        <v>0</v>
      </c>
      <c r="AE51" s="196">
        <f>SUMIF('Monthly CF'!$C$4:$DR$4,AE$3,'Monthly CF'!$C$62:$DR$62)</f>
        <v>0</v>
      </c>
      <c r="AF51" s="196">
        <f>SUMIF('Monthly CF'!$C$4:$DR$4,AF$3,'Monthly CF'!$C$62:$DR$62)</f>
        <v>0</v>
      </c>
      <c r="AG51" s="196">
        <f>SUMIF('Monthly CF'!$C$4:$DR$4,AG$3,'Monthly CF'!$C$62:$DR$62)</f>
        <v>0</v>
      </c>
      <c r="AH51" s="196">
        <f>SUMIF('Monthly CF'!$C$4:$DR$4,AH$3,'Monthly CF'!$C$62:$DR$62)</f>
        <v>0</v>
      </c>
      <c r="AI51" s="196">
        <f>SUMIF('Monthly CF'!$C$4:$DR$4,AI$3,'Monthly CF'!$C$62:$DR$62)</f>
        <v>0</v>
      </c>
      <c r="AJ51" s="196">
        <f>SUMIF('Monthly CF'!$C$4:$DR$4,AJ$3,'Monthly CF'!$C$62:$DR$62)</f>
        <v>0</v>
      </c>
      <c r="AK51" s="196">
        <f>SUMIF('Monthly CF'!$C$4:$DR$4,AK$3,'Monthly CF'!$C$62:$DR$62)</f>
        <v>0</v>
      </c>
      <c r="AL51" s="196">
        <f>SUMIF('Monthly CF'!$C$4:$DR$4,AL$3,'Monthly CF'!$C$62:$DR$62)</f>
        <v>0</v>
      </c>
      <c r="AM51" s="196">
        <f>SUMIF('Monthly CF'!$C$4:$DR$4,AM$3,'Monthly CF'!$C$62:$DR$62)</f>
        <v>0</v>
      </c>
      <c r="AN51" s="196">
        <f>SUMIF('Monthly CF'!$C$4:$DR$4,AN$3,'Monthly CF'!$C$62:$DR$62)</f>
        <v>0</v>
      </c>
      <c r="AO51" s="196">
        <f>SUMIF('Monthly CF'!$C$4:$DR$4,AO$3,'Monthly CF'!$C$62:$DR$62)</f>
        <v>0</v>
      </c>
      <c r="AP51" s="196">
        <f>SUMIF('Monthly CF'!$C$4:$DR$4,AP$3,'Monthly CF'!$C$62:$DR$62)</f>
        <v>0</v>
      </c>
      <c r="AQ51" s="196">
        <f>SUMIF('Monthly CF'!$C$4:$DR$4,AQ$3,'Monthly CF'!$C$62:$DR$62)</f>
        <v>0</v>
      </c>
    </row>
    <row r="52" ht="15.75" customHeight="1">
      <c r="A52" s="54"/>
      <c r="B52" s="104" t="s">
        <v>327</v>
      </c>
      <c r="C52" s="196">
        <f>SUMIF('Monthly CF'!$C$4:$DR$4,C$3,'Monthly CF'!$C$63:$DR$63)</f>
        <v>0</v>
      </c>
      <c r="D52" s="196">
        <f>SUMIF('Monthly CF'!$C$4:$DR$4,D$3,'Monthly CF'!$C$63:$DR$63)</f>
        <v>0</v>
      </c>
      <c r="E52" s="196">
        <f>SUMIF('Monthly CF'!$C$4:$DR$4,E$3,'Monthly CF'!$C$63:$DR$63)</f>
        <v>0</v>
      </c>
      <c r="F52" s="196">
        <f>SUMIF('Monthly CF'!$C$4:$DR$4,F$3,'Monthly CF'!$C$63:$DR$63)</f>
        <v>0</v>
      </c>
      <c r="G52" s="196">
        <f>SUMIF('Monthly CF'!$C$4:$DR$4,G$3,'Monthly CF'!$C$63:$DR$63)</f>
        <v>0</v>
      </c>
      <c r="H52" s="196">
        <f>SUMIF('Monthly CF'!$C$4:$DR$4,H$3,'Monthly CF'!$C$63:$DR$63)</f>
        <v>0</v>
      </c>
      <c r="I52" s="196">
        <f>SUMIF('Monthly CF'!$C$4:$DR$4,I$3,'Monthly CF'!$C$63:$DR$63)</f>
        <v>0</v>
      </c>
      <c r="J52" s="196">
        <f>SUMIF('Monthly CF'!$C$4:$DR$4,J$3,'Monthly CF'!$C$63:$DR$63)</f>
        <v>0</v>
      </c>
      <c r="K52" s="196">
        <f>SUMIF('Monthly CF'!$C$4:$DR$4,K$3,'Monthly CF'!$C$63:$DR$63)</f>
        <v>0</v>
      </c>
      <c r="L52" s="196">
        <f>SUMIF('Monthly CF'!$C$4:$DR$4,L$3,'Monthly CF'!$C$63:$DR$63)</f>
        <v>0</v>
      </c>
      <c r="M52" s="196">
        <f>SUMIF('Monthly CF'!$C$4:$DR$4,M$3,'Monthly CF'!$C$63:$DR$63)</f>
        <v>0</v>
      </c>
      <c r="N52" s="196">
        <f>SUMIF('Monthly CF'!$C$4:$DR$4,N$3,'Monthly CF'!$C$63:$DR$63)</f>
        <v>0</v>
      </c>
      <c r="O52" s="196">
        <f>SUMIF('Monthly CF'!$C$4:$DR$4,O$3,'Monthly CF'!$C$63:$DR$63)</f>
        <v>0</v>
      </c>
      <c r="P52" s="196">
        <f>SUMIF('Monthly CF'!$C$4:$DR$4,P$3,'Monthly CF'!$C$63:$DR$63)</f>
        <v>0</v>
      </c>
      <c r="Q52" s="196">
        <f>SUMIF('Monthly CF'!$C$4:$DR$4,Q$3,'Monthly CF'!$C$63:$DR$63)</f>
        <v>0</v>
      </c>
      <c r="R52" s="196">
        <f>SUMIF('Monthly CF'!$C$4:$DR$4,R$3,'Monthly CF'!$C$63:$DR$63)</f>
        <v>0</v>
      </c>
      <c r="S52" s="196">
        <f>SUMIF('Monthly CF'!$C$4:$DR$4,S$3,'Monthly CF'!$C$63:$DR$63)</f>
        <v>0</v>
      </c>
      <c r="T52" s="196">
        <f>SUMIF('Monthly CF'!$C$4:$DR$4,T$3,'Monthly CF'!$C$63:$DR$63)</f>
        <v>0</v>
      </c>
      <c r="U52" s="196">
        <f>SUMIF('Monthly CF'!$C$4:$DR$4,U$3,'Monthly CF'!$C$63:$DR$63)</f>
        <v>0</v>
      </c>
      <c r="V52" s="196">
        <f>SUMIF('Monthly CF'!$C$4:$DR$4,V$3,'Monthly CF'!$C$63:$DR$63)</f>
        <v>0</v>
      </c>
      <c r="W52" s="196">
        <f>SUMIF('Monthly CF'!$C$4:$DR$4,W$3,'Monthly CF'!$C$63:$DR$63)</f>
        <v>0</v>
      </c>
      <c r="X52" s="196">
        <f>SUMIF('Monthly CF'!$C$4:$DR$4,X$3,'Monthly CF'!$C$63:$DR$63)</f>
        <v>0</v>
      </c>
      <c r="Y52" s="196">
        <f>SUMIF('Monthly CF'!$C$4:$DR$4,Y$3,'Monthly CF'!$C$63:$DR$63)</f>
        <v>0</v>
      </c>
      <c r="Z52" s="196">
        <f>SUMIF('Monthly CF'!$C$4:$DR$4,Z$3,'Monthly CF'!$C$63:$DR$63)</f>
        <v>0</v>
      </c>
      <c r="AA52" s="196">
        <f>SUMIF('Monthly CF'!$C$4:$DR$4,AA$3,'Monthly CF'!$C$63:$DR$63)</f>
        <v>0</v>
      </c>
      <c r="AB52" s="196">
        <f>SUMIF('Monthly CF'!$C$4:$DR$4,AB$3,'Monthly CF'!$C$63:$DR$63)</f>
        <v>0</v>
      </c>
      <c r="AC52" s="196">
        <f>SUMIF('Monthly CF'!$C$4:$DR$4,AC$3,'Monthly CF'!$C$63:$DR$63)</f>
        <v>0</v>
      </c>
      <c r="AD52" s="196">
        <f>SUMIF('Monthly CF'!$C$4:$DR$4,AD$3,'Monthly CF'!$C$63:$DR$63)</f>
        <v>0</v>
      </c>
      <c r="AE52" s="196">
        <f>SUMIF('Monthly CF'!$C$4:$DR$4,AE$3,'Monthly CF'!$C$63:$DR$63)</f>
        <v>0</v>
      </c>
      <c r="AF52" s="196">
        <f>SUMIF('Monthly CF'!$C$4:$DR$4,AF$3,'Monthly CF'!$C$63:$DR$63)</f>
        <v>0</v>
      </c>
      <c r="AG52" s="196">
        <f>SUMIF('Monthly CF'!$C$4:$DR$4,AG$3,'Monthly CF'!$C$63:$DR$63)</f>
        <v>0</v>
      </c>
      <c r="AH52" s="196">
        <f>SUMIF('Monthly CF'!$C$4:$DR$4,AH$3,'Monthly CF'!$C$63:$DR$63)</f>
        <v>0</v>
      </c>
      <c r="AI52" s="196">
        <f>SUMIF('Monthly CF'!$C$4:$DR$4,AI$3,'Monthly CF'!$C$63:$DR$63)</f>
        <v>0</v>
      </c>
      <c r="AJ52" s="196">
        <f>SUMIF('Monthly CF'!$C$4:$DR$4,AJ$3,'Monthly CF'!$C$63:$DR$63)</f>
        <v>0</v>
      </c>
      <c r="AK52" s="196">
        <f>SUMIF('Monthly CF'!$C$4:$DR$4,AK$3,'Monthly CF'!$C$63:$DR$63)</f>
        <v>0</v>
      </c>
      <c r="AL52" s="196">
        <f>SUMIF('Monthly CF'!$C$4:$DR$4,AL$3,'Monthly CF'!$C$63:$DR$63)</f>
        <v>0</v>
      </c>
      <c r="AM52" s="196">
        <f>SUMIF('Monthly CF'!$C$4:$DR$4,AM$3,'Monthly CF'!$C$63:$DR$63)</f>
        <v>0</v>
      </c>
      <c r="AN52" s="196">
        <f>SUMIF('Monthly CF'!$C$4:$DR$4,AN$3,'Monthly CF'!$C$63:$DR$63)</f>
        <v>0</v>
      </c>
      <c r="AO52" s="196">
        <f>SUMIF('Monthly CF'!$C$4:$DR$4,AO$3,'Monthly CF'!$C$63:$DR$63)</f>
        <v>0</v>
      </c>
      <c r="AP52" s="196">
        <f>SUMIF('Monthly CF'!$C$4:$DR$4,AP$3,'Monthly CF'!$C$63:$DR$63)</f>
        <v>0</v>
      </c>
      <c r="AQ52" s="196">
        <f>SUMIF('Monthly CF'!$C$4:$DR$4,AQ$3,'Monthly CF'!$C$63:$DR$63)</f>
        <v>0</v>
      </c>
    </row>
    <row r="53" ht="15.75" customHeight="1">
      <c r="A53" s="54"/>
      <c r="B53" s="127" t="s">
        <v>328</v>
      </c>
      <c r="C53" s="197">
        <f t="array" ref="C53">INDEX('Monthly CF'!$C$64:$DR$64,MATCH(C$3*3,'Monthly CF'!$C$3:$DR$3,0))</f>
        <v>0</v>
      </c>
      <c r="D53" s="197">
        <f t="array" ref="D53">INDEX('Monthly CF'!$C$64:$DR$64,MATCH(D$3*3,'Monthly CF'!$C$3:$DR$3,0))</f>
        <v>0</v>
      </c>
      <c r="E53" s="197">
        <f t="array" ref="E53">INDEX('Monthly CF'!$C$64:$DR$64,MATCH(E$3*3,'Monthly CF'!$C$3:$DR$3,0))</f>
        <v>0</v>
      </c>
      <c r="F53" s="197">
        <f t="array" ref="F53">INDEX('Monthly CF'!$C$64:$DR$64,MATCH(F$3*3,'Monthly CF'!$C$3:$DR$3,0))</f>
        <v>0</v>
      </c>
      <c r="G53" s="197">
        <f t="array" ref="G53">INDEX('Monthly CF'!$C$64:$DR$64,MATCH(G$3*3,'Monthly CF'!$C$3:$DR$3,0))</f>
        <v>0</v>
      </c>
      <c r="H53" s="197">
        <f t="array" ref="H53">INDEX('Monthly CF'!$C$64:$DR$64,MATCH(H$3*3,'Monthly CF'!$C$3:$DR$3,0))</f>
        <v>0</v>
      </c>
      <c r="I53" s="197">
        <f t="array" ref="I53">INDEX('Monthly CF'!$C$64:$DR$64,MATCH(I$3*3,'Monthly CF'!$C$3:$DR$3,0))</f>
        <v>0</v>
      </c>
      <c r="J53" s="197">
        <f t="array" ref="J53">INDEX('Monthly CF'!$C$64:$DR$64,MATCH(J$3*3,'Monthly CF'!$C$3:$DR$3,0))</f>
        <v>0</v>
      </c>
      <c r="K53" s="197">
        <f t="array" ref="K53">INDEX('Monthly CF'!$C$64:$DR$64,MATCH(K$3*3,'Monthly CF'!$C$3:$DR$3,0))</f>
        <v>0</v>
      </c>
      <c r="L53" s="197">
        <f t="array" ref="L53">INDEX('Monthly CF'!$C$64:$DR$64,MATCH(L$3*3,'Monthly CF'!$C$3:$DR$3,0))</f>
        <v>0</v>
      </c>
      <c r="M53" s="197">
        <f t="array" ref="M53">INDEX('Monthly CF'!$C$64:$DR$64,MATCH(M$3*3,'Monthly CF'!$C$3:$DR$3,0))</f>
        <v>0</v>
      </c>
      <c r="N53" s="197">
        <f t="array" ref="N53">INDEX('Monthly CF'!$C$64:$DR$64,MATCH(N$3*3,'Monthly CF'!$C$3:$DR$3,0))</f>
        <v>0</v>
      </c>
      <c r="O53" s="197">
        <f t="array" ref="O53">INDEX('Monthly CF'!$C$64:$DR$64,MATCH(O$3*3,'Monthly CF'!$C$3:$DR$3,0))</f>
        <v>0</v>
      </c>
      <c r="P53" s="197">
        <f t="array" ref="P53">INDEX('Monthly CF'!$C$64:$DR$64,MATCH(P$3*3,'Monthly CF'!$C$3:$DR$3,0))</f>
        <v>0</v>
      </c>
      <c r="Q53" s="197">
        <f t="array" ref="Q53">INDEX('Monthly CF'!$C$64:$DR$64,MATCH(Q$3*3,'Monthly CF'!$C$3:$DR$3,0))</f>
        <v>0</v>
      </c>
      <c r="R53" s="197">
        <f t="array" ref="R53">INDEX('Monthly CF'!$C$64:$DR$64,MATCH(R$3*3,'Monthly CF'!$C$3:$DR$3,0))</f>
        <v>0</v>
      </c>
      <c r="S53" s="197">
        <f t="array" ref="S53">INDEX('Monthly CF'!$C$64:$DR$64,MATCH(S$3*3,'Monthly CF'!$C$3:$DR$3,0))</f>
        <v>0</v>
      </c>
      <c r="T53" s="197">
        <f t="array" ref="T53">INDEX('Monthly CF'!$C$64:$DR$64,MATCH(T$3*3,'Monthly CF'!$C$3:$DR$3,0))</f>
        <v>0</v>
      </c>
      <c r="U53" s="197">
        <f t="array" ref="U53">INDEX('Monthly CF'!$C$64:$DR$64,MATCH(U$3*3,'Monthly CF'!$C$3:$DR$3,0))</f>
        <v>0</v>
      </c>
      <c r="V53" s="197">
        <f t="array" ref="V53">INDEX('Monthly CF'!$C$64:$DR$64,MATCH(V$3*3,'Monthly CF'!$C$3:$DR$3,0))</f>
        <v>0</v>
      </c>
      <c r="W53" s="197">
        <f t="array" ref="W53">INDEX('Monthly CF'!$C$64:$DR$64,MATCH(W$3*3,'Monthly CF'!$C$3:$DR$3,0))</f>
        <v>0</v>
      </c>
      <c r="X53" s="197">
        <f t="array" ref="X53">INDEX('Monthly CF'!$C$64:$DR$64,MATCH(X$3*3,'Monthly CF'!$C$3:$DR$3,0))</f>
        <v>0</v>
      </c>
      <c r="Y53" s="197">
        <f t="array" ref="Y53">INDEX('Monthly CF'!$C$64:$DR$64,MATCH(Y$3*3,'Monthly CF'!$C$3:$DR$3,0))</f>
        <v>0</v>
      </c>
      <c r="Z53" s="197">
        <f t="array" ref="Z53">INDEX('Monthly CF'!$C$64:$DR$64,MATCH(Z$3*3,'Monthly CF'!$C$3:$DR$3,0))</f>
        <v>0</v>
      </c>
      <c r="AA53" s="197">
        <f t="array" ref="AA53">INDEX('Monthly CF'!$C$64:$DR$64,MATCH(AA$3*3,'Monthly CF'!$C$3:$DR$3,0))</f>
        <v>0</v>
      </c>
      <c r="AB53" s="197">
        <f t="array" ref="AB53">INDEX('Monthly CF'!$C$64:$DR$64,MATCH(AB$3*3,'Monthly CF'!$C$3:$DR$3,0))</f>
        <v>0</v>
      </c>
      <c r="AC53" s="197">
        <f t="array" ref="AC53">INDEX('Monthly CF'!$C$64:$DR$64,MATCH(AC$3*3,'Monthly CF'!$C$3:$DR$3,0))</f>
        <v>0</v>
      </c>
      <c r="AD53" s="197">
        <f t="array" ref="AD53">INDEX('Monthly CF'!$C$64:$DR$64,MATCH(AD$3*3,'Monthly CF'!$C$3:$DR$3,0))</f>
        <v>0</v>
      </c>
      <c r="AE53" s="197">
        <f t="array" ref="AE53">INDEX('Monthly CF'!$C$64:$DR$64,MATCH(AE$3*3,'Monthly CF'!$C$3:$DR$3,0))</f>
        <v>0</v>
      </c>
      <c r="AF53" s="197">
        <f t="array" ref="AF53">INDEX('Monthly CF'!$C$64:$DR$64,MATCH(AF$3*3,'Monthly CF'!$C$3:$DR$3,0))</f>
        <v>0</v>
      </c>
      <c r="AG53" s="197">
        <f t="array" ref="AG53">INDEX('Monthly CF'!$C$64:$DR$64,MATCH(AG$3*3,'Monthly CF'!$C$3:$DR$3,0))</f>
        <v>0</v>
      </c>
      <c r="AH53" s="197">
        <f t="array" ref="AH53">INDEX('Monthly CF'!$C$64:$DR$64,MATCH(AH$3*3,'Monthly CF'!$C$3:$DR$3,0))</f>
        <v>0</v>
      </c>
      <c r="AI53" s="197">
        <f t="array" ref="AI53">INDEX('Monthly CF'!$C$64:$DR$64,MATCH(AI$3*3,'Monthly CF'!$C$3:$DR$3,0))</f>
        <v>0</v>
      </c>
      <c r="AJ53" s="197">
        <f t="array" ref="AJ53">INDEX('Monthly CF'!$C$64:$DR$64,MATCH(AJ$3*3,'Monthly CF'!$C$3:$DR$3,0))</f>
        <v>0</v>
      </c>
      <c r="AK53" s="197">
        <f t="array" ref="AK53">INDEX('Monthly CF'!$C$64:$DR$64,MATCH(AK$3*3,'Monthly CF'!$C$3:$DR$3,0))</f>
        <v>0</v>
      </c>
      <c r="AL53" s="197">
        <f t="array" ref="AL53">INDEX('Monthly CF'!$C$64:$DR$64,MATCH(AL$3*3,'Monthly CF'!$C$3:$DR$3,0))</f>
        <v>0</v>
      </c>
      <c r="AM53" s="197">
        <f t="array" ref="AM53">INDEX('Monthly CF'!$C$64:$DR$64,MATCH(AM$3*3,'Monthly CF'!$C$3:$DR$3,0))</f>
        <v>0</v>
      </c>
      <c r="AN53" s="197">
        <f t="array" ref="AN53">INDEX('Monthly CF'!$C$64:$DR$64,MATCH(AN$3*3,'Monthly CF'!$C$3:$DR$3,0))</f>
        <v>0</v>
      </c>
      <c r="AO53" s="197">
        <f t="array" ref="AO53">INDEX('Monthly CF'!$C$64:$DR$64,MATCH(AO$3*3,'Monthly CF'!$C$3:$DR$3,0))</f>
        <v>0</v>
      </c>
      <c r="AP53" s="197">
        <f t="array" ref="AP53">INDEX('Monthly CF'!$C$64:$DR$64,MATCH(AP$3*3,'Monthly CF'!$C$3:$DR$3,0))</f>
        <v>0</v>
      </c>
      <c r="AQ53" s="197" t="str">
        <f t="array" ref="AQ53">INDEX('Monthly CF'!$C$64:$DR$64,MATCH(AQ$3*3,'Monthly CF'!$C$3:$DR$3,0))</f>
        <v>#N/A</v>
      </c>
    </row>
    <row r="54" ht="15.75" customHeight="1">
      <c r="A54" s="54"/>
      <c r="B54" s="104" t="s">
        <v>329</v>
      </c>
      <c r="C54" s="198">
        <f>SUMIF('Monthly CF'!$C$4:$DR$4,C$3,'Monthly CF'!$C$65:$DR$65)</f>
        <v>0</v>
      </c>
      <c r="D54" s="198">
        <f>SUMIF('Monthly CF'!$C$4:$DR$4,D$3,'Monthly CF'!$C$65:$DR$65)</f>
        <v>0</v>
      </c>
      <c r="E54" s="198">
        <f>SUMIF('Monthly CF'!$C$4:$DR$4,E$3,'Monthly CF'!$C$65:$DR$65)</f>
        <v>0</v>
      </c>
      <c r="F54" s="198">
        <f>SUMIF('Monthly CF'!$C$4:$DR$4,F$3,'Monthly CF'!$C$65:$DR$65)</f>
        <v>0</v>
      </c>
      <c r="G54" s="198">
        <f>SUMIF('Monthly CF'!$C$4:$DR$4,G$3,'Monthly CF'!$C$65:$DR$65)</f>
        <v>0</v>
      </c>
      <c r="H54" s="198">
        <f>SUMIF('Monthly CF'!$C$4:$DR$4,H$3,'Monthly CF'!$C$65:$DR$65)</f>
        <v>0</v>
      </c>
      <c r="I54" s="198">
        <f>SUMIF('Monthly CF'!$C$4:$DR$4,I$3,'Monthly CF'!$C$65:$DR$65)</f>
        <v>0</v>
      </c>
      <c r="J54" s="198">
        <f>SUMIF('Monthly CF'!$C$4:$DR$4,J$3,'Monthly CF'!$C$65:$DR$65)</f>
        <v>0</v>
      </c>
      <c r="K54" s="198">
        <f>SUMIF('Monthly CF'!$C$4:$DR$4,K$3,'Monthly CF'!$C$65:$DR$65)</f>
        <v>0</v>
      </c>
      <c r="L54" s="198">
        <f>SUMIF('Monthly CF'!$C$4:$DR$4,L$3,'Monthly CF'!$C$65:$DR$65)</f>
        <v>0</v>
      </c>
      <c r="M54" s="198">
        <f>SUMIF('Monthly CF'!$C$4:$DR$4,M$3,'Monthly CF'!$C$65:$DR$65)</f>
        <v>0</v>
      </c>
      <c r="N54" s="198">
        <f>SUMIF('Monthly CF'!$C$4:$DR$4,N$3,'Monthly CF'!$C$65:$DR$65)</f>
        <v>0</v>
      </c>
      <c r="O54" s="198">
        <f>SUMIF('Monthly CF'!$C$4:$DR$4,O$3,'Monthly CF'!$C$65:$DR$65)</f>
        <v>0</v>
      </c>
      <c r="P54" s="198">
        <f>SUMIF('Monthly CF'!$C$4:$DR$4,P$3,'Monthly CF'!$C$65:$DR$65)</f>
        <v>0</v>
      </c>
      <c r="Q54" s="198">
        <f>SUMIF('Monthly CF'!$C$4:$DR$4,Q$3,'Monthly CF'!$C$65:$DR$65)</f>
        <v>0</v>
      </c>
      <c r="R54" s="198">
        <f>SUMIF('Monthly CF'!$C$4:$DR$4,R$3,'Monthly CF'!$C$65:$DR$65)</f>
        <v>0</v>
      </c>
      <c r="S54" s="198">
        <f>SUMIF('Monthly CF'!$C$4:$DR$4,S$3,'Monthly CF'!$C$65:$DR$65)</f>
        <v>0</v>
      </c>
      <c r="T54" s="198">
        <f>SUMIF('Monthly CF'!$C$4:$DR$4,T$3,'Monthly CF'!$C$65:$DR$65)</f>
        <v>0</v>
      </c>
      <c r="U54" s="198">
        <f>SUMIF('Monthly CF'!$C$4:$DR$4,U$3,'Monthly CF'!$C$65:$DR$65)</f>
        <v>0</v>
      </c>
      <c r="V54" s="198">
        <f>SUMIF('Monthly CF'!$C$4:$DR$4,V$3,'Monthly CF'!$C$65:$DR$65)</f>
        <v>0</v>
      </c>
      <c r="W54" s="198">
        <f>SUMIF('Monthly CF'!$C$4:$DR$4,W$3,'Monthly CF'!$C$65:$DR$65)</f>
        <v>0</v>
      </c>
      <c r="X54" s="198">
        <f>SUMIF('Monthly CF'!$C$4:$DR$4,X$3,'Monthly CF'!$C$65:$DR$65)</f>
        <v>0</v>
      </c>
      <c r="Y54" s="198">
        <f>SUMIF('Monthly CF'!$C$4:$DR$4,Y$3,'Monthly CF'!$C$65:$DR$65)</f>
        <v>0</v>
      </c>
      <c r="Z54" s="198">
        <f>SUMIF('Monthly CF'!$C$4:$DR$4,Z$3,'Monthly CF'!$C$65:$DR$65)</f>
        <v>0</v>
      </c>
      <c r="AA54" s="198">
        <f>SUMIF('Monthly CF'!$C$4:$DR$4,AA$3,'Monthly CF'!$C$65:$DR$65)</f>
        <v>0</v>
      </c>
      <c r="AB54" s="198">
        <f>SUMIF('Monthly CF'!$C$4:$DR$4,AB$3,'Monthly CF'!$C$65:$DR$65)</f>
        <v>0</v>
      </c>
      <c r="AC54" s="198">
        <f>SUMIF('Monthly CF'!$C$4:$DR$4,AC$3,'Monthly CF'!$C$65:$DR$65)</f>
        <v>0</v>
      </c>
      <c r="AD54" s="198">
        <f>SUMIF('Monthly CF'!$C$4:$DR$4,AD$3,'Monthly CF'!$C$65:$DR$65)</f>
        <v>0</v>
      </c>
      <c r="AE54" s="198">
        <f>SUMIF('Monthly CF'!$C$4:$DR$4,AE$3,'Monthly CF'!$C$65:$DR$65)</f>
        <v>0</v>
      </c>
      <c r="AF54" s="198">
        <f>SUMIF('Monthly CF'!$C$4:$DR$4,AF$3,'Monthly CF'!$C$65:$DR$65)</f>
        <v>0</v>
      </c>
      <c r="AG54" s="198">
        <f>SUMIF('Monthly CF'!$C$4:$DR$4,AG$3,'Monthly CF'!$C$65:$DR$65)</f>
        <v>0</v>
      </c>
      <c r="AH54" s="198">
        <f>SUMIF('Monthly CF'!$C$4:$DR$4,AH$3,'Monthly CF'!$C$65:$DR$65)</f>
        <v>0</v>
      </c>
      <c r="AI54" s="198">
        <f>SUMIF('Monthly CF'!$C$4:$DR$4,AI$3,'Monthly CF'!$C$65:$DR$65)</f>
        <v>0</v>
      </c>
      <c r="AJ54" s="198">
        <f>SUMIF('Monthly CF'!$C$4:$DR$4,AJ$3,'Monthly CF'!$C$65:$DR$65)</f>
        <v>0</v>
      </c>
      <c r="AK54" s="198">
        <f>SUMIF('Monthly CF'!$C$4:$DR$4,AK$3,'Monthly CF'!$C$65:$DR$65)</f>
        <v>0</v>
      </c>
      <c r="AL54" s="198">
        <f>SUMIF('Monthly CF'!$C$4:$DR$4,AL$3,'Monthly CF'!$C$65:$DR$65)</f>
        <v>0</v>
      </c>
      <c r="AM54" s="198">
        <f>SUMIF('Monthly CF'!$C$4:$DR$4,AM$3,'Monthly CF'!$C$65:$DR$65)</f>
        <v>0</v>
      </c>
      <c r="AN54" s="198">
        <f>SUMIF('Monthly CF'!$C$4:$DR$4,AN$3,'Monthly CF'!$C$65:$DR$65)</f>
        <v>0</v>
      </c>
      <c r="AO54" s="198">
        <f>SUMIF('Monthly CF'!$C$4:$DR$4,AO$3,'Monthly CF'!$C$65:$DR$65)</f>
        <v>0</v>
      </c>
      <c r="AP54" s="198">
        <f>SUMIF('Monthly CF'!$C$4:$DR$4,AP$3,'Monthly CF'!$C$65:$DR$65)</f>
        <v>0</v>
      </c>
      <c r="AQ54" s="198">
        <f>SUMIF('Monthly CF'!$C$4:$DR$4,AQ$3,'Monthly CF'!$C$65:$DR$65)</f>
        <v>0</v>
      </c>
    </row>
    <row r="55" ht="15.75" customHeight="1">
      <c r="A55" s="54"/>
      <c r="B55" s="5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</row>
    <row r="56" ht="15.75" customHeight="1">
      <c r="A56" s="54"/>
      <c r="B56" s="130" t="s">
        <v>330</v>
      </c>
      <c r="C56" s="195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  <c r="AL56" s="130"/>
      <c r="AM56" s="130"/>
      <c r="AN56" s="130"/>
      <c r="AO56" s="130"/>
      <c r="AP56" s="130"/>
      <c r="AQ56" s="130"/>
    </row>
    <row r="57" ht="15.75" customHeight="1">
      <c r="A57" s="54"/>
      <c r="B57" s="104" t="s">
        <v>323</v>
      </c>
      <c r="C57" s="196">
        <f t="array" ref="C57">INDEX('Monthly CF'!$C$68:$DR$68,MATCH((C$3-1)*3+1,'Monthly CF'!$C$3:$DR$3,0))</f>
        <v>0</v>
      </c>
      <c r="D57" s="196">
        <f t="array" ref="D57">INDEX('Monthly CF'!$C$68:$DR$68,MATCH((D$3-1)*3+1,'Monthly CF'!$C$3:$DR$3,0))</f>
        <v>747475.9018</v>
      </c>
      <c r="E57" s="196">
        <f t="array" ref="E57">INDEX('Monthly CF'!$C$68:$DR$68,MATCH((E$3-1)*3+1,'Monthly CF'!$C$3:$DR$3,0))</f>
        <v>743650.1783</v>
      </c>
      <c r="F57" s="196">
        <f t="array" ref="F57">INDEX('Monthly CF'!$C$68:$DR$68,MATCH((F$3-1)*3+1,'Monthly CF'!$C$3:$DR$3,0))</f>
        <v>739776.4337</v>
      </c>
      <c r="G57" s="196">
        <f t="array" ref="G57">INDEX('Monthly CF'!$C$68:$DR$68,MATCH((G$3-1)*3+1,'Monthly CF'!$C$3:$DR$3,0))</f>
        <v>735854.0653</v>
      </c>
      <c r="H57" s="196">
        <f t="array" ref="H57">INDEX('Monthly CF'!$C$68:$DR$68,MATCH((H$3-1)*3+1,'Monthly CF'!$C$3:$DR$3,0))</f>
        <v>731882.4627</v>
      </c>
      <c r="I57" s="196">
        <f t="array" ref="I57">INDEX('Monthly CF'!$C$68:$DR$68,MATCH((I$3-1)*3+1,'Monthly CF'!$C$3:$DR$3,0))</f>
        <v>727861.008</v>
      </c>
      <c r="J57" s="196">
        <f t="array" ref="J57">INDEX('Monthly CF'!$C$68:$DR$68,MATCH((J$3-1)*3+1,'Monthly CF'!$C$3:$DR$3,0))</f>
        <v>723789.0753</v>
      </c>
      <c r="K57" s="196">
        <f t="array" ref="K57">INDEX('Monthly CF'!$C$68:$DR$68,MATCH((K$3-1)*3+1,'Monthly CF'!$C$3:$DR$3,0))</f>
        <v>719666.031</v>
      </c>
      <c r="L57" s="196">
        <f t="array" ref="L57">INDEX('Monthly CF'!$C$68:$DR$68,MATCH((L$3-1)*3+1,'Monthly CF'!$C$3:$DR$3,0))</f>
        <v>715491.2337</v>
      </c>
      <c r="M57" s="196">
        <f t="array" ref="M57">INDEX('Monthly CF'!$C$68:$DR$68,MATCH((M$3-1)*3+1,'Monthly CF'!$C$3:$DR$3,0))</f>
        <v>711264.0337</v>
      </c>
      <c r="N57" s="196">
        <f t="array" ref="N57">INDEX('Monthly CF'!$C$68:$DR$68,MATCH((N$3-1)*3+1,'Monthly CF'!$C$3:$DR$3,0))</f>
        <v>706983.7732</v>
      </c>
      <c r="O57" s="196">
        <f t="array" ref="O57">INDEX('Monthly CF'!$C$68:$DR$68,MATCH((O$3-1)*3+1,'Monthly CF'!$C$3:$DR$3,0))</f>
        <v>702649.7862</v>
      </c>
      <c r="P57" s="196">
        <f t="array" ref="P57">INDEX('Monthly CF'!$C$68:$DR$68,MATCH((P$3-1)*3+1,'Monthly CF'!$C$3:$DR$3,0))</f>
        <v>698261.3983</v>
      </c>
      <c r="Q57" s="196">
        <f t="array" ref="Q57">INDEX('Monthly CF'!$C$68:$DR$68,MATCH((Q$3-1)*3+1,'Monthly CF'!$C$3:$DR$3,0))</f>
        <v>693817.9267</v>
      </c>
      <c r="R57" s="196">
        <f t="array" ref="R57">INDEX('Monthly CF'!$C$68:$DR$68,MATCH((R$3-1)*3+1,'Monthly CF'!$C$3:$DR$3,0))</f>
        <v>689318.68</v>
      </c>
      <c r="S57" s="196">
        <f t="array" ref="S57">INDEX('Monthly CF'!$C$68:$DR$68,MATCH((S$3-1)*3+1,'Monthly CF'!$C$3:$DR$3,0))</f>
        <v>684762.958</v>
      </c>
      <c r="T57" s="196">
        <f t="array" ref="T57">INDEX('Monthly CF'!$C$68:$DR$68,MATCH((T$3-1)*3+1,'Monthly CF'!$C$3:$DR$3,0))</f>
        <v>680150.0519</v>
      </c>
      <c r="U57" s="196">
        <f t="array" ref="U57">INDEX('Monthly CF'!$C$68:$DR$68,MATCH((U$3-1)*3+1,'Monthly CF'!$C$3:$DR$3,0))</f>
        <v>675479.2439</v>
      </c>
      <c r="V57" s="196">
        <f t="array" ref="V57">INDEX('Monthly CF'!$C$68:$DR$68,MATCH((V$3-1)*3+1,'Monthly CF'!$C$3:$DR$3,0))</f>
        <v>670749.8071</v>
      </c>
      <c r="W57" s="196">
        <f t="array" ref="W57">INDEX('Monthly CF'!$C$68:$DR$68,MATCH((W$3-1)*3+1,'Monthly CF'!$C$3:$DR$3,0))</f>
        <v>0</v>
      </c>
      <c r="X57" s="196">
        <f t="array" ref="X57">INDEX('Monthly CF'!$C$68:$DR$68,MATCH((X$3-1)*3+1,'Monthly CF'!$C$3:$DR$3,0))</f>
        <v>0</v>
      </c>
      <c r="Y57" s="196">
        <f t="array" ref="Y57">INDEX('Monthly CF'!$C$68:$DR$68,MATCH((Y$3-1)*3+1,'Monthly CF'!$C$3:$DR$3,0))</f>
        <v>0</v>
      </c>
      <c r="Z57" s="196">
        <f t="array" ref="Z57">INDEX('Monthly CF'!$C$68:$DR$68,MATCH((Z$3-1)*3+1,'Monthly CF'!$C$3:$DR$3,0))</f>
        <v>0</v>
      </c>
      <c r="AA57" s="196">
        <f t="array" ref="AA57">INDEX('Monthly CF'!$C$68:$DR$68,MATCH((AA$3-1)*3+1,'Monthly CF'!$C$3:$DR$3,0))</f>
        <v>0</v>
      </c>
      <c r="AB57" s="196">
        <f t="array" ref="AB57">INDEX('Monthly CF'!$C$68:$DR$68,MATCH((AB$3-1)*3+1,'Monthly CF'!$C$3:$DR$3,0))</f>
        <v>0</v>
      </c>
      <c r="AC57" s="196">
        <f t="array" ref="AC57">INDEX('Monthly CF'!$C$68:$DR$68,MATCH((AC$3-1)*3+1,'Monthly CF'!$C$3:$DR$3,0))</f>
        <v>0</v>
      </c>
      <c r="AD57" s="196">
        <f t="array" ref="AD57">INDEX('Monthly CF'!$C$68:$DR$68,MATCH((AD$3-1)*3+1,'Monthly CF'!$C$3:$DR$3,0))</f>
        <v>0</v>
      </c>
      <c r="AE57" s="196">
        <f t="array" ref="AE57">INDEX('Monthly CF'!$C$68:$DR$68,MATCH((AE$3-1)*3+1,'Monthly CF'!$C$3:$DR$3,0))</f>
        <v>0</v>
      </c>
      <c r="AF57" s="196">
        <f t="array" ref="AF57">INDEX('Monthly CF'!$C$68:$DR$68,MATCH((AF$3-1)*3+1,'Monthly CF'!$C$3:$DR$3,0))</f>
        <v>0</v>
      </c>
      <c r="AG57" s="196">
        <f t="array" ref="AG57">INDEX('Monthly CF'!$C$68:$DR$68,MATCH((AG$3-1)*3+1,'Monthly CF'!$C$3:$DR$3,0))</f>
        <v>0</v>
      </c>
      <c r="AH57" s="196">
        <f t="array" ref="AH57">INDEX('Monthly CF'!$C$68:$DR$68,MATCH((AH$3-1)*3+1,'Monthly CF'!$C$3:$DR$3,0))</f>
        <v>0</v>
      </c>
      <c r="AI57" s="196">
        <f t="array" ref="AI57">INDEX('Monthly CF'!$C$68:$DR$68,MATCH((AI$3-1)*3+1,'Monthly CF'!$C$3:$DR$3,0))</f>
        <v>0</v>
      </c>
      <c r="AJ57" s="196">
        <f t="array" ref="AJ57">INDEX('Monthly CF'!$C$68:$DR$68,MATCH((AJ$3-1)*3+1,'Monthly CF'!$C$3:$DR$3,0))</f>
        <v>0</v>
      </c>
      <c r="AK57" s="196">
        <f t="array" ref="AK57">INDEX('Monthly CF'!$C$68:$DR$68,MATCH((AK$3-1)*3+1,'Monthly CF'!$C$3:$DR$3,0))</f>
        <v>0</v>
      </c>
      <c r="AL57" s="196">
        <f t="array" ref="AL57">INDEX('Monthly CF'!$C$68:$DR$68,MATCH((AL$3-1)*3+1,'Monthly CF'!$C$3:$DR$3,0))</f>
        <v>0</v>
      </c>
      <c r="AM57" s="196">
        <f t="array" ref="AM57">INDEX('Monthly CF'!$C$68:$DR$68,MATCH((AM$3-1)*3+1,'Monthly CF'!$C$3:$DR$3,0))</f>
        <v>0</v>
      </c>
      <c r="AN57" s="196">
        <f t="array" ref="AN57">INDEX('Monthly CF'!$C$68:$DR$68,MATCH((AN$3-1)*3+1,'Monthly CF'!$C$3:$DR$3,0))</f>
        <v>0</v>
      </c>
      <c r="AO57" s="196">
        <f t="array" ref="AO57">INDEX('Monthly CF'!$C$68:$DR$68,MATCH((AO$3-1)*3+1,'Monthly CF'!$C$3:$DR$3,0))</f>
        <v>0</v>
      </c>
      <c r="AP57" s="196">
        <f t="array" ref="AP57">INDEX('Monthly CF'!$C$68:$DR$68,MATCH((AP$3-1)*3+1,'Monthly CF'!$C$3:$DR$3,0))</f>
        <v>0</v>
      </c>
      <c r="AQ57" s="196" t="str">
        <f t="array" ref="AQ57">INDEX('Monthly CF'!$C$68:$DR$68,MATCH((AQ$3-1)*3+1,'Monthly CF'!$C$3:$DR$3,0))</f>
        <v>#N/A</v>
      </c>
    </row>
    <row r="58" ht="15.75" customHeight="1">
      <c r="A58" s="54"/>
      <c r="B58" s="104" t="s">
        <v>324</v>
      </c>
      <c r="C58" s="196">
        <f>SUMIF('Monthly CF'!$C$4:$DR$4,C$3,'Monthly CF'!$C$69:$DR$69)</f>
        <v>750000</v>
      </c>
      <c r="D58" s="196">
        <f>SUMIF('Monthly CF'!$C$4:$DR$4,D$3,'Monthly CF'!$C$69:$DR$69)</f>
        <v>0</v>
      </c>
      <c r="E58" s="196">
        <f>SUMIF('Monthly CF'!$C$4:$DR$4,E$3,'Monthly CF'!$C$69:$DR$69)</f>
        <v>0</v>
      </c>
      <c r="F58" s="196">
        <f>SUMIF('Monthly CF'!$C$4:$DR$4,F$3,'Monthly CF'!$C$69:$DR$69)</f>
        <v>0</v>
      </c>
      <c r="G58" s="196">
        <f>SUMIF('Monthly CF'!$C$4:$DR$4,G$3,'Monthly CF'!$C$69:$DR$69)</f>
        <v>0</v>
      </c>
      <c r="H58" s="196">
        <f>SUMIF('Monthly CF'!$C$4:$DR$4,H$3,'Monthly CF'!$C$69:$DR$69)</f>
        <v>0</v>
      </c>
      <c r="I58" s="196">
        <f>SUMIF('Monthly CF'!$C$4:$DR$4,I$3,'Monthly CF'!$C$69:$DR$69)</f>
        <v>0</v>
      </c>
      <c r="J58" s="196">
        <f>SUMIF('Monthly CF'!$C$4:$DR$4,J$3,'Monthly CF'!$C$69:$DR$69)</f>
        <v>0</v>
      </c>
      <c r="K58" s="196">
        <f>SUMIF('Monthly CF'!$C$4:$DR$4,K$3,'Monthly CF'!$C$69:$DR$69)</f>
        <v>0</v>
      </c>
      <c r="L58" s="196">
        <f>SUMIF('Monthly CF'!$C$4:$DR$4,L$3,'Monthly CF'!$C$69:$DR$69)</f>
        <v>0</v>
      </c>
      <c r="M58" s="196">
        <f>SUMIF('Monthly CF'!$C$4:$DR$4,M$3,'Monthly CF'!$C$69:$DR$69)</f>
        <v>0</v>
      </c>
      <c r="N58" s="196">
        <f>SUMIF('Monthly CF'!$C$4:$DR$4,N$3,'Monthly CF'!$C$69:$DR$69)</f>
        <v>0</v>
      </c>
      <c r="O58" s="196">
        <f>SUMIF('Monthly CF'!$C$4:$DR$4,O$3,'Monthly CF'!$C$69:$DR$69)</f>
        <v>0</v>
      </c>
      <c r="P58" s="196">
        <f>SUMIF('Monthly CF'!$C$4:$DR$4,P$3,'Monthly CF'!$C$69:$DR$69)</f>
        <v>0</v>
      </c>
      <c r="Q58" s="196">
        <f>SUMIF('Monthly CF'!$C$4:$DR$4,Q$3,'Monthly CF'!$C$69:$DR$69)</f>
        <v>0</v>
      </c>
      <c r="R58" s="196">
        <f>SUMIF('Monthly CF'!$C$4:$DR$4,R$3,'Monthly CF'!$C$69:$DR$69)</f>
        <v>0</v>
      </c>
      <c r="S58" s="196">
        <f>SUMIF('Monthly CF'!$C$4:$DR$4,S$3,'Monthly CF'!$C$69:$DR$69)</f>
        <v>0</v>
      </c>
      <c r="T58" s="196">
        <f>SUMIF('Monthly CF'!$C$4:$DR$4,T$3,'Monthly CF'!$C$69:$DR$69)</f>
        <v>0</v>
      </c>
      <c r="U58" s="196">
        <f>SUMIF('Monthly CF'!$C$4:$DR$4,U$3,'Monthly CF'!$C$69:$DR$69)</f>
        <v>0</v>
      </c>
      <c r="V58" s="196">
        <f>SUMIF('Monthly CF'!$C$4:$DR$4,V$3,'Monthly CF'!$C$69:$DR$69)</f>
        <v>0</v>
      </c>
      <c r="W58" s="196">
        <f>SUMIF('Monthly CF'!$C$4:$DR$4,W$3,'Monthly CF'!$C$69:$DR$69)</f>
        <v>0</v>
      </c>
      <c r="X58" s="196">
        <f>SUMIF('Monthly CF'!$C$4:$DR$4,X$3,'Monthly CF'!$C$69:$DR$69)</f>
        <v>0</v>
      </c>
      <c r="Y58" s="196">
        <f>SUMIF('Monthly CF'!$C$4:$DR$4,Y$3,'Monthly CF'!$C$69:$DR$69)</f>
        <v>0</v>
      </c>
      <c r="Z58" s="196">
        <f>SUMIF('Monthly CF'!$C$4:$DR$4,Z$3,'Monthly CF'!$C$69:$DR$69)</f>
        <v>0</v>
      </c>
      <c r="AA58" s="196">
        <f>SUMIF('Monthly CF'!$C$4:$DR$4,AA$3,'Monthly CF'!$C$69:$DR$69)</f>
        <v>0</v>
      </c>
      <c r="AB58" s="196">
        <f>SUMIF('Monthly CF'!$C$4:$DR$4,AB$3,'Monthly CF'!$C$69:$DR$69)</f>
        <v>0</v>
      </c>
      <c r="AC58" s="196">
        <f>SUMIF('Monthly CF'!$C$4:$DR$4,AC$3,'Monthly CF'!$C$69:$DR$69)</f>
        <v>0</v>
      </c>
      <c r="AD58" s="196">
        <f>SUMIF('Monthly CF'!$C$4:$DR$4,AD$3,'Monthly CF'!$C$69:$DR$69)</f>
        <v>0</v>
      </c>
      <c r="AE58" s="196">
        <f>SUMIF('Monthly CF'!$C$4:$DR$4,AE$3,'Monthly CF'!$C$69:$DR$69)</f>
        <v>0</v>
      </c>
      <c r="AF58" s="196">
        <f>SUMIF('Monthly CF'!$C$4:$DR$4,AF$3,'Monthly CF'!$C$69:$DR$69)</f>
        <v>0</v>
      </c>
      <c r="AG58" s="196">
        <f>SUMIF('Monthly CF'!$C$4:$DR$4,AG$3,'Monthly CF'!$C$69:$DR$69)</f>
        <v>0</v>
      </c>
      <c r="AH58" s="196">
        <f>SUMIF('Monthly CF'!$C$4:$DR$4,AH$3,'Monthly CF'!$C$69:$DR$69)</f>
        <v>0</v>
      </c>
      <c r="AI58" s="196">
        <f>SUMIF('Monthly CF'!$C$4:$DR$4,AI$3,'Monthly CF'!$C$69:$DR$69)</f>
        <v>0</v>
      </c>
      <c r="AJ58" s="196">
        <f>SUMIF('Monthly CF'!$C$4:$DR$4,AJ$3,'Monthly CF'!$C$69:$DR$69)</f>
        <v>0</v>
      </c>
      <c r="AK58" s="196">
        <f>SUMIF('Monthly CF'!$C$4:$DR$4,AK$3,'Monthly CF'!$C$69:$DR$69)</f>
        <v>0</v>
      </c>
      <c r="AL58" s="196">
        <f>SUMIF('Monthly CF'!$C$4:$DR$4,AL$3,'Monthly CF'!$C$69:$DR$69)</f>
        <v>0</v>
      </c>
      <c r="AM58" s="196">
        <f>SUMIF('Monthly CF'!$C$4:$DR$4,AM$3,'Monthly CF'!$C$69:$DR$69)</f>
        <v>0</v>
      </c>
      <c r="AN58" s="196">
        <f>SUMIF('Monthly CF'!$C$4:$DR$4,AN$3,'Monthly CF'!$C$69:$DR$69)</f>
        <v>0</v>
      </c>
      <c r="AO58" s="196">
        <f>SUMIF('Monthly CF'!$C$4:$DR$4,AO$3,'Monthly CF'!$C$69:$DR$69)</f>
        <v>0</v>
      </c>
      <c r="AP58" s="196">
        <f>SUMIF('Monthly CF'!$C$4:$DR$4,AP$3,'Monthly CF'!$C$69:$DR$69)</f>
        <v>0</v>
      </c>
      <c r="AQ58" s="196">
        <f>SUMIF('Monthly CF'!$C$4:$DR$4,AQ$3,'Monthly CF'!$C$69:$DR$69)</f>
        <v>0</v>
      </c>
    </row>
    <row r="59" ht="15.75" customHeight="1">
      <c r="A59" s="54"/>
      <c r="B59" s="104" t="s">
        <v>325</v>
      </c>
      <c r="C59" s="196">
        <f>SUMIF('Monthly CF'!$C$4:$DR$4,C$3,'Monthly CF'!$C$70:$DR$70)</f>
        <v>-6244.752395</v>
      </c>
      <c r="D59" s="196">
        <f>SUMIF('Monthly CF'!$C$4:$DR$4,D$3,'Monthly CF'!$C$70:$DR$70)</f>
        <v>-9327.552445</v>
      </c>
      <c r="E59" s="196">
        <f>SUMIF('Monthly CF'!$C$4:$DR$4,E$3,'Monthly CF'!$C$70:$DR$70)</f>
        <v>-9279.531368</v>
      </c>
      <c r="F59" s="196">
        <f>SUMIF('Monthly CF'!$C$4:$DR$4,F$3,'Monthly CF'!$C$70:$DR$70)</f>
        <v>-9230.907523</v>
      </c>
      <c r="G59" s="196">
        <f>SUMIF('Monthly CF'!$C$4:$DR$4,G$3,'Monthly CF'!$C$70:$DR$70)</f>
        <v>-9181.673344</v>
      </c>
      <c r="H59" s="196">
        <f>SUMIF('Monthly CF'!$C$4:$DR$4,H$3,'Monthly CF'!$C$70:$DR$70)</f>
        <v>-9131.82117</v>
      </c>
      <c r="I59" s="196">
        <f>SUMIF('Monthly CF'!$C$4:$DR$4,I$3,'Monthly CF'!$C$70:$DR$70)</f>
        <v>-9081.343244</v>
      </c>
      <c r="J59" s="196">
        <f>SUMIF('Monthly CF'!$C$4:$DR$4,J$3,'Monthly CF'!$C$70:$DR$70)</f>
        <v>-9030.231711</v>
      </c>
      <c r="K59" s="196">
        <f>SUMIF('Monthly CF'!$C$4:$DR$4,K$3,'Monthly CF'!$C$70:$DR$70)</f>
        <v>-8978.478618</v>
      </c>
      <c r="L59" s="196">
        <f>SUMIF('Monthly CF'!$C$4:$DR$4,L$3,'Monthly CF'!$C$70:$DR$70)</f>
        <v>-8926.075912</v>
      </c>
      <c r="M59" s="196">
        <f>SUMIF('Monthly CF'!$C$4:$DR$4,M$3,'Monthly CF'!$C$70:$DR$70)</f>
        <v>-8873.01544</v>
      </c>
      <c r="N59" s="196">
        <f>SUMIF('Monthly CF'!$C$4:$DR$4,N$3,'Monthly CF'!$C$70:$DR$70)</f>
        <v>-8819.288943</v>
      </c>
      <c r="O59" s="196">
        <f>SUMIF('Monthly CF'!$C$4:$DR$4,O$3,'Monthly CF'!$C$70:$DR$70)</f>
        <v>-8764.888064</v>
      </c>
      <c r="P59" s="196">
        <f>SUMIF('Monthly CF'!$C$4:$DR$4,P$3,'Monthly CF'!$C$70:$DR$70)</f>
        <v>-8709.804336</v>
      </c>
      <c r="Q59" s="196">
        <f>SUMIF('Monthly CF'!$C$4:$DR$4,Q$3,'Monthly CF'!$C$70:$DR$70)</f>
        <v>-8654.029189</v>
      </c>
      <c r="R59" s="196">
        <f>SUMIF('Monthly CF'!$C$4:$DR$4,R$3,'Monthly CF'!$C$70:$DR$70)</f>
        <v>-8597.553944</v>
      </c>
      <c r="S59" s="196">
        <f>SUMIF('Monthly CF'!$C$4:$DR$4,S$3,'Monthly CF'!$C$70:$DR$70)</f>
        <v>-8540.369812</v>
      </c>
      <c r="T59" s="196">
        <f>SUMIF('Monthly CF'!$C$4:$DR$4,T$3,'Monthly CF'!$C$70:$DR$70)</f>
        <v>-8482.467896</v>
      </c>
      <c r="U59" s="196">
        <f>SUMIF('Monthly CF'!$C$4:$DR$4,U$3,'Monthly CF'!$C$70:$DR$70)</f>
        <v>-8423.839187</v>
      </c>
      <c r="V59" s="196">
        <f>SUMIF('Monthly CF'!$C$4:$DR$4,V$3,'Monthly CF'!$C$70:$DR$70)</f>
        <v>-8364.47456</v>
      </c>
      <c r="W59" s="196">
        <f>SUMIF('Monthly CF'!$C$4:$DR$4,W$3,'Monthly CF'!$C$70:$DR$70)</f>
        <v>0</v>
      </c>
      <c r="X59" s="196">
        <f>SUMIF('Monthly CF'!$C$4:$DR$4,X$3,'Monthly CF'!$C$70:$DR$70)</f>
        <v>0</v>
      </c>
      <c r="Y59" s="196">
        <f>SUMIF('Monthly CF'!$C$4:$DR$4,Y$3,'Monthly CF'!$C$70:$DR$70)</f>
        <v>0</v>
      </c>
      <c r="Z59" s="196">
        <f>SUMIF('Monthly CF'!$C$4:$DR$4,Z$3,'Monthly CF'!$C$70:$DR$70)</f>
        <v>0</v>
      </c>
      <c r="AA59" s="196">
        <f>SUMIF('Monthly CF'!$C$4:$DR$4,AA$3,'Monthly CF'!$C$70:$DR$70)</f>
        <v>0</v>
      </c>
      <c r="AB59" s="196">
        <f>SUMIF('Monthly CF'!$C$4:$DR$4,AB$3,'Monthly CF'!$C$70:$DR$70)</f>
        <v>0</v>
      </c>
      <c r="AC59" s="196">
        <f>SUMIF('Monthly CF'!$C$4:$DR$4,AC$3,'Monthly CF'!$C$70:$DR$70)</f>
        <v>0</v>
      </c>
      <c r="AD59" s="196">
        <f>SUMIF('Monthly CF'!$C$4:$DR$4,AD$3,'Monthly CF'!$C$70:$DR$70)</f>
        <v>0</v>
      </c>
      <c r="AE59" s="196">
        <f>SUMIF('Monthly CF'!$C$4:$DR$4,AE$3,'Monthly CF'!$C$70:$DR$70)</f>
        <v>0</v>
      </c>
      <c r="AF59" s="196">
        <f>SUMIF('Monthly CF'!$C$4:$DR$4,AF$3,'Monthly CF'!$C$70:$DR$70)</f>
        <v>0</v>
      </c>
      <c r="AG59" s="196">
        <f>SUMIF('Monthly CF'!$C$4:$DR$4,AG$3,'Monthly CF'!$C$70:$DR$70)</f>
        <v>0</v>
      </c>
      <c r="AH59" s="196">
        <f>SUMIF('Monthly CF'!$C$4:$DR$4,AH$3,'Monthly CF'!$C$70:$DR$70)</f>
        <v>0</v>
      </c>
      <c r="AI59" s="196">
        <f>SUMIF('Monthly CF'!$C$4:$DR$4,AI$3,'Monthly CF'!$C$70:$DR$70)</f>
        <v>0</v>
      </c>
      <c r="AJ59" s="196">
        <f>SUMIF('Monthly CF'!$C$4:$DR$4,AJ$3,'Monthly CF'!$C$70:$DR$70)</f>
        <v>0</v>
      </c>
      <c r="AK59" s="196">
        <f>SUMIF('Monthly CF'!$C$4:$DR$4,AK$3,'Monthly CF'!$C$70:$DR$70)</f>
        <v>0</v>
      </c>
      <c r="AL59" s="196">
        <f>SUMIF('Monthly CF'!$C$4:$DR$4,AL$3,'Monthly CF'!$C$70:$DR$70)</f>
        <v>0</v>
      </c>
      <c r="AM59" s="196">
        <f>SUMIF('Monthly CF'!$C$4:$DR$4,AM$3,'Monthly CF'!$C$70:$DR$70)</f>
        <v>0</v>
      </c>
      <c r="AN59" s="196">
        <f>SUMIF('Monthly CF'!$C$4:$DR$4,AN$3,'Monthly CF'!$C$70:$DR$70)</f>
        <v>0</v>
      </c>
      <c r="AO59" s="196">
        <f>SUMIF('Monthly CF'!$C$4:$DR$4,AO$3,'Monthly CF'!$C$70:$DR$70)</f>
        <v>0</v>
      </c>
      <c r="AP59" s="196">
        <f>SUMIF('Monthly CF'!$C$4:$DR$4,AP$3,'Monthly CF'!$C$70:$DR$70)</f>
        <v>0</v>
      </c>
      <c r="AQ59" s="196">
        <f>SUMIF('Monthly CF'!$C$4:$DR$4,AQ$3,'Monthly CF'!$C$70:$DR$70)</f>
        <v>0</v>
      </c>
    </row>
    <row r="60" ht="15.75" customHeight="1">
      <c r="A60" s="54"/>
      <c r="B60" s="104" t="s">
        <v>326</v>
      </c>
      <c r="C60" s="196">
        <f>SUMIF('Monthly CF'!$C$4:$DR$4,C$3,'Monthly CF'!$C$71:$DR$71)</f>
        <v>2524.098228</v>
      </c>
      <c r="D60" s="196">
        <f>SUMIF('Monthly CF'!$C$4:$DR$4,D$3,'Monthly CF'!$C$71:$DR$71)</f>
        <v>3825.723489</v>
      </c>
      <c r="E60" s="196">
        <f>SUMIF('Monthly CF'!$C$4:$DR$4,E$3,'Monthly CF'!$C$71:$DR$71)</f>
        <v>3873.744566</v>
      </c>
      <c r="F60" s="196">
        <f>SUMIF('Monthly CF'!$C$4:$DR$4,F$3,'Monthly CF'!$C$71:$DR$71)</f>
        <v>3922.368411</v>
      </c>
      <c r="G60" s="196">
        <f>SUMIF('Monthly CF'!$C$4:$DR$4,G$3,'Monthly CF'!$C$71:$DR$71)</f>
        <v>3971.60259</v>
      </c>
      <c r="H60" s="196">
        <f>SUMIF('Monthly CF'!$C$4:$DR$4,H$3,'Monthly CF'!$C$71:$DR$71)</f>
        <v>4021.454764</v>
      </c>
      <c r="I60" s="196">
        <f>SUMIF('Monthly CF'!$C$4:$DR$4,I$3,'Monthly CF'!$C$71:$DR$71)</f>
        <v>4071.93269</v>
      </c>
      <c r="J60" s="196">
        <f>SUMIF('Monthly CF'!$C$4:$DR$4,J$3,'Monthly CF'!$C$71:$DR$71)</f>
        <v>4123.044223</v>
      </c>
      <c r="K60" s="196">
        <f>SUMIF('Monthly CF'!$C$4:$DR$4,K$3,'Monthly CF'!$C$71:$DR$71)</f>
        <v>4174.797316</v>
      </c>
      <c r="L60" s="196">
        <f>SUMIF('Monthly CF'!$C$4:$DR$4,L$3,'Monthly CF'!$C$71:$DR$71)</f>
        <v>4227.200022</v>
      </c>
      <c r="M60" s="196">
        <f>SUMIF('Monthly CF'!$C$4:$DR$4,M$3,'Monthly CF'!$C$71:$DR$71)</f>
        <v>4280.260494</v>
      </c>
      <c r="N60" s="196">
        <f>SUMIF('Monthly CF'!$C$4:$DR$4,N$3,'Monthly CF'!$C$71:$DR$71)</f>
        <v>4333.98699</v>
      </c>
      <c r="O60" s="196">
        <f>SUMIF('Monthly CF'!$C$4:$DR$4,O$3,'Monthly CF'!$C$71:$DR$71)</f>
        <v>4388.38787</v>
      </c>
      <c r="P60" s="196">
        <f>SUMIF('Monthly CF'!$C$4:$DR$4,P$3,'Monthly CF'!$C$71:$DR$71)</f>
        <v>4443.471598</v>
      </c>
      <c r="Q60" s="196">
        <f>SUMIF('Monthly CF'!$C$4:$DR$4,Q$3,'Monthly CF'!$C$71:$DR$71)</f>
        <v>4499.246745</v>
      </c>
      <c r="R60" s="196">
        <f>SUMIF('Monthly CF'!$C$4:$DR$4,R$3,'Monthly CF'!$C$71:$DR$71)</f>
        <v>4555.72199</v>
      </c>
      <c r="S60" s="196">
        <f>SUMIF('Monthly CF'!$C$4:$DR$4,S$3,'Monthly CF'!$C$71:$DR$71)</f>
        <v>4612.906122</v>
      </c>
      <c r="T60" s="196">
        <f>SUMIF('Monthly CF'!$C$4:$DR$4,T$3,'Monthly CF'!$C$71:$DR$71)</f>
        <v>4670.808038</v>
      </c>
      <c r="U60" s="196">
        <f>SUMIF('Monthly CF'!$C$4:$DR$4,U$3,'Monthly CF'!$C$71:$DR$71)</f>
        <v>4729.436747</v>
      </c>
      <c r="V60" s="196">
        <f>SUMIF('Monthly CF'!$C$4:$DR$4,V$3,'Monthly CF'!$C$71:$DR$71)</f>
        <v>4788.801374</v>
      </c>
      <c r="W60" s="196">
        <f>SUMIF('Monthly CF'!$C$4:$DR$4,W$3,'Monthly CF'!$C$71:$DR$71)</f>
        <v>0</v>
      </c>
      <c r="X60" s="196">
        <f>SUMIF('Monthly CF'!$C$4:$DR$4,X$3,'Monthly CF'!$C$71:$DR$71)</f>
        <v>0</v>
      </c>
      <c r="Y60" s="196">
        <f>SUMIF('Monthly CF'!$C$4:$DR$4,Y$3,'Monthly CF'!$C$71:$DR$71)</f>
        <v>0</v>
      </c>
      <c r="Z60" s="196">
        <f>SUMIF('Monthly CF'!$C$4:$DR$4,Z$3,'Monthly CF'!$C$71:$DR$71)</f>
        <v>0</v>
      </c>
      <c r="AA60" s="196">
        <f>SUMIF('Monthly CF'!$C$4:$DR$4,AA$3,'Monthly CF'!$C$71:$DR$71)</f>
        <v>0</v>
      </c>
      <c r="AB60" s="196">
        <f>SUMIF('Monthly CF'!$C$4:$DR$4,AB$3,'Monthly CF'!$C$71:$DR$71)</f>
        <v>0</v>
      </c>
      <c r="AC60" s="196">
        <f>SUMIF('Monthly CF'!$C$4:$DR$4,AC$3,'Monthly CF'!$C$71:$DR$71)</f>
        <v>0</v>
      </c>
      <c r="AD60" s="196">
        <f>SUMIF('Monthly CF'!$C$4:$DR$4,AD$3,'Monthly CF'!$C$71:$DR$71)</f>
        <v>0</v>
      </c>
      <c r="AE60" s="196">
        <f>SUMIF('Monthly CF'!$C$4:$DR$4,AE$3,'Monthly CF'!$C$71:$DR$71)</f>
        <v>0</v>
      </c>
      <c r="AF60" s="196">
        <f>SUMIF('Monthly CF'!$C$4:$DR$4,AF$3,'Monthly CF'!$C$71:$DR$71)</f>
        <v>0</v>
      </c>
      <c r="AG60" s="196">
        <f>SUMIF('Monthly CF'!$C$4:$DR$4,AG$3,'Monthly CF'!$C$71:$DR$71)</f>
        <v>0</v>
      </c>
      <c r="AH60" s="196">
        <f>SUMIF('Monthly CF'!$C$4:$DR$4,AH$3,'Monthly CF'!$C$71:$DR$71)</f>
        <v>0</v>
      </c>
      <c r="AI60" s="196">
        <f>SUMIF('Monthly CF'!$C$4:$DR$4,AI$3,'Monthly CF'!$C$71:$DR$71)</f>
        <v>0</v>
      </c>
      <c r="AJ60" s="196">
        <f>SUMIF('Monthly CF'!$C$4:$DR$4,AJ$3,'Monthly CF'!$C$71:$DR$71)</f>
        <v>0</v>
      </c>
      <c r="AK60" s="196">
        <f>SUMIF('Monthly CF'!$C$4:$DR$4,AK$3,'Monthly CF'!$C$71:$DR$71)</f>
        <v>0</v>
      </c>
      <c r="AL60" s="196">
        <f>SUMIF('Monthly CF'!$C$4:$DR$4,AL$3,'Monthly CF'!$C$71:$DR$71)</f>
        <v>0</v>
      </c>
      <c r="AM60" s="196">
        <f>SUMIF('Monthly CF'!$C$4:$DR$4,AM$3,'Monthly CF'!$C$71:$DR$71)</f>
        <v>0</v>
      </c>
      <c r="AN60" s="196">
        <f>SUMIF('Monthly CF'!$C$4:$DR$4,AN$3,'Monthly CF'!$C$71:$DR$71)</f>
        <v>0</v>
      </c>
      <c r="AO60" s="196">
        <f>SUMIF('Monthly CF'!$C$4:$DR$4,AO$3,'Monthly CF'!$C$71:$DR$71)</f>
        <v>0</v>
      </c>
      <c r="AP60" s="196">
        <f>SUMIF('Monthly CF'!$C$4:$DR$4,AP$3,'Monthly CF'!$C$71:$DR$71)</f>
        <v>0</v>
      </c>
      <c r="AQ60" s="196">
        <f>SUMIF('Monthly CF'!$C$4:$DR$4,AQ$3,'Monthly CF'!$C$71:$DR$71)</f>
        <v>0</v>
      </c>
    </row>
    <row r="61" ht="15.75" customHeight="1">
      <c r="A61" s="54"/>
      <c r="B61" s="104" t="s">
        <v>331</v>
      </c>
      <c r="C61" s="196">
        <f>SUMIF('Monthly CF'!$C$4:$DR$4,C$3,'Monthly CF'!$C$72:$DR$72)</f>
        <v>0</v>
      </c>
      <c r="D61" s="196">
        <f>SUMIF('Monthly CF'!$C$4:$DR$4,D$3,'Monthly CF'!$C$72:$DR$72)</f>
        <v>0</v>
      </c>
      <c r="E61" s="196">
        <f>SUMIF('Monthly CF'!$C$4:$DR$4,E$3,'Monthly CF'!$C$72:$DR$72)</f>
        <v>0</v>
      </c>
      <c r="F61" s="196">
        <f>SUMIF('Monthly CF'!$C$4:$DR$4,F$3,'Monthly CF'!$C$72:$DR$72)</f>
        <v>0</v>
      </c>
      <c r="G61" s="196">
        <f>SUMIF('Monthly CF'!$C$4:$DR$4,G$3,'Monthly CF'!$C$72:$DR$72)</f>
        <v>0</v>
      </c>
      <c r="H61" s="196">
        <f>SUMIF('Monthly CF'!$C$4:$DR$4,H$3,'Monthly CF'!$C$72:$DR$72)</f>
        <v>0</v>
      </c>
      <c r="I61" s="196">
        <f>SUMIF('Monthly CF'!$C$4:$DR$4,I$3,'Monthly CF'!$C$72:$DR$72)</f>
        <v>0</v>
      </c>
      <c r="J61" s="196">
        <f>SUMIF('Monthly CF'!$C$4:$DR$4,J$3,'Monthly CF'!$C$72:$DR$72)</f>
        <v>0</v>
      </c>
      <c r="K61" s="196">
        <f>SUMIF('Monthly CF'!$C$4:$DR$4,K$3,'Monthly CF'!$C$72:$DR$72)</f>
        <v>0</v>
      </c>
      <c r="L61" s="196">
        <f>SUMIF('Monthly CF'!$C$4:$DR$4,L$3,'Monthly CF'!$C$72:$DR$72)</f>
        <v>0</v>
      </c>
      <c r="M61" s="196">
        <f>SUMIF('Monthly CF'!$C$4:$DR$4,M$3,'Monthly CF'!$C$72:$DR$72)</f>
        <v>0</v>
      </c>
      <c r="N61" s="196">
        <f>SUMIF('Monthly CF'!$C$4:$DR$4,N$3,'Monthly CF'!$C$72:$DR$72)</f>
        <v>0</v>
      </c>
      <c r="O61" s="196">
        <f>SUMIF('Monthly CF'!$C$4:$DR$4,O$3,'Monthly CF'!$C$72:$DR$72)</f>
        <v>0</v>
      </c>
      <c r="P61" s="196">
        <f>SUMIF('Monthly CF'!$C$4:$DR$4,P$3,'Monthly CF'!$C$72:$DR$72)</f>
        <v>0</v>
      </c>
      <c r="Q61" s="196">
        <f>SUMIF('Monthly CF'!$C$4:$DR$4,Q$3,'Monthly CF'!$C$72:$DR$72)</f>
        <v>0</v>
      </c>
      <c r="R61" s="196">
        <f>SUMIF('Monthly CF'!$C$4:$DR$4,R$3,'Monthly CF'!$C$72:$DR$72)</f>
        <v>0</v>
      </c>
      <c r="S61" s="196">
        <f>SUMIF('Monthly CF'!$C$4:$DR$4,S$3,'Monthly CF'!$C$72:$DR$72)</f>
        <v>0</v>
      </c>
      <c r="T61" s="196">
        <f>SUMIF('Monthly CF'!$C$4:$DR$4,T$3,'Monthly CF'!$C$72:$DR$72)</f>
        <v>0</v>
      </c>
      <c r="U61" s="196">
        <f>SUMIF('Monthly CF'!$C$4:$DR$4,U$3,'Monthly CF'!$C$72:$DR$72)</f>
        <v>0</v>
      </c>
      <c r="V61" s="196">
        <f>SUMIF('Monthly CF'!$C$4:$DR$4,V$3,'Monthly CF'!$C$72:$DR$72)</f>
        <v>-665961.0057</v>
      </c>
      <c r="W61" s="196">
        <f>SUMIF('Monthly CF'!$C$4:$DR$4,W$3,'Monthly CF'!$C$72:$DR$72)</f>
        <v>0</v>
      </c>
      <c r="X61" s="196">
        <f>SUMIF('Monthly CF'!$C$4:$DR$4,X$3,'Monthly CF'!$C$72:$DR$72)</f>
        <v>0</v>
      </c>
      <c r="Y61" s="196">
        <f>SUMIF('Monthly CF'!$C$4:$DR$4,Y$3,'Monthly CF'!$C$72:$DR$72)</f>
        <v>0</v>
      </c>
      <c r="Z61" s="196">
        <f>SUMIF('Monthly CF'!$C$4:$DR$4,Z$3,'Monthly CF'!$C$72:$DR$72)</f>
        <v>0</v>
      </c>
      <c r="AA61" s="196">
        <f>SUMIF('Monthly CF'!$C$4:$DR$4,AA$3,'Monthly CF'!$C$72:$DR$72)</f>
        <v>0</v>
      </c>
      <c r="AB61" s="196">
        <f>SUMIF('Monthly CF'!$C$4:$DR$4,AB$3,'Monthly CF'!$C$72:$DR$72)</f>
        <v>0</v>
      </c>
      <c r="AC61" s="196">
        <f>SUMIF('Monthly CF'!$C$4:$DR$4,AC$3,'Monthly CF'!$C$72:$DR$72)</f>
        <v>0</v>
      </c>
      <c r="AD61" s="196">
        <f>SUMIF('Monthly CF'!$C$4:$DR$4,AD$3,'Monthly CF'!$C$72:$DR$72)</f>
        <v>0</v>
      </c>
      <c r="AE61" s="196">
        <f>SUMIF('Monthly CF'!$C$4:$DR$4,AE$3,'Monthly CF'!$C$72:$DR$72)</f>
        <v>0</v>
      </c>
      <c r="AF61" s="196">
        <f>SUMIF('Monthly CF'!$C$4:$DR$4,AF$3,'Monthly CF'!$C$72:$DR$72)</f>
        <v>0</v>
      </c>
      <c r="AG61" s="196">
        <f>SUMIF('Monthly CF'!$C$4:$DR$4,AG$3,'Monthly CF'!$C$72:$DR$72)</f>
        <v>0</v>
      </c>
      <c r="AH61" s="196">
        <f>SUMIF('Monthly CF'!$C$4:$DR$4,AH$3,'Monthly CF'!$C$72:$DR$72)</f>
        <v>0</v>
      </c>
      <c r="AI61" s="196">
        <f>SUMIF('Monthly CF'!$C$4:$DR$4,AI$3,'Monthly CF'!$C$72:$DR$72)</f>
        <v>0</v>
      </c>
      <c r="AJ61" s="196">
        <f>SUMIF('Monthly CF'!$C$4:$DR$4,AJ$3,'Monthly CF'!$C$72:$DR$72)</f>
        <v>0</v>
      </c>
      <c r="AK61" s="196">
        <f>SUMIF('Monthly CF'!$C$4:$DR$4,AK$3,'Monthly CF'!$C$72:$DR$72)</f>
        <v>0</v>
      </c>
      <c r="AL61" s="196">
        <f>SUMIF('Monthly CF'!$C$4:$DR$4,AL$3,'Monthly CF'!$C$72:$DR$72)</f>
        <v>0</v>
      </c>
      <c r="AM61" s="196">
        <f>SUMIF('Monthly CF'!$C$4:$DR$4,AM$3,'Monthly CF'!$C$72:$DR$72)</f>
        <v>0</v>
      </c>
      <c r="AN61" s="196">
        <f>SUMIF('Monthly CF'!$C$4:$DR$4,AN$3,'Monthly CF'!$C$72:$DR$72)</f>
        <v>0</v>
      </c>
      <c r="AO61" s="196">
        <f>SUMIF('Monthly CF'!$C$4:$DR$4,AO$3,'Monthly CF'!$C$72:$DR$72)</f>
        <v>0</v>
      </c>
      <c r="AP61" s="196">
        <f>SUMIF('Monthly CF'!$C$4:$DR$4,AP$3,'Monthly CF'!$C$72:$DR$72)</f>
        <v>0</v>
      </c>
      <c r="AQ61" s="196">
        <f>SUMIF('Monthly CF'!$C$4:$DR$4,AQ$3,'Monthly CF'!$C$72:$DR$72)</f>
        <v>0</v>
      </c>
    </row>
    <row r="62" ht="15.75" customHeight="1">
      <c r="A62" s="54"/>
      <c r="B62" s="127" t="s">
        <v>328</v>
      </c>
      <c r="C62" s="197">
        <f t="array" ref="C62">INDEX('Monthly CF'!$C$73:$DR$73,MATCH(C$3*3,'Monthly CF'!$C$3:$DR$3,0))</f>
        <v>747475.9018</v>
      </c>
      <c r="D62" s="197">
        <f t="array" ref="D62">INDEX('Monthly CF'!$C$73:$DR$73,MATCH(D$3*3,'Monthly CF'!$C$3:$DR$3,0))</f>
        <v>743650.1783</v>
      </c>
      <c r="E62" s="197">
        <f t="array" ref="E62">INDEX('Monthly CF'!$C$73:$DR$73,MATCH(E$3*3,'Monthly CF'!$C$3:$DR$3,0))</f>
        <v>739776.4337</v>
      </c>
      <c r="F62" s="197">
        <f t="array" ref="F62">INDEX('Monthly CF'!$C$73:$DR$73,MATCH(F$3*3,'Monthly CF'!$C$3:$DR$3,0))</f>
        <v>735854.0653</v>
      </c>
      <c r="G62" s="197">
        <f t="array" ref="G62">INDEX('Monthly CF'!$C$73:$DR$73,MATCH(G$3*3,'Monthly CF'!$C$3:$DR$3,0))</f>
        <v>731882.4627</v>
      </c>
      <c r="H62" s="197">
        <f t="array" ref="H62">INDEX('Monthly CF'!$C$73:$DR$73,MATCH(H$3*3,'Monthly CF'!$C$3:$DR$3,0))</f>
        <v>727861.008</v>
      </c>
      <c r="I62" s="197">
        <f t="array" ref="I62">INDEX('Monthly CF'!$C$73:$DR$73,MATCH(I$3*3,'Monthly CF'!$C$3:$DR$3,0))</f>
        <v>723789.0753</v>
      </c>
      <c r="J62" s="197">
        <f t="array" ref="J62">INDEX('Monthly CF'!$C$73:$DR$73,MATCH(J$3*3,'Monthly CF'!$C$3:$DR$3,0))</f>
        <v>719666.031</v>
      </c>
      <c r="K62" s="197">
        <f t="array" ref="K62">INDEX('Monthly CF'!$C$73:$DR$73,MATCH(K$3*3,'Monthly CF'!$C$3:$DR$3,0))</f>
        <v>715491.2337</v>
      </c>
      <c r="L62" s="197">
        <f t="array" ref="L62">INDEX('Monthly CF'!$C$73:$DR$73,MATCH(L$3*3,'Monthly CF'!$C$3:$DR$3,0))</f>
        <v>711264.0337</v>
      </c>
      <c r="M62" s="197">
        <f t="array" ref="M62">INDEX('Monthly CF'!$C$73:$DR$73,MATCH(M$3*3,'Monthly CF'!$C$3:$DR$3,0))</f>
        <v>706983.7732</v>
      </c>
      <c r="N62" s="197">
        <f t="array" ref="N62">INDEX('Monthly CF'!$C$73:$DR$73,MATCH(N$3*3,'Monthly CF'!$C$3:$DR$3,0))</f>
        <v>702649.7862</v>
      </c>
      <c r="O62" s="197">
        <f t="array" ref="O62">INDEX('Monthly CF'!$C$73:$DR$73,MATCH(O$3*3,'Monthly CF'!$C$3:$DR$3,0))</f>
        <v>698261.3983</v>
      </c>
      <c r="P62" s="197">
        <f t="array" ref="P62">INDEX('Monthly CF'!$C$73:$DR$73,MATCH(P$3*3,'Monthly CF'!$C$3:$DR$3,0))</f>
        <v>693817.9267</v>
      </c>
      <c r="Q62" s="197">
        <f t="array" ref="Q62">INDEX('Monthly CF'!$C$73:$DR$73,MATCH(Q$3*3,'Monthly CF'!$C$3:$DR$3,0))</f>
        <v>689318.68</v>
      </c>
      <c r="R62" s="197">
        <f t="array" ref="R62">INDEX('Monthly CF'!$C$73:$DR$73,MATCH(R$3*3,'Monthly CF'!$C$3:$DR$3,0))</f>
        <v>684762.958</v>
      </c>
      <c r="S62" s="197">
        <f t="array" ref="S62">INDEX('Monthly CF'!$C$73:$DR$73,MATCH(S$3*3,'Monthly CF'!$C$3:$DR$3,0))</f>
        <v>680150.0519</v>
      </c>
      <c r="T62" s="197">
        <f t="array" ref="T62">INDEX('Monthly CF'!$C$73:$DR$73,MATCH(T$3*3,'Monthly CF'!$C$3:$DR$3,0))</f>
        <v>675479.2439</v>
      </c>
      <c r="U62" s="197">
        <f t="array" ref="U62">INDEX('Monthly CF'!$C$73:$DR$73,MATCH(U$3*3,'Monthly CF'!$C$3:$DR$3,0))</f>
        <v>670749.8071</v>
      </c>
      <c r="V62" s="197">
        <f t="array" ref="V62">INDEX('Monthly CF'!$C$73:$DR$73,MATCH(V$3*3,'Monthly CF'!$C$3:$DR$3,0))</f>
        <v>0</v>
      </c>
      <c r="W62" s="197">
        <f t="array" ref="W62">INDEX('Monthly CF'!$C$73:$DR$73,MATCH(W$3*3,'Monthly CF'!$C$3:$DR$3,0))</f>
        <v>0</v>
      </c>
      <c r="X62" s="197">
        <f t="array" ref="X62">INDEX('Monthly CF'!$C$73:$DR$73,MATCH(X$3*3,'Monthly CF'!$C$3:$DR$3,0))</f>
        <v>0</v>
      </c>
      <c r="Y62" s="197">
        <f t="array" ref="Y62">INDEX('Monthly CF'!$C$73:$DR$73,MATCH(Y$3*3,'Monthly CF'!$C$3:$DR$3,0))</f>
        <v>0</v>
      </c>
      <c r="Z62" s="197">
        <f t="array" ref="Z62">INDEX('Monthly CF'!$C$73:$DR$73,MATCH(Z$3*3,'Monthly CF'!$C$3:$DR$3,0))</f>
        <v>0</v>
      </c>
      <c r="AA62" s="197">
        <f t="array" ref="AA62">INDEX('Monthly CF'!$C$73:$DR$73,MATCH(AA$3*3,'Monthly CF'!$C$3:$DR$3,0))</f>
        <v>0</v>
      </c>
      <c r="AB62" s="197">
        <f t="array" ref="AB62">INDEX('Monthly CF'!$C$73:$DR$73,MATCH(AB$3*3,'Monthly CF'!$C$3:$DR$3,0))</f>
        <v>0</v>
      </c>
      <c r="AC62" s="197">
        <f t="array" ref="AC62">INDEX('Monthly CF'!$C$73:$DR$73,MATCH(AC$3*3,'Monthly CF'!$C$3:$DR$3,0))</f>
        <v>0</v>
      </c>
      <c r="AD62" s="197">
        <f t="array" ref="AD62">INDEX('Monthly CF'!$C$73:$DR$73,MATCH(AD$3*3,'Monthly CF'!$C$3:$DR$3,0))</f>
        <v>0</v>
      </c>
      <c r="AE62" s="197">
        <f t="array" ref="AE62">INDEX('Monthly CF'!$C$73:$DR$73,MATCH(AE$3*3,'Monthly CF'!$C$3:$DR$3,0))</f>
        <v>0</v>
      </c>
      <c r="AF62" s="197">
        <f t="array" ref="AF62">INDEX('Monthly CF'!$C$73:$DR$73,MATCH(AF$3*3,'Monthly CF'!$C$3:$DR$3,0))</f>
        <v>0</v>
      </c>
      <c r="AG62" s="197">
        <f t="array" ref="AG62">INDEX('Monthly CF'!$C$73:$DR$73,MATCH(AG$3*3,'Monthly CF'!$C$3:$DR$3,0))</f>
        <v>0</v>
      </c>
      <c r="AH62" s="197">
        <f t="array" ref="AH62">INDEX('Monthly CF'!$C$73:$DR$73,MATCH(AH$3*3,'Monthly CF'!$C$3:$DR$3,0))</f>
        <v>0</v>
      </c>
      <c r="AI62" s="197">
        <f t="array" ref="AI62">INDEX('Monthly CF'!$C$73:$DR$73,MATCH(AI$3*3,'Monthly CF'!$C$3:$DR$3,0))</f>
        <v>0</v>
      </c>
      <c r="AJ62" s="197">
        <f t="array" ref="AJ62">INDEX('Monthly CF'!$C$73:$DR$73,MATCH(AJ$3*3,'Monthly CF'!$C$3:$DR$3,0))</f>
        <v>0</v>
      </c>
      <c r="AK62" s="197">
        <f t="array" ref="AK62">INDEX('Monthly CF'!$C$73:$DR$73,MATCH(AK$3*3,'Monthly CF'!$C$3:$DR$3,0))</f>
        <v>0</v>
      </c>
      <c r="AL62" s="197">
        <f t="array" ref="AL62">INDEX('Monthly CF'!$C$73:$DR$73,MATCH(AL$3*3,'Monthly CF'!$C$3:$DR$3,0))</f>
        <v>0</v>
      </c>
      <c r="AM62" s="197">
        <f t="array" ref="AM62">INDEX('Monthly CF'!$C$73:$DR$73,MATCH(AM$3*3,'Monthly CF'!$C$3:$DR$3,0))</f>
        <v>0</v>
      </c>
      <c r="AN62" s="197">
        <f t="array" ref="AN62">INDEX('Monthly CF'!$C$73:$DR$73,MATCH(AN$3*3,'Monthly CF'!$C$3:$DR$3,0))</f>
        <v>0</v>
      </c>
      <c r="AO62" s="197">
        <f t="array" ref="AO62">INDEX('Monthly CF'!$C$73:$DR$73,MATCH(AO$3*3,'Monthly CF'!$C$3:$DR$3,0))</f>
        <v>0</v>
      </c>
      <c r="AP62" s="197">
        <f t="array" ref="AP62">INDEX('Monthly CF'!$C$73:$DR$73,MATCH(AP$3*3,'Monthly CF'!$C$3:$DR$3,0))</f>
        <v>0</v>
      </c>
      <c r="AQ62" s="197" t="str">
        <f t="array" ref="AQ62">INDEX('Monthly CF'!$C$73:$DR$73,MATCH(AQ$3*3,'Monthly CF'!$C$3:$DR$3,0))</f>
        <v>#N/A</v>
      </c>
    </row>
    <row r="63" ht="15.75" customHeight="1">
      <c r="A63" s="54"/>
      <c r="B63" s="104" t="s">
        <v>332</v>
      </c>
      <c r="C63" s="198">
        <f>SUMIF('Monthly CF'!$C$4:$DR$4,C$3,'Monthly CF'!$C$74:$DR$74)</f>
        <v>-8768.850623</v>
      </c>
      <c r="D63" s="198">
        <f>SUMIF('Monthly CF'!$C$4:$DR$4,D$3,'Monthly CF'!$C$74:$DR$74)</f>
        <v>-13153.27593</v>
      </c>
      <c r="E63" s="198">
        <f>SUMIF('Monthly CF'!$C$4:$DR$4,E$3,'Monthly CF'!$C$74:$DR$74)</f>
        <v>-13153.27593</v>
      </c>
      <c r="F63" s="198">
        <f>SUMIF('Monthly CF'!$C$4:$DR$4,F$3,'Monthly CF'!$C$74:$DR$74)</f>
        <v>-13153.27593</v>
      </c>
      <c r="G63" s="198">
        <f>SUMIF('Monthly CF'!$C$4:$DR$4,G$3,'Monthly CF'!$C$74:$DR$74)</f>
        <v>-13153.27593</v>
      </c>
      <c r="H63" s="198">
        <f>SUMIF('Monthly CF'!$C$4:$DR$4,H$3,'Monthly CF'!$C$74:$DR$74)</f>
        <v>-13153.27593</v>
      </c>
      <c r="I63" s="198">
        <f>SUMIF('Monthly CF'!$C$4:$DR$4,I$3,'Monthly CF'!$C$74:$DR$74)</f>
        <v>-13153.27593</v>
      </c>
      <c r="J63" s="198">
        <f>SUMIF('Monthly CF'!$C$4:$DR$4,J$3,'Monthly CF'!$C$74:$DR$74)</f>
        <v>-13153.27593</v>
      </c>
      <c r="K63" s="198">
        <f>SUMIF('Monthly CF'!$C$4:$DR$4,K$3,'Monthly CF'!$C$74:$DR$74)</f>
        <v>-13153.27593</v>
      </c>
      <c r="L63" s="198">
        <f>SUMIF('Monthly CF'!$C$4:$DR$4,L$3,'Monthly CF'!$C$74:$DR$74)</f>
        <v>-13153.27593</v>
      </c>
      <c r="M63" s="198">
        <f>SUMIF('Monthly CF'!$C$4:$DR$4,M$3,'Monthly CF'!$C$74:$DR$74)</f>
        <v>-13153.27593</v>
      </c>
      <c r="N63" s="198">
        <f>SUMIF('Monthly CF'!$C$4:$DR$4,N$3,'Monthly CF'!$C$74:$DR$74)</f>
        <v>-13153.27593</v>
      </c>
      <c r="O63" s="198">
        <f>SUMIF('Monthly CF'!$C$4:$DR$4,O$3,'Monthly CF'!$C$74:$DR$74)</f>
        <v>-13153.27593</v>
      </c>
      <c r="P63" s="198">
        <f>SUMIF('Monthly CF'!$C$4:$DR$4,P$3,'Monthly CF'!$C$74:$DR$74)</f>
        <v>-13153.27593</v>
      </c>
      <c r="Q63" s="198">
        <f>SUMIF('Monthly CF'!$C$4:$DR$4,Q$3,'Monthly CF'!$C$74:$DR$74)</f>
        <v>-13153.27593</v>
      </c>
      <c r="R63" s="198">
        <f>SUMIF('Monthly CF'!$C$4:$DR$4,R$3,'Monthly CF'!$C$74:$DR$74)</f>
        <v>-13153.27593</v>
      </c>
      <c r="S63" s="198">
        <f>SUMIF('Monthly CF'!$C$4:$DR$4,S$3,'Monthly CF'!$C$74:$DR$74)</f>
        <v>-13153.27593</v>
      </c>
      <c r="T63" s="198">
        <f>SUMIF('Monthly CF'!$C$4:$DR$4,T$3,'Monthly CF'!$C$74:$DR$74)</f>
        <v>-13153.27593</v>
      </c>
      <c r="U63" s="198">
        <f>SUMIF('Monthly CF'!$C$4:$DR$4,U$3,'Monthly CF'!$C$74:$DR$74)</f>
        <v>-13153.27593</v>
      </c>
      <c r="V63" s="198">
        <f>SUMIF('Monthly CF'!$C$4:$DR$4,V$3,'Monthly CF'!$C$74:$DR$74)</f>
        <v>-679114.2817</v>
      </c>
      <c r="W63" s="198">
        <f>SUMIF('Monthly CF'!$C$4:$DR$4,W$3,'Monthly CF'!$C$74:$DR$74)</f>
        <v>0</v>
      </c>
      <c r="X63" s="198">
        <f>SUMIF('Monthly CF'!$C$4:$DR$4,X$3,'Monthly CF'!$C$74:$DR$74)</f>
        <v>0</v>
      </c>
      <c r="Y63" s="198">
        <f>SUMIF('Monthly CF'!$C$4:$DR$4,Y$3,'Monthly CF'!$C$74:$DR$74)</f>
        <v>0</v>
      </c>
      <c r="Z63" s="198">
        <f>SUMIF('Monthly CF'!$C$4:$DR$4,Z$3,'Monthly CF'!$C$74:$DR$74)</f>
        <v>0</v>
      </c>
      <c r="AA63" s="198">
        <f>SUMIF('Monthly CF'!$C$4:$DR$4,AA$3,'Monthly CF'!$C$74:$DR$74)</f>
        <v>0</v>
      </c>
      <c r="AB63" s="198">
        <f>SUMIF('Monthly CF'!$C$4:$DR$4,AB$3,'Monthly CF'!$C$74:$DR$74)</f>
        <v>0</v>
      </c>
      <c r="AC63" s="198">
        <f>SUMIF('Monthly CF'!$C$4:$DR$4,AC$3,'Monthly CF'!$C$74:$DR$74)</f>
        <v>0</v>
      </c>
      <c r="AD63" s="198">
        <f>SUMIF('Monthly CF'!$C$4:$DR$4,AD$3,'Monthly CF'!$C$74:$DR$74)</f>
        <v>0</v>
      </c>
      <c r="AE63" s="198">
        <f>SUMIF('Monthly CF'!$C$4:$DR$4,AE$3,'Monthly CF'!$C$74:$DR$74)</f>
        <v>0</v>
      </c>
      <c r="AF63" s="198">
        <f>SUMIF('Monthly CF'!$C$4:$DR$4,AF$3,'Monthly CF'!$C$74:$DR$74)</f>
        <v>0</v>
      </c>
      <c r="AG63" s="198">
        <f>SUMIF('Monthly CF'!$C$4:$DR$4,AG$3,'Monthly CF'!$C$74:$DR$74)</f>
        <v>0</v>
      </c>
      <c r="AH63" s="198">
        <f>SUMIF('Monthly CF'!$C$4:$DR$4,AH$3,'Monthly CF'!$C$74:$DR$74)</f>
        <v>0</v>
      </c>
      <c r="AI63" s="198">
        <f>SUMIF('Monthly CF'!$C$4:$DR$4,AI$3,'Monthly CF'!$C$74:$DR$74)</f>
        <v>0</v>
      </c>
      <c r="AJ63" s="198">
        <f>SUMIF('Monthly CF'!$C$4:$DR$4,AJ$3,'Monthly CF'!$C$74:$DR$74)</f>
        <v>0</v>
      </c>
      <c r="AK63" s="198">
        <f>SUMIF('Monthly CF'!$C$4:$DR$4,AK$3,'Monthly CF'!$C$74:$DR$74)</f>
        <v>0</v>
      </c>
      <c r="AL63" s="198">
        <f>SUMIF('Monthly CF'!$C$4:$DR$4,AL$3,'Monthly CF'!$C$74:$DR$74)</f>
        <v>0</v>
      </c>
      <c r="AM63" s="198">
        <f>SUMIF('Monthly CF'!$C$4:$DR$4,AM$3,'Monthly CF'!$C$74:$DR$74)</f>
        <v>0</v>
      </c>
      <c r="AN63" s="198">
        <f>SUMIF('Monthly CF'!$C$4:$DR$4,AN$3,'Monthly CF'!$C$74:$DR$74)</f>
        <v>0</v>
      </c>
      <c r="AO63" s="198">
        <f>SUMIF('Monthly CF'!$C$4:$DR$4,AO$3,'Monthly CF'!$C$74:$DR$74)</f>
        <v>0</v>
      </c>
      <c r="AP63" s="198">
        <f>SUMIF('Monthly CF'!$C$4:$DR$4,AP$3,'Monthly CF'!$C$74:$DR$74)</f>
        <v>0</v>
      </c>
      <c r="AQ63" s="198">
        <f>SUMIF('Monthly CF'!$C$4:$DR$4,AQ$3,'Monthly CF'!$C$74:$DR$74)</f>
        <v>0</v>
      </c>
    </row>
    <row r="64" ht="15.75" customHeight="1">
      <c r="A64" s="54"/>
      <c r="B64" s="5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</row>
    <row r="65" ht="15.75" customHeight="1">
      <c r="A65" s="54"/>
      <c r="B65" s="130" t="s">
        <v>333</v>
      </c>
      <c r="C65" s="195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  <c r="AK65" s="130"/>
      <c r="AL65" s="130"/>
      <c r="AM65" s="130"/>
      <c r="AN65" s="130"/>
      <c r="AO65" s="130"/>
      <c r="AP65" s="130"/>
      <c r="AQ65" s="130"/>
    </row>
    <row r="66" ht="15.75" customHeight="1">
      <c r="A66" s="54"/>
      <c r="B66" s="104" t="s">
        <v>323</v>
      </c>
      <c r="C66" s="196">
        <f t="array" ref="C66">INDEX('Monthly CF'!$C$77:$DR$77,MATCH((C$3-1)*3+1,'Monthly CF'!$C$3:$DR$3,0))</f>
        <v>0</v>
      </c>
      <c r="D66" s="196">
        <f t="array" ref="D66">INDEX('Monthly CF'!$C$77:$DR$77,MATCH((D$3-1)*3+1,'Monthly CF'!$C$3:$DR$3,0))</f>
        <v>0</v>
      </c>
      <c r="E66" s="196">
        <f t="array" ref="E66">INDEX('Monthly CF'!$C$77:$DR$77,MATCH((E$3-1)*3+1,'Monthly CF'!$C$3:$DR$3,0))</f>
        <v>0</v>
      </c>
      <c r="F66" s="196">
        <f t="array" ref="F66">INDEX('Monthly CF'!$C$77:$DR$77,MATCH((F$3-1)*3+1,'Monthly CF'!$C$3:$DR$3,0))</f>
        <v>0</v>
      </c>
      <c r="G66" s="196">
        <f t="array" ref="G66">INDEX('Monthly CF'!$C$77:$DR$77,MATCH((G$3-1)*3+1,'Monthly CF'!$C$3:$DR$3,0))</f>
        <v>0</v>
      </c>
      <c r="H66" s="196">
        <f t="array" ref="H66">INDEX('Monthly CF'!$C$77:$DR$77,MATCH((H$3-1)*3+1,'Monthly CF'!$C$3:$DR$3,0))</f>
        <v>0</v>
      </c>
      <c r="I66" s="196">
        <f t="array" ref="I66">INDEX('Monthly CF'!$C$77:$DR$77,MATCH((I$3-1)*3+1,'Monthly CF'!$C$3:$DR$3,0))</f>
        <v>0</v>
      </c>
      <c r="J66" s="196">
        <f t="array" ref="J66">INDEX('Monthly CF'!$C$77:$DR$77,MATCH((J$3-1)*3+1,'Monthly CF'!$C$3:$DR$3,0))</f>
        <v>0</v>
      </c>
      <c r="K66" s="196">
        <f t="array" ref="K66">INDEX('Monthly CF'!$C$77:$DR$77,MATCH((K$3-1)*3+1,'Monthly CF'!$C$3:$DR$3,0))</f>
        <v>0</v>
      </c>
      <c r="L66" s="196">
        <f t="array" ref="L66">INDEX('Monthly CF'!$C$77:$DR$77,MATCH((L$3-1)*3+1,'Monthly CF'!$C$3:$DR$3,0))</f>
        <v>0</v>
      </c>
      <c r="M66" s="196">
        <f t="array" ref="M66">INDEX('Monthly CF'!$C$77:$DR$77,MATCH((M$3-1)*3+1,'Monthly CF'!$C$3:$DR$3,0))</f>
        <v>0</v>
      </c>
      <c r="N66" s="196">
        <f t="array" ref="N66">INDEX('Monthly CF'!$C$77:$DR$77,MATCH((N$3-1)*3+1,'Monthly CF'!$C$3:$DR$3,0))</f>
        <v>0</v>
      </c>
      <c r="O66" s="196">
        <f t="array" ref="O66">INDEX('Monthly CF'!$C$77:$DR$77,MATCH((O$3-1)*3+1,'Monthly CF'!$C$3:$DR$3,0))</f>
        <v>0</v>
      </c>
      <c r="P66" s="196">
        <f t="array" ref="P66">INDEX('Monthly CF'!$C$77:$DR$77,MATCH((P$3-1)*3+1,'Monthly CF'!$C$3:$DR$3,0))</f>
        <v>0</v>
      </c>
      <c r="Q66" s="196">
        <f t="array" ref="Q66">INDEX('Monthly CF'!$C$77:$DR$77,MATCH((Q$3-1)*3+1,'Monthly CF'!$C$3:$DR$3,0))</f>
        <v>0</v>
      </c>
      <c r="R66" s="196">
        <f t="array" ref="R66">INDEX('Monthly CF'!$C$77:$DR$77,MATCH((R$3-1)*3+1,'Monthly CF'!$C$3:$DR$3,0))</f>
        <v>0</v>
      </c>
      <c r="S66" s="196">
        <f t="array" ref="S66">INDEX('Monthly CF'!$C$77:$DR$77,MATCH((S$3-1)*3+1,'Monthly CF'!$C$3:$DR$3,0))</f>
        <v>0</v>
      </c>
      <c r="T66" s="196">
        <f t="array" ref="T66">INDEX('Monthly CF'!$C$77:$DR$77,MATCH((T$3-1)*3+1,'Monthly CF'!$C$3:$DR$3,0))</f>
        <v>0</v>
      </c>
      <c r="U66" s="196">
        <f t="array" ref="U66">INDEX('Monthly CF'!$C$77:$DR$77,MATCH((U$3-1)*3+1,'Monthly CF'!$C$3:$DR$3,0))</f>
        <v>0</v>
      </c>
      <c r="V66" s="196">
        <f t="array" ref="V66">INDEX('Monthly CF'!$C$77:$DR$77,MATCH((V$3-1)*3+1,'Monthly CF'!$C$3:$DR$3,0))</f>
        <v>0</v>
      </c>
      <c r="W66" s="196">
        <f t="array" ref="W66">INDEX('Monthly CF'!$C$77:$DR$77,MATCH((W$3-1)*3+1,'Monthly CF'!$C$3:$DR$3,0))</f>
        <v>0</v>
      </c>
      <c r="X66" s="196">
        <f t="array" ref="X66">INDEX('Monthly CF'!$C$77:$DR$77,MATCH((X$3-1)*3+1,'Monthly CF'!$C$3:$DR$3,0))</f>
        <v>0</v>
      </c>
      <c r="Y66" s="196">
        <f t="array" ref="Y66">INDEX('Monthly CF'!$C$77:$DR$77,MATCH((Y$3-1)*3+1,'Monthly CF'!$C$3:$DR$3,0))</f>
        <v>0</v>
      </c>
      <c r="Z66" s="196">
        <f t="array" ref="Z66">INDEX('Monthly CF'!$C$77:$DR$77,MATCH((Z$3-1)*3+1,'Monthly CF'!$C$3:$DR$3,0))</f>
        <v>0</v>
      </c>
      <c r="AA66" s="196">
        <f t="array" ref="AA66">INDEX('Monthly CF'!$C$77:$DR$77,MATCH((AA$3-1)*3+1,'Monthly CF'!$C$3:$DR$3,0))</f>
        <v>0</v>
      </c>
      <c r="AB66" s="196">
        <f t="array" ref="AB66">INDEX('Monthly CF'!$C$77:$DR$77,MATCH((AB$3-1)*3+1,'Monthly CF'!$C$3:$DR$3,0))</f>
        <v>0</v>
      </c>
      <c r="AC66" s="196">
        <f t="array" ref="AC66">INDEX('Monthly CF'!$C$77:$DR$77,MATCH((AC$3-1)*3+1,'Monthly CF'!$C$3:$DR$3,0))</f>
        <v>0</v>
      </c>
      <c r="AD66" s="196">
        <f t="array" ref="AD66">INDEX('Monthly CF'!$C$77:$DR$77,MATCH((AD$3-1)*3+1,'Monthly CF'!$C$3:$DR$3,0))</f>
        <v>0</v>
      </c>
      <c r="AE66" s="196">
        <f t="array" ref="AE66">INDEX('Monthly CF'!$C$77:$DR$77,MATCH((AE$3-1)*3+1,'Monthly CF'!$C$3:$DR$3,0))</f>
        <v>0</v>
      </c>
      <c r="AF66" s="196">
        <f t="array" ref="AF66">INDEX('Monthly CF'!$C$77:$DR$77,MATCH((AF$3-1)*3+1,'Monthly CF'!$C$3:$DR$3,0))</f>
        <v>0</v>
      </c>
      <c r="AG66" s="196">
        <f t="array" ref="AG66">INDEX('Monthly CF'!$C$77:$DR$77,MATCH((AG$3-1)*3+1,'Monthly CF'!$C$3:$DR$3,0))</f>
        <v>0</v>
      </c>
      <c r="AH66" s="196">
        <f t="array" ref="AH66">INDEX('Monthly CF'!$C$77:$DR$77,MATCH((AH$3-1)*3+1,'Monthly CF'!$C$3:$DR$3,0))</f>
        <v>0</v>
      </c>
      <c r="AI66" s="196">
        <f t="array" ref="AI66">INDEX('Monthly CF'!$C$77:$DR$77,MATCH((AI$3-1)*3+1,'Monthly CF'!$C$3:$DR$3,0))</f>
        <v>0</v>
      </c>
      <c r="AJ66" s="196">
        <f t="array" ref="AJ66">INDEX('Monthly CF'!$C$77:$DR$77,MATCH((AJ$3-1)*3+1,'Monthly CF'!$C$3:$DR$3,0))</f>
        <v>0</v>
      </c>
      <c r="AK66" s="196">
        <f t="array" ref="AK66">INDEX('Monthly CF'!$C$77:$DR$77,MATCH((AK$3-1)*3+1,'Monthly CF'!$C$3:$DR$3,0))</f>
        <v>0</v>
      </c>
      <c r="AL66" s="196">
        <f t="array" ref="AL66">INDEX('Monthly CF'!$C$77:$DR$77,MATCH((AL$3-1)*3+1,'Monthly CF'!$C$3:$DR$3,0))</f>
        <v>0</v>
      </c>
      <c r="AM66" s="196">
        <f t="array" ref="AM66">INDEX('Monthly CF'!$C$77:$DR$77,MATCH((AM$3-1)*3+1,'Monthly CF'!$C$3:$DR$3,0))</f>
        <v>0</v>
      </c>
      <c r="AN66" s="196">
        <f t="array" ref="AN66">INDEX('Monthly CF'!$C$77:$DR$77,MATCH((AN$3-1)*3+1,'Monthly CF'!$C$3:$DR$3,0))</f>
        <v>0</v>
      </c>
      <c r="AO66" s="196">
        <f t="array" ref="AO66">INDEX('Monthly CF'!$C$77:$DR$77,MATCH((AO$3-1)*3+1,'Monthly CF'!$C$3:$DR$3,0))</f>
        <v>0</v>
      </c>
      <c r="AP66" s="196">
        <f t="array" ref="AP66">INDEX('Monthly CF'!$C$77:$DR$77,MATCH((AP$3-1)*3+1,'Monthly CF'!$C$3:$DR$3,0))</f>
        <v>0</v>
      </c>
      <c r="AQ66" s="196" t="str">
        <f t="array" ref="AQ66">INDEX('Monthly CF'!$C$77:$DR$77,MATCH((AQ$3-1)*3+1,'Monthly CF'!$C$3:$DR$3,0))</f>
        <v>#N/A</v>
      </c>
    </row>
    <row r="67" ht="15.75" customHeight="1">
      <c r="A67" s="54"/>
      <c r="B67" s="104" t="s">
        <v>324</v>
      </c>
      <c r="C67" s="196">
        <f>SUMIF('Monthly CF'!$C$4:$DR$4,C$3,'Monthly CF'!$C$78:$DR$78)</f>
        <v>0</v>
      </c>
      <c r="D67" s="196">
        <f>SUMIF('Monthly CF'!$C$4:$DR$4,D$3,'Monthly CF'!$C$78:$DR$78)</f>
        <v>0</v>
      </c>
      <c r="E67" s="196">
        <f>SUMIF('Monthly CF'!$C$4:$DR$4,E$3,'Monthly CF'!$C$78:$DR$78)</f>
        <v>0</v>
      </c>
      <c r="F67" s="196">
        <f>SUMIF('Monthly CF'!$C$4:$DR$4,F$3,'Monthly CF'!$C$78:$DR$78)</f>
        <v>0</v>
      </c>
      <c r="G67" s="196">
        <f>SUMIF('Monthly CF'!$C$4:$DR$4,G$3,'Monthly CF'!$C$78:$DR$78)</f>
        <v>0</v>
      </c>
      <c r="H67" s="196">
        <f>SUMIF('Monthly CF'!$C$4:$DR$4,H$3,'Monthly CF'!$C$78:$DR$78)</f>
        <v>0</v>
      </c>
      <c r="I67" s="196">
        <f>SUMIF('Monthly CF'!$C$4:$DR$4,I$3,'Monthly CF'!$C$78:$DR$78)</f>
        <v>0</v>
      </c>
      <c r="J67" s="196">
        <f>SUMIF('Monthly CF'!$C$4:$DR$4,J$3,'Monthly CF'!$C$78:$DR$78)</f>
        <v>0</v>
      </c>
      <c r="K67" s="196">
        <f>SUMIF('Monthly CF'!$C$4:$DR$4,K$3,'Monthly CF'!$C$78:$DR$78)</f>
        <v>0</v>
      </c>
      <c r="L67" s="196">
        <f>SUMIF('Monthly CF'!$C$4:$DR$4,L$3,'Monthly CF'!$C$78:$DR$78)</f>
        <v>0</v>
      </c>
      <c r="M67" s="196">
        <f>SUMIF('Monthly CF'!$C$4:$DR$4,M$3,'Monthly CF'!$C$78:$DR$78)</f>
        <v>0</v>
      </c>
      <c r="N67" s="196">
        <f>SUMIF('Monthly CF'!$C$4:$DR$4,N$3,'Monthly CF'!$C$78:$DR$78)</f>
        <v>0</v>
      </c>
      <c r="O67" s="196">
        <f>SUMIF('Monthly CF'!$C$4:$DR$4,O$3,'Monthly CF'!$C$78:$DR$78)</f>
        <v>0</v>
      </c>
      <c r="P67" s="196">
        <f>SUMIF('Monthly CF'!$C$4:$DR$4,P$3,'Monthly CF'!$C$78:$DR$78)</f>
        <v>0</v>
      </c>
      <c r="Q67" s="196">
        <f>SUMIF('Monthly CF'!$C$4:$DR$4,Q$3,'Monthly CF'!$C$78:$DR$78)</f>
        <v>0</v>
      </c>
      <c r="R67" s="196">
        <f>SUMIF('Monthly CF'!$C$4:$DR$4,R$3,'Monthly CF'!$C$78:$DR$78)</f>
        <v>0</v>
      </c>
      <c r="S67" s="196">
        <f>SUMIF('Monthly CF'!$C$4:$DR$4,S$3,'Monthly CF'!$C$78:$DR$78)</f>
        <v>0</v>
      </c>
      <c r="T67" s="196">
        <f>SUMIF('Monthly CF'!$C$4:$DR$4,T$3,'Monthly CF'!$C$78:$DR$78)</f>
        <v>0</v>
      </c>
      <c r="U67" s="196">
        <f>SUMIF('Monthly CF'!$C$4:$DR$4,U$3,'Monthly CF'!$C$78:$DR$78)</f>
        <v>0</v>
      </c>
      <c r="V67" s="196">
        <f>SUMIF('Monthly CF'!$C$4:$DR$4,V$3,'Monthly CF'!$C$78:$DR$78)</f>
        <v>0</v>
      </c>
      <c r="W67" s="196">
        <f>SUMIF('Monthly CF'!$C$4:$DR$4,W$3,'Monthly CF'!$C$78:$DR$78)</f>
        <v>0</v>
      </c>
      <c r="X67" s="196">
        <f>SUMIF('Monthly CF'!$C$4:$DR$4,X$3,'Monthly CF'!$C$78:$DR$78)</f>
        <v>0</v>
      </c>
      <c r="Y67" s="196">
        <f>SUMIF('Monthly CF'!$C$4:$DR$4,Y$3,'Monthly CF'!$C$78:$DR$78)</f>
        <v>0</v>
      </c>
      <c r="Z67" s="196">
        <f>SUMIF('Monthly CF'!$C$4:$DR$4,Z$3,'Monthly CF'!$C$78:$DR$78)</f>
        <v>0</v>
      </c>
      <c r="AA67" s="196">
        <f>SUMIF('Monthly CF'!$C$4:$DR$4,AA$3,'Monthly CF'!$C$78:$DR$78)</f>
        <v>0</v>
      </c>
      <c r="AB67" s="196">
        <f>SUMIF('Monthly CF'!$C$4:$DR$4,AB$3,'Monthly CF'!$C$78:$DR$78)</f>
        <v>0</v>
      </c>
      <c r="AC67" s="196">
        <f>SUMIF('Monthly CF'!$C$4:$DR$4,AC$3,'Monthly CF'!$C$78:$DR$78)</f>
        <v>0</v>
      </c>
      <c r="AD67" s="196">
        <f>SUMIF('Monthly CF'!$C$4:$DR$4,AD$3,'Monthly CF'!$C$78:$DR$78)</f>
        <v>0</v>
      </c>
      <c r="AE67" s="196">
        <f>SUMIF('Monthly CF'!$C$4:$DR$4,AE$3,'Monthly CF'!$C$78:$DR$78)</f>
        <v>0</v>
      </c>
      <c r="AF67" s="196">
        <f>SUMIF('Monthly CF'!$C$4:$DR$4,AF$3,'Monthly CF'!$C$78:$DR$78)</f>
        <v>0</v>
      </c>
      <c r="AG67" s="196">
        <f>SUMIF('Monthly CF'!$C$4:$DR$4,AG$3,'Monthly CF'!$C$78:$DR$78)</f>
        <v>0</v>
      </c>
      <c r="AH67" s="196">
        <f>SUMIF('Monthly CF'!$C$4:$DR$4,AH$3,'Monthly CF'!$C$78:$DR$78)</f>
        <v>0</v>
      </c>
      <c r="AI67" s="196">
        <f>SUMIF('Monthly CF'!$C$4:$DR$4,AI$3,'Monthly CF'!$C$78:$DR$78)</f>
        <v>0</v>
      </c>
      <c r="AJ67" s="196">
        <f>SUMIF('Monthly CF'!$C$4:$DR$4,AJ$3,'Monthly CF'!$C$78:$DR$78)</f>
        <v>0</v>
      </c>
      <c r="AK67" s="196">
        <f>SUMIF('Monthly CF'!$C$4:$DR$4,AK$3,'Monthly CF'!$C$78:$DR$78)</f>
        <v>0</v>
      </c>
      <c r="AL67" s="196">
        <f>SUMIF('Monthly CF'!$C$4:$DR$4,AL$3,'Monthly CF'!$C$78:$DR$78)</f>
        <v>0</v>
      </c>
      <c r="AM67" s="196">
        <f>SUMIF('Monthly CF'!$C$4:$DR$4,AM$3,'Monthly CF'!$C$78:$DR$78)</f>
        <v>0</v>
      </c>
      <c r="AN67" s="196">
        <f>SUMIF('Monthly CF'!$C$4:$DR$4,AN$3,'Monthly CF'!$C$78:$DR$78)</f>
        <v>0</v>
      </c>
      <c r="AO67" s="196">
        <f>SUMIF('Monthly CF'!$C$4:$DR$4,AO$3,'Monthly CF'!$C$78:$DR$78)</f>
        <v>0</v>
      </c>
      <c r="AP67" s="196">
        <f>SUMIF('Monthly CF'!$C$4:$DR$4,AP$3,'Monthly CF'!$C$78:$DR$78)</f>
        <v>0</v>
      </c>
      <c r="AQ67" s="196">
        <f>SUMIF('Monthly CF'!$C$4:$DR$4,AQ$3,'Monthly CF'!$C$78:$DR$78)</f>
        <v>0</v>
      </c>
    </row>
    <row r="68" ht="15.75" customHeight="1">
      <c r="A68" s="54"/>
      <c r="B68" s="104" t="s">
        <v>325</v>
      </c>
      <c r="C68" s="196">
        <f>SUMIF('Monthly CF'!$C$4:$DR$4,C$3,'Monthly CF'!$C$79:$DR$79)</f>
        <v>0</v>
      </c>
      <c r="D68" s="196">
        <f>SUMIF('Monthly CF'!$C$4:$DR$4,D$3,'Monthly CF'!$C$79:$DR$79)</f>
        <v>0</v>
      </c>
      <c r="E68" s="196">
        <f>SUMIF('Monthly CF'!$C$4:$DR$4,E$3,'Monthly CF'!$C$79:$DR$79)</f>
        <v>0</v>
      </c>
      <c r="F68" s="196">
        <f>SUMIF('Monthly CF'!$C$4:$DR$4,F$3,'Monthly CF'!$C$79:$DR$79)</f>
        <v>0</v>
      </c>
      <c r="G68" s="196">
        <f>SUMIF('Monthly CF'!$C$4:$DR$4,G$3,'Monthly CF'!$C$79:$DR$79)</f>
        <v>0</v>
      </c>
      <c r="H68" s="196">
        <f>SUMIF('Monthly CF'!$C$4:$DR$4,H$3,'Monthly CF'!$C$79:$DR$79)</f>
        <v>0</v>
      </c>
      <c r="I68" s="196">
        <f>SUMIF('Monthly CF'!$C$4:$DR$4,I$3,'Monthly CF'!$C$79:$DR$79)</f>
        <v>0</v>
      </c>
      <c r="J68" s="196">
        <f>SUMIF('Monthly CF'!$C$4:$DR$4,J$3,'Monthly CF'!$C$79:$DR$79)</f>
        <v>0</v>
      </c>
      <c r="K68" s="196">
        <f>SUMIF('Monthly CF'!$C$4:$DR$4,K$3,'Monthly CF'!$C$79:$DR$79)</f>
        <v>0</v>
      </c>
      <c r="L68" s="196">
        <f>SUMIF('Monthly CF'!$C$4:$DR$4,L$3,'Monthly CF'!$C$79:$DR$79)</f>
        <v>0</v>
      </c>
      <c r="M68" s="196">
        <f>SUMIF('Monthly CF'!$C$4:$DR$4,M$3,'Monthly CF'!$C$79:$DR$79)</f>
        <v>0</v>
      </c>
      <c r="N68" s="196">
        <f>SUMIF('Monthly CF'!$C$4:$DR$4,N$3,'Monthly CF'!$C$79:$DR$79)</f>
        <v>0</v>
      </c>
      <c r="O68" s="196">
        <f>SUMIF('Monthly CF'!$C$4:$DR$4,O$3,'Monthly CF'!$C$79:$DR$79)</f>
        <v>0</v>
      </c>
      <c r="P68" s="196">
        <f>SUMIF('Monthly CF'!$C$4:$DR$4,P$3,'Monthly CF'!$C$79:$DR$79)</f>
        <v>0</v>
      </c>
      <c r="Q68" s="196">
        <f>SUMIF('Monthly CF'!$C$4:$DR$4,Q$3,'Monthly CF'!$C$79:$DR$79)</f>
        <v>0</v>
      </c>
      <c r="R68" s="196">
        <f>SUMIF('Monthly CF'!$C$4:$DR$4,R$3,'Monthly CF'!$C$79:$DR$79)</f>
        <v>0</v>
      </c>
      <c r="S68" s="196">
        <f>SUMIF('Monthly CF'!$C$4:$DR$4,S$3,'Monthly CF'!$C$79:$DR$79)</f>
        <v>0</v>
      </c>
      <c r="T68" s="196">
        <f>SUMIF('Monthly CF'!$C$4:$DR$4,T$3,'Monthly CF'!$C$79:$DR$79)</f>
        <v>0</v>
      </c>
      <c r="U68" s="196">
        <f>SUMIF('Monthly CF'!$C$4:$DR$4,U$3,'Monthly CF'!$C$79:$DR$79)</f>
        <v>0</v>
      </c>
      <c r="V68" s="196">
        <f>SUMIF('Monthly CF'!$C$4:$DR$4,V$3,'Monthly CF'!$C$79:$DR$79)</f>
        <v>0</v>
      </c>
      <c r="W68" s="196">
        <f>SUMIF('Monthly CF'!$C$4:$DR$4,W$3,'Monthly CF'!$C$79:$DR$79)</f>
        <v>0</v>
      </c>
      <c r="X68" s="196">
        <f>SUMIF('Monthly CF'!$C$4:$DR$4,X$3,'Monthly CF'!$C$79:$DR$79)</f>
        <v>0</v>
      </c>
      <c r="Y68" s="196">
        <f>SUMIF('Monthly CF'!$C$4:$DR$4,Y$3,'Monthly CF'!$C$79:$DR$79)</f>
        <v>0</v>
      </c>
      <c r="Z68" s="196">
        <f>SUMIF('Monthly CF'!$C$4:$DR$4,Z$3,'Monthly CF'!$C$79:$DR$79)</f>
        <v>0</v>
      </c>
      <c r="AA68" s="196">
        <f>SUMIF('Monthly CF'!$C$4:$DR$4,AA$3,'Monthly CF'!$C$79:$DR$79)</f>
        <v>0</v>
      </c>
      <c r="AB68" s="196">
        <f>SUMIF('Monthly CF'!$C$4:$DR$4,AB$3,'Monthly CF'!$C$79:$DR$79)</f>
        <v>0</v>
      </c>
      <c r="AC68" s="196">
        <f>SUMIF('Monthly CF'!$C$4:$DR$4,AC$3,'Monthly CF'!$C$79:$DR$79)</f>
        <v>0</v>
      </c>
      <c r="AD68" s="196">
        <f>SUMIF('Monthly CF'!$C$4:$DR$4,AD$3,'Monthly CF'!$C$79:$DR$79)</f>
        <v>0</v>
      </c>
      <c r="AE68" s="196">
        <f>SUMIF('Monthly CF'!$C$4:$DR$4,AE$3,'Monthly CF'!$C$79:$DR$79)</f>
        <v>0</v>
      </c>
      <c r="AF68" s="196">
        <f>SUMIF('Monthly CF'!$C$4:$DR$4,AF$3,'Monthly CF'!$C$79:$DR$79)</f>
        <v>0</v>
      </c>
      <c r="AG68" s="196">
        <f>SUMIF('Monthly CF'!$C$4:$DR$4,AG$3,'Monthly CF'!$C$79:$DR$79)</f>
        <v>0</v>
      </c>
      <c r="AH68" s="196">
        <f>SUMIF('Monthly CF'!$C$4:$DR$4,AH$3,'Monthly CF'!$C$79:$DR$79)</f>
        <v>0</v>
      </c>
      <c r="AI68" s="196">
        <f>SUMIF('Monthly CF'!$C$4:$DR$4,AI$3,'Monthly CF'!$C$79:$DR$79)</f>
        <v>0</v>
      </c>
      <c r="AJ68" s="196">
        <f>SUMIF('Monthly CF'!$C$4:$DR$4,AJ$3,'Monthly CF'!$C$79:$DR$79)</f>
        <v>0</v>
      </c>
      <c r="AK68" s="196">
        <f>SUMIF('Monthly CF'!$C$4:$DR$4,AK$3,'Monthly CF'!$C$79:$DR$79)</f>
        <v>0</v>
      </c>
      <c r="AL68" s="196">
        <f>SUMIF('Monthly CF'!$C$4:$DR$4,AL$3,'Monthly CF'!$C$79:$DR$79)</f>
        <v>0</v>
      </c>
      <c r="AM68" s="196">
        <f>SUMIF('Monthly CF'!$C$4:$DR$4,AM$3,'Monthly CF'!$C$79:$DR$79)</f>
        <v>0</v>
      </c>
      <c r="AN68" s="196">
        <f>SUMIF('Monthly CF'!$C$4:$DR$4,AN$3,'Monthly CF'!$C$79:$DR$79)</f>
        <v>0</v>
      </c>
      <c r="AO68" s="196">
        <f>SUMIF('Monthly CF'!$C$4:$DR$4,AO$3,'Monthly CF'!$C$79:$DR$79)</f>
        <v>0</v>
      </c>
      <c r="AP68" s="196">
        <f>SUMIF('Monthly CF'!$C$4:$DR$4,AP$3,'Monthly CF'!$C$79:$DR$79)</f>
        <v>0</v>
      </c>
      <c r="AQ68" s="196">
        <f>SUMIF('Monthly CF'!$C$4:$DR$4,AQ$3,'Monthly CF'!$C$79:$DR$79)</f>
        <v>0</v>
      </c>
    </row>
    <row r="69" ht="15.75" customHeight="1">
      <c r="A69" s="54"/>
      <c r="B69" s="104" t="s">
        <v>326</v>
      </c>
      <c r="C69" s="196">
        <f>SUMIF('Monthly CF'!$C$4:$DR$4,C$3,'Monthly CF'!$C$80:$DR$80)</f>
        <v>0</v>
      </c>
      <c r="D69" s="196">
        <f>SUMIF('Monthly CF'!$C$4:$DR$4,D$3,'Monthly CF'!$C$80:$DR$80)</f>
        <v>0</v>
      </c>
      <c r="E69" s="196">
        <f>SUMIF('Monthly CF'!$C$4:$DR$4,E$3,'Monthly CF'!$C$80:$DR$80)</f>
        <v>0</v>
      </c>
      <c r="F69" s="196">
        <f>SUMIF('Monthly CF'!$C$4:$DR$4,F$3,'Monthly CF'!$C$80:$DR$80)</f>
        <v>0</v>
      </c>
      <c r="G69" s="196">
        <f>SUMIF('Monthly CF'!$C$4:$DR$4,G$3,'Monthly CF'!$C$80:$DR$80)</f>
        <v>0</v>
      </c>
      <c r="H69" s="196">
        <f>SUMIF('Monthly CF'!$C$4:$DR$4,H$3,'Monthly CF'!$C$80:$DR$80)</f>
        <v>0</v>
      </c>
      <c r="I69" s="196">
        <f>SUMIF('Monthly CF'!$C$4:$DR$4,I$3,'Monthly CF'!$C$80:$DR$80)</f>
        <v>0</v>
      </c>
      <c r="J69" s="196">
        <f>SUMIF('Monthly CF'!$C$4:$DR$4,J$3,'Monthly CF'!$C$80:$DR$80)</f>
        <v>0</v>
      </c>
      <c r="K69" s="196">
        <f>SUMIF('Monthly CF'!$C$4:$DR$4,K$3,'Monthly CF'!$C$80:$DR$80)</f>
        <v>0</v>
      </c>
      <c r="L69" s="196">
        <f>SUMIF('Monthly CF'!$C$4:$DR$4,L$3,'Monthly CF'!$C$80:$DR$80)</f>
        <v>0</v>
      </c>
      <c r="M69" s="196">
        <f>SUMIF('Monthly CF'!$C$4:$DR$4,M$3,'Monthly CF'!$C$80:$DR$80)</f>
        <v>0</v>
      </c>
      <c r="N69" s="196">
        <f>SUMIF('Monthly CF'!$C$4:$DR$4,N$3,'Monthly CF'!$C$80:$DR$80)</f>
        <v>0</v>
      </c>
      <c r="O69" s="196">
        <f>SUMIF('Monthly CF'!$C$4:$DR$4,O$3,'Monthly CF'!$C$80:$DR$80)</f>
        <v>0</v>
      </c>
      <c r="P69" s="196">
        <f>SUMIF('Monthly CF'!$C$4:$DR$4,P$3,'Monthly CF'!$C$80:$DR$80)</f>
        <v>0</v>
      </c>
      <c r="Q69" s="196">
        <f>SUMIF('Monthly CF'!$C$4:$DR$4,Q$3,'Monthly CF'!$C$80:$DR$80)</f>
        <v>0</v>
      </c>
      <c r="R69" s="196">
        <f>SUMIF('Monthly CF'!$C$4:$DR$4,R$3,'Monthly CF'!$C$80:$DR$80)</f>
        <v>0</v>
      </c>
      <c r="S69" s="196">
        <f>SUMIF('Monthly CF'!$C$4:$DR$4,S$3,'Monthly CF'!$C$80:$DR$80)</f>
        <v>0</v>
      </c>
      <c r="T69" s="196">
        <f>SUMIF('Monthly CF'!$C$4:$DR$4,T$3,'Monthly CF'!$C$80:$DR$80)</f>
        <v>0</v>
      </c>
      <c r="U69" s="196">
        <f>SUMIF('Monthly CF'!$C$4:$DR$4,U$3,'Monthly CF'!$C$80:$DR$80)</f>
        <v>0</v>
      </c>
      <c r="V69" s="196">
        <f>SUMIF('Monthly CF'!$C$4:$DR$4,V$3,'Monthly CF'!$C$80:$DR$80)</f>
        <v>0</v>
      </c>
      <c r="W69" s="196">
        <f>SUMIF('Monthly CF'!$C$4:$DR$4,W$3,'Monthly CF'!$C$80:$DR$80)</f>
        <v>0</v>
      </c>
      <c r="X69" s="196">
        <f>SUMIF('Monthly CF'!$C$4:$DR$4,X$3,'Monthly CF'!$C$80:$DR$80)</f>
        <v>0</v>
      </c>
      <c r="Y69" s="196">
        <f>SUMIF('Monthly CF'!$C$4:$DR$4,Y$3,'Monthly CF'!$C$80:$DR$80)</f>
        <v>0</v>
      </c>
      <c r="Z69" s="196">
        <f>SUMIF('Monthly CF'!$C$4:$DR$4,Z$3,'Monthly CF'!$C$80:$DR$80)</f>
        <v>0</v>
      </c>
      <c r="AA69" s="196">
        <f>SUMIF('Monthly CF'!$C$4:$DR$4,AA$3,'Monthly CF'!$C$80:$DR$80)</f>
        <v>0</v>
      </c>
      <c r="AB69" s="196">
        <f>SUMIF('Monthly CF'!$C$4:$DR$4,AB$3,'Monthly CF'!$C$80:$DR$80)</f>
        <v>0</v>
      </c>
      <c r="AC69" s="196">
        <f>SUMIF('Monthly CF'!$C$4:$DR$4,AC$3,'Monthly CF'!$C$80:$DR$80)</f>
        <v>0</v>
      </c>
      <c r="AD69" s="196">
        <f>SUMIF('Monthly CF'!$C$4:$DR$4,AD$3,'Monthly CF'!$C$80:$DR$80)</f>
        <v>0</v>
      </c>
      <c r="AE69" s="196">
        <f>SUMIF('Monthly CF'!$C$4:$DR$4,AE$3,'Monthly CF'!$C$80:$DR$80)</f>
        <v>0</v>
      </c>
      <c r="AF69" s="196">
        <f>SUMIF('Monthly CF'!$C$4:$DR$4,AF$3,'Monthly CF'!$C$80:$DR$80)</f>
        <v>0</v>
      </c>
      <c r="AG69" s="196">
        <f>SUMIF('Monthly CF'!$C$4:$DR$4,AG$3,'Monthly CF'!$C$80:$DR$80)</f>
        <v>0</v>
      </c>
      <c r="AH69" s="196">
        <f>SUMIF('Monthly CF'!$C$4:$DR$4,AH$3,'Monthly CF'!$C$80:$DR$80)</f>
        <v>0</v>
      </c>
      <c r="AI69" s="196">
        <f>SUMIF('Monthly CF'!$C$4:$DR$4,AI$3,'Monthly CF'!$C$80:$DR$80)</f>
        <v>0</v>
      </c>
      <c r="AJ69" s="196">
        <f>SUMIF('Monthly CF'!$C$4:$DR$4,AJ$3,'Monthly CF'!$C$80:$DR$80)</f>
        <v>0</v>
      </c>
      <c r="AK69" s="196">
        <f>SUMIF('Monthly CF'!$C$4:$DR$4,AK$3,'Monthly CF'!$C$80:$DR$80)</f>
        <v>0</v>
      </c>
      <c r="AL69" s="196">
        <f>SUMIF('Monthly CF'!$C$4:$DR$4,AL$3,'Monthly CF'!$C$80:$DR$80)</f>
        <v>0</v>
      </c>
      <c r="AM69" s="196">
        <f>SUMIF('Monthly CF'!$C$4:$DR$4,AM$3,'Monthly CF'!$C$80:$DR$80)</f>
        <v>0</v>
      </c>
      <c r="AN69" s="196">
        <f>SUMIF('Monthly CF'!$C$4:$DR$4,AN$3,'Monthly CF'!$C$80:$DR$80)</f>
        <v>0</v>
      </c>
      <c r="AO69" s="196">
        <f>SUMIF('Monthly CF'!$C$4:$DR$4,AO$3,'Monthly CF'!$C$80:$DR$80)</f>
        <v>0</v>
      </c>
      <c r="AP69" s="196">
        <f>SUMIF('Monthly CF'!$C$4:$DR$4,AP$3,'Monthly CF'!$C$80:$DR$80)</f>
        <v>0</v>
      </c>
      <c r="AQ69" s="196">
        <f>SUMIF('Monthly CF'!$C$4:$DR$4,AQ$3,'Monthly CF'!$C$80:$DR$80)</f>
        <v>0</v>
      </c>
    </row>
    <row r="70" ht="15.75" customHeight="1">
      <c r="A70" s="54"/>
      <c r="B70" s="104" t="s">
        <v>327</v>
      </c>
      <c r="C70" s="196">
        <f>SUMIF('Monthly CF'!$C$4:$DR$4,C$3,'Monthly CF'!$C$81:$DR$81)</f>
        <v>0</v>
      </c>
      <c r="D70" s="196">
        <f>SUMIF('Monthly CF'!$C$4:$DR$4,D$3,'Monthly CF'!$C$81:$DR$81)</f>
        <v>0</v>
      </c>
      <c r="E70" s="196">
        <f>SUMIF('Monthly CF'!$C$4:$DR$4,E$3,'Monthly CF'!$C$81:$DR$81)</f>
        <v>0</v>
      </c>
      <c r="F70" s="196">
        <f>SUMIF('Monthly CF'!$C$4:$DR$4,F$3,'Monthly CF'!$C$81:$DR$81)</f>
        <v>0</v>
      </c>
      <c r="G70" s="196">
        <f>SUMIF('Monthly CF'!$C$4:$DR$4,G$3,'Monthly CF'!$C$81:$DR$81)</f>
        <v>0</v>
      </c>
      <c r="H70" s="196">
        <f>SUMIF('Monthly CF'!$C$4:$DR$4,H$3,'Monthly CF'!$C$81:$DR$81)</f>
        <v>0</v>
      </c>
      <c r="I70" s="196">
        <f>SUMIF('Monthly CF'!$C$4:$DR$4,I$3,'Monthly CF'!$C$81:$DR$81)</f>
        <v>0</v>
      </c>
      <c r="J70" s="196">
        <f>SUMIF('Monthly CF'!$C$4:$DR$4,J$3,'Monthly CF'!$C$81:$DR$81)</f>
        <v>0</v>
      </c>
      <c r="K70" s="196">
        <f>SUMIF('Monthly CF'!$C$4:$DR$4,K$3,'Monthly CF'!$C$81:$DR$81)</f>
        <v>0</v>
      </c>
      <c r="L70" s="196">
        <f>SUMIF('Monthly CF'!$C$4:$DR$4,L$3,'Monthly CF'!$C$81:$DR$81)</f>
        <v>0</v>
      </c>
      <c r="M70" s="196">
        <f>SUMIF('Monthly CF'!$C$4:$DR$4,M$3,'Monthly CF'!$C$81:$DR$81)</f>
        <v>0</v>
      </c>
      <c r="N70" s="196">
        <f>SUMIF('Monthly CF'!$C$4:$DR$4,N$3,'Monthly CF'!$C$81:$DR$81)</f>
        <v>0</v>
      </c>
      <c r="O70" s="196">
        <f>SUMIF('Monthly CF'!$C$4:$DR$4,O$3,'Monthly CF'!$C$81:$DR$81)</f>
        <v>0</v>
      </c>
      <c r="P70" s="196">
        <f>SUMIF('Monthly CF'!$C$4:$DR$4,P$3,'Monthly CF'!$C$81:$DR$81)</f>
        <v>0</v>
      </c>
      <c r="Q70" s="196">
        <f>SUMIF('Monthly CF'!$C$4:$DR$4,Q$3,'Monthly CF'!$C$81:$DR$81)</f>
        <v>0</v>
      </c>
      <c r="R70" s="196">
        <f>SUMIF('Monthly CF'!$C$4:$DR$4,R$3,'Monthly CF'!$C$81:$DR$81)</f>
        <v>0</v>
      </c>
      <c r="S70" s="196">
        <f>SUMIF('Monthly CF'!$C$4:$DR$4,S$3,'Monthly CF'!$C$81:$DR$81)</f>
        <v>0</v>
      </c>
      <c r="T70" s="196">
        <f>SUMIF('Monthly CF'!$C$4:$DR$4,T$3,'Monthly CF'!$C$81:$DR$81)</f>
        <v>0</v>
      </c>
      <c r="U70" s="196">
        <f>SUMIF('Monthly CF'!$C$4:$DR$4,U$3,'Monthly CF'!$C$81:$DR$81)</f>
        <v>0</v>
      </c>
      <c r="V70" s="196">
        <f>SUMIF('Monthly CF'!$C$4:$DR$4,V$3,'Monthly CF'!$C$81:$DR$81)</f>
        <v>0</v>
      </c>
      <c r="W70" s="196">
        <f>SUMIF('Monthly CF'!$C$4:$DR$4,W$3,'Monthly CF'!$C$81:$DR$81)</f>
        <v>0</v>
      </c>
      <c r="X70" s="196">
        <f>SUMIF('Monthly CF'!$C$4:$DR$4,X$3,'Monthly CF'!$C$81:$DR$81)</f>
        <v>0</v>
      </c>
      <c r="Y70" s="196">
        <f>SUMIF('Monthly CF'!$C$4:$DR$4,Y$3,'Monthly CF'!$C$81:$DR$81)</f>
        <v>0</v>
      </c>
      <c r="Z70" s="196">
        <f>SUMIF('Monthly CF'!$C$4:$DR$4,Z$3,'Monthly CF'!$C$81:$DR$81)</f>
        <v>0</v>
      </c>
      <c r="AA70" s="196">
        <f>SUMIF('Monthly CF'!$C$4:$DR$4,AA$3,'Monthly CF'!$C$81:$DR$81)</f>
        <v>0</v>
      </c>
      <c r="AB70" s="196">
        <f>SUMIF('Monthly CF'!$C$4:$DR$4,AB$3,'Monthly CF'!$C$81:$DR$81)</f>
        <v>0</v>
      </c>
      <c r="AC70" s="196">
        <f>SUMIF('Monthly CF'!$C$4:$DR$4,AC$3,'Monthly CF'!$C$81:$DR$81)</f>
        <v>0</v>
      </c>
      <c r="AD70" s="196">
        <f>SUMIF('Monthly CF'!$C$4:$DR$4,AD$3,'Monthly CF'!$C$81:$DR$81)</f>
        <v>0</v>
      </c>
      <c r="AE70" s="196">
        <f>SUMIF('Monthly CF'!$C$4:$DR$4,AE$3,'Monthly CF'!$C$81:$DR$81)</f>
        <v>0</v>
      </c>
      <c r="AF70" s="196">
        <f>SUMIF('Monthly CF'!$C$4:$DR$4,AF$3,'Monthly CF'!$C$81:$DR$81)</f>
        <v>0</v>
      </c>
      <c r="AG70" s="196">
        <f>SUMIF('Monthly CF'!$C$4:$DR$4,AG$3,'Monthly CF'!$C$81:$DR$81)</f>
        <v>0</v>
      </c>
      <c r="AH70" s="196">
        <f>SUMIF('Monthly CF'!$C$4:$DR$4,AH$3,'Monthly CF'!$C$81:$DR$81)</f>
        <v>0</v>
      </c>
      <c r="AI70" s="196">
        <f>SUMIF('Monthly CF'!$C$4:$DR$4,AI$3,'Monthly CF'!$C$81:$DR$81)</f>
        <v>0</v>
      </c>
      <c r="AJ70" s="196">
        <f>SUMIF('Monthly CF'!$C$4:$DR$4,AJ$3,'Monthly CF'!$C$81:$DR$81)</f>
        <v>0</v>
      </c>
      <c r="AK70" s="196">
        <f>SUMIF('Monthly CF'!$C$4:$DR$4,AK$3,'Monthly CF'!$C$81:$DR$81)</f>
        <v>0</v>
      </c>
      <c r="AL70" s="196">
        <f>SUMIF('Monthly CF'!$C$4:$DR$4,AL$3,'Monthly CF'!$C$81:$DR$81)</f>
        <v>0</v>
      </c>
      <c r="AM70" s="196">
        <f>SUMIF('Monthly CF'!$C$4:$DR$4,AM$3,'Monthly CF'!$C$81:$DR$81)</f>
        <v>0</v>
      </c>
      <c r="AN70" s="196">
        <f>SUMIF('Monthly CF'!$C$4:$DR$4,AN$3,'Monthly CF'!$C$81:$DR$81)</f>
        <v>0</v>
      </c>
      <c r="AO70" s="196">
        <f>SUMIF('Monthly CF'!$C$4:$DR$4,AO$3,'Monthly CF'!$C$81:$DR$81)</f>
        <v>0</v>
      </c>
      <c r="AP70" s="196">
        <f>SUMIF('Monthly CF'!$C$4:$DR$4,AP$3,'Monthly CF'!$C$81:$DR$81)</f>
        <v>0</v>
      </c>
      <c r="AQ70" s="196">
        <f>SUMIF('Monthly CF'!$C$4:$DR$4,AQ$3,'Monthly CF'!$C$81:$DR$81)</f>
        <v>0</v>
      </c>
    </row>
    <row r="71" ht="15.75" customHeight="1">
      <c r="A71" s="54"/>
      <c r="B71" s="127" t="s">
        <v>328</v>
      </c>
      <c r="C71" s="197">
        <f t="array" ref="C71">INDEX('Monthly CF'!$C$82:$DR$82,MATCH(C$3*3,'Monthly CF'!$C$3:$DR$3,0))</f>
        <v>0</v>
      </c>
      <c r="D71" s="197">
        <f t="array" ref="D71">INDEX('Monthly CF'!$C$82:$DR$82,MATCH(D$3*3,'Monthly CF'!$C$3:$DR$3,0))</f>
        <v>0</v>
      </c>
      <c r="E71" s="197">
        <f t="array" ref="E71">INDEX('Monthly CF'!$C$82:$DR$82,MATCH(E$3*3,'Monthly CF'!$C$3:$DR$3,0))</f>
        <v>0</v>
      </c>
      <c r="F71" s="197">
        <f t="array" ref="F71">INDEX('Monthly CF'!$C$82:$DR$82,MATCH(F$3*3,'Monthly CF'!$C$3:$DR$3,0))</f>
        <v>0</v>
      </c>
      <c r="G71" s="197">
        <f t="array" ref="G71">INDEX('Monthly CF'!$C$82:$DR$82,MATCH(G$3*3,'Monthly CF'!$C$3:$DR$3,0))</f>
        <v>0</v>
      </c>
      <c r="H71" s="197">
        <f t="array" ref="H71">INDEX('Monthly CF'!$C$82:$DR$82,MATCH(H$3*3,'Monthly CF'!$C$3:$DR$3,0))</f>
        <v>0</v>
      </c>
      <c r="I71" s="197">
        <f t="array" ref="I71">INDEX('Monthly CF'!$C$82:$DR$82,MATCH(I$3*3,'Monthly CF'!$C$3:$DR$3,0))</f>
        <v>0</v>
      </c>
      <c r="J71" s="197">
        <f t="array" ref="J71">INDEX('Monthly CF'!$C$82:$DR$82,MATCH(J$3*3,'Monthly CF'!$C$3:$DR$3,0))</f>
        <v>0</v>
      </c>
      <c r="K71" s="197">
        <f t="array" ref="K71">INDEX('Monthly CF'!$C$82:$DR$82,MATCH(K$3*3,'Monthly CF'!$C$3:$DR$3,0))</f>
        <v>0</v>
      </c>
      <c r="L71" s="197">
        <f t="array" ref="L71">INDEX('Monthly CF'!$C$82:$DR$82,MATCH(L$3*3,'Monthly CF'!$C$3:$DR$3,0))</f>
        <v>0</v>
      </c>
      <c r="M71" s="197">
        <f t="array" ref="M71">INDEX('Monthly CF'!$C$82:$DR$82,MATCH(M$3*3,'Monthly CF'!$C$3:$DR$3,0))</f>
        <v>0</v>
      </c>
      <c r="N71" s="197">
        <f t="array" ref="N71">INDEX('Monthly CF'!$C$82:$DR$82,MATCH(N$3*3,'Monthly CF'!$C$3:$DR$3,0))</f>
        <v>0</v>
      </c>
      <c r="O71" s="197">
        <f t="array" ref="O71">INDEX('Monthly CF'!$C$82:$DR$82,MATCH(O$3*3,'Monthly CF'!$C$3:$DR$3,0))</f>
        <v>0</v>
      </c>
      <c r="P71" s="197">
        <f t="array" ref="P71">INDEX('Monthly CF'!$C$82:$DR$82,MATCH(P$3*3,'Monthly CF'!$C$3:$DR$3,0))</f>
        <v>0</v>
      </c>
      <c r="Q71" s="197">
        <f t="array" ref="Q71">INDEX('Monthly CF'!$C$82:$DR$82,MATCH(Q$3*3,'Monthly CF'!$C$3:$DR$3,0))</f>
        <v>0</v>
      </c>
      <c r="R71" s="197">
        <f t="array" ref="R71">INDEX('Monthly CF'!$C$82:$DR$82,MATCH(R$3*3,'Monthly CF'!$C$3:$DR$3,0))</f>
        <v>0</v>
      </c>
      <c r="S71" s="197">
        <f t="array" ref="S71">INDEX('Monthly CF'!$C$82:$DR$82,MATCH(S$3*3,'Monthly CF'!$C$3:$DR$3,0))</f>
        <v>0</v>
      </c>
      <c r="T71" s="197">
        <f t="array" ref="T71">INDEX('Monthly CF'!$C$82:$DR$82,MATCH(T$3*3,'Monthly CF'!$C$3:$DR$3,0))</f>
        <v>0</v>
      </c>
      <c r="U71" s="197">
        <f t="array" ref="U71">INDEX('Monthly CF'!$C$82:$DR$82,MATCH(U$3*3,'Monthly CF'!$C$3:$DR$3,0))</f>
        <v>0</v>
      </c>
      <c r="V71" s="197">
        <f t="array" ref="V71">INDEX('Monthly CF'!$C$82:$DR$82,MATCH(V$3*3,'Monthly CF'!$C$3:$DR$3,0))</f>
        <v>0</v>
      </c>
      <c r="W71" s="197">
        <f t="array" ref="W71">INDEX('Monthly CF'!$C$82:$DR$82,MATCH(W$3*3,'Monthly CF'!$C$3:$DR$3,0))</f>
        <v>0</v>
      </c>
      <c r="X71" s="197">
        <f t="array" ref="X71">INDEX('Monthly CF'!$C$82:$DR$82,MATCH(X$3*3,'Monthly CF'!$C$3:$DR$3,0))</f>
        <v>0</v>
      </c>
      <c r="Y71" s="197">
        <f t="array" ref="Y71">INDEX('Monthly CF'!$C$82:$DR$82,MATCH(Y$3*3,'Monthly CF'!$C$3:$DR$3,0))</f>
        <v>0</v>
      </c>
      <c r="Z71" s="197">
        <f t="array" ref="Z71">INDEX('Monthly CF'!$C$82:$DR$82,MATCH(Z$3*3,'Monthly CF'!$C$3:$DR$3,0))</f>
        <v>0</v>
      </c>
      <c r="AA71" s="197">
        <f t="array" ref="AA71">INDEX('Monthly CF'!$C$82:$DR$82,MATCH(AA$3*3,'Monthly CF'!$C$3:$DR$3,0))</f>
        <v>0</v>
      </c>
      <c r="AB71" s="197">
        <f t="array" ref="AB71">INDEX('Monthly CF'!$C$82:$DR$82,MATCH(AB$3*3,'Monthly CF'!$C$3:$DR$3,0))</f>
        <v>0</v>
      </c>
      <c r="AC71" s="197">
        <f t="array" ref="AC71">INDEX('Monthly CF'!$C$82:$DR$82,MATCH(AC$3*3,'Monthly CF'!$C$3:$DR$3,0))</f>
        <v>0</v>
      </c>
      <c r="AD71" s="197">
        <f t="array" ref="AD71">INDEX('Monthly CF'!$C$82:$DR$82,MATCH(AD$3*3,'Monthly CF'!$C$3:$DR$3,0))</f>
        <v>0</v>
      </c>
      <c r="AE71" s="197">
        <f t="array" ref="AE71">INDEX('Monthly CF'!$C$82:$DR$82,MATCH(AE$3*3,'Monthly CF'!$C$3:$DR$3,0))</f>
        <v>0</v>
      </c>
      <c r="AF71" s="197">
        <f t="array" ref="AF71">INDEX('Monthly CF'!$C$82:$DR$82,MATCH(AF$3*3,'Monthly CF'!$C$3:$DR$3,0))</f>
        <v>0</v>
      </c>
      <c r="AG71" s="197">
        <f t="array" ref="AG71">INDEX('Monthly CF'!$C$82:$DR$82,MATCH(AG$3*3,'Monthly CF'!$C$3:$DR$3,0))</f>
        <v>0</v>
      </c>
      <c r="AH71" s="197">
        <f t="array" ref="AH71">INDEX('Monthly CF'!$C$82:$DR$82,MATCH(AH$3*3,'Monthly CF'!$C$3:$DR$3,0))</f>
        <v>0</v>
      </c>
      <c r="AI71" s="197">
        <f t="array" ref="AI71">INDEX('Monthly CF'!$C$82:$DR$82,MATCH(AI$3*3,'Monthly CF'!$C$3:$DR$3,0))</f>
        <v>0</v>
      </c>
      <c r="AJ71" s="197">
        <f t="array" ref="AJ71">INDEX('Monthly CF'!$C$82:$DR$82,MATCH(AJ$3*3,'Monthly CF'!$C$3:$DR$3,0))</f>
        <v>0</v>
      </c>
      <c r="AK71" s="197">
        <f t="array" ref="AK71">INDEX('Monthly CF'!$C$82:$DR$82,MATCH(AK$3*3,'Monthly CF'!$C$3:$DR$3,0))</f>
        <v>0</v>
      </c>
      <c r="AL71" s="197">
        <f t="array" ref="AL71">INDEX('Monthly CF'!$C$82:$DR$82,MATCH(AL$3*3,'Monthly CF'!$C$3:$DR$3,0))</f>
        <v>0</v>
      </c>
      <c r="AM71" s="197">
        <f t="array" ref="AM71">INDEX('Monthly CF'!$C$82:$DR$82,MATCH(AM$3*3,'Monthly CF'!$C$3:$DR$3,0))</f>
        <v>0</v>
      </c>
      <c r="AN71" s="197">
        <f t="array" ref="AN71">INDEX('Monthly CF'!$C$82:$DR$82,MATCH(AN$3*3,'Monthly CF'!$C$3:$DR$3,0))</f>
        <v>0</v>
      </c>
      <c r="AO71" s="197">
        <f t="array" ref="AO71">INDEX('Monthly CF'!$C$82:$DR$82,MATCH(AO$3*3,'Monthly CF'!$C$3:$DR$3,0))</f>
        <v>0</v>
      </c>
      <c r="AP71" s="197">
        <f t="array" ref="AP71">INDEX('Monthly CF'!$C$82:$DR$82,MATCH(AP$3*3,'Monthly CF'!$C$3:$DR$3,0))</f>
        <v>0</v>
      </c>
      <c r="AQ71" s="197" t="str">
        <f t="array" ref="AQ71">INDEX('Monthly CF'!$C$82:$DR$82,MATCH(AQ$3*3,'Monthly CF'!$C$3:$DR$3,0))</f>
        <v>#N/A</v>
      </c>
    </row>
    <row r="72" ht="15.75" customHeight="1">
      <c r="A72" s="54"/>
      <c r="B72" s="104" t="s">
        <v>334</v>
      </c>
      <c r="C72" s="199">
        <f>SUMIF('Monthly CF'!$C$4:$DR$4,C$3,'Monthly CF'!$C$83:$DR$83)</f>
        <v>0</v>
      </c>
      <c r="D72" s="199">
        <f>SUMIF('Monthly CF'!$C$4:$DR$4,D$3,'Monthly CF'!$C$83:$DR$83)</f>
        <v>0</v>
      </c>
      <c r="E72" s="199">
        <f>SUMIF('Monthly CF'!$C$4:$DR$4,E$3,'Monthly CF'!$C$83:$DR$83)</f>
        <v>0</v>
      </c>
      <c r="F72" s="199">
        <f>SUMIF('Monthly CF'!$C$4:$DR$4,F$3,'Monthly CF'!$C$83:$DR$83)</f>
        <v>0</v>
      </c>
      <c r="G72" s="199">
        <f>SUMIF('Monthly CF'!$C$4:$DR$4,G$3,'Monthly CF'!$C$83:$DR$83)</f>
        <v>0</v>
      </c>
      <c r="H72" s="199">
        <f>SUMIF('Monthly CF'!$C$4:$DR$4,H$3,'Monthly CF'!$C$83:$DR$83)</f>
        <v>0</v>
      </c>
      <c r="I72" s="199">
        <f>SUMIF('Monthly CF'!$C$4:$DR$4,I$3,'Monthly CF'!$C$83:$DR$83)</f>
        <v>0</v>
      </c>
      <c r="J72" s="199">
        <f>SUMIF('Monthly CF'!$C$4:$DR$4,J$3,'Monthly CF'!$C$83:$DR$83)</f>
        <v>0</v>
      </c>
      <c r="K72" s="199">
        <f>SUMIF('Monthly CF'!$C$4:$DR$4,K$3,'Monthly CF'!$C$83:$DR$83)</f>
        <v>0</v>
      </c>
      <c r="L72" s="199">
        <f>SUMIF('Monthly CF'!$C$4:$DR$4,L$3,'Monthly CF'!$C$83:$DR$83)</f>
        <v>0</v>
      </c>
      <c r="M72" s="199">
        <f>SUMIF('Monthly CF'!$C$4:$DR$4,M$3,'Monthly CF'!$C$83:$DR$83)</f>
        <v>0</v>
      </c>
      <c r="N72" s="199">
        <f>SUMIF('Monthly CF'!$C$4:$DR$4,N$3,'Monthly CF'!$C$83:$DR$83)</f>
        <v>0</v>
      </c>
      <c r="O72" s="199">
        <f>SUMIF('Monthly CF'!$C$4:$DR$4,O$3,'Monthly CF'!$C$83:$DR$83)</f>
        <v>0</v>
      </c>
      <c r="P72" s="199">
        <f>SUMIF('Monthly CF'!$C$4:$DR$4,P$3,'Monthly CF'!$C$83:$DR$83)</f>
        <v>0</v>
      </c>
      <c r="Q72" s="199">
        <f>SUMIF('Monthly CF'!$C$4:$DR$4,Q$3,'Monthly CF'!$C$83:$DR$83)</f>
        <v>0</v>
      </c>
      <c r="R72" s="199">
        <f>SUMIF('Monthly CF'!$C$4:$DR$4,R$3,'Monthly CF'!$C$83:$DR$83)</f>
        <v>0</v>
      </c>
      <c r="S72" s="199">
        <f>SUMIF('Monthly CF'!$C$4:$DR$4,S$3,'Monthly CF'!$C$83:$DR$83)</f>
        <v>0</v>
      </c>
      <c r="T72" s="199">
        <f>SUMIF('Monthly CF'!$C$4:$DR$4,T$3,'Monthly CF'!$C$83:$DR$83)</f>
        <v>0</v>
      </c>
      <c r="U72" s="199">
        <f>SUMIF('Monthly CF'!$C$4:$DR$4,U$3,'Monthly CF'!$C$83:$DR$83)</f>
        <v>0</v>
      </c>
      <c r="V72" s="199">
        <f>SUMIF('Monthly CF'!$C$4:$DR$4,V$3,'Monthly CF'!$C$83:$DR$83)</f>
        <v>0</v>
      </c>
      <c r="W72" s="199">
        <f>SUMIF('Monthly CF'!$C$4:$DR$4,W$3,'Monthly CF'!$C$83:$DR$83)</f>
        <v>0</v>
      </c>
      <c r="X72" s="199">
        <f>SUMIF('Monthly CF'!$C$4:$DR$4,X$3,'Monthly CF'!$C$83:$DR$83)</f>
        <v>0</v>
      </c>
      <c r="Y72" s="199">
        <f>SUMIF('Monthly CF'!$C$4:$DR$4,Y$3,'Monthly CF'!$C$83:$DR$83)</f>
        <v>0</v>
      </c>
      <c r="Z72" s="199">
        <f>SUMIF('Monthly CF'!$C$4:$DR$4,Z$3,'Monthly CF'!$C$83:$DR$83)</f>
        <v>0</v>
      </c>
      <c r="AA72" s="199">
        <f>SUMIF('Monthly CF'!$C$4:$DR$4,AA$3,'Monthly CF'!$C$83:$DR$83)</f>
        <v>0</v>
      </c>
      <c r="AB72" s="199">
        <f>SUMIF('Monthly CF'!$C$4:$DR$4,AB$3,'Monthly CF'!$C$83:$DR$83)</f>
        <v>0</v>
      </c>
      <c r="AC72" s="199">
        <f>SUMIF('Monthly CF'!$C$4:$DR$4,AC$3,'Monthly CF'!$C$83:$DR$83)</f>
        <v>0</v>
      </c>
      <c r="AD72" s="199">
        <f>SUMIF('Monthly CF'!$C$4:$DR$4,AD$3,'Monthly CF'!$C$83:$DR$83)</f>
        <v>0</v>
      </c>
      <c r="AE72" s="199">
        <f>SUMIF('Monthly CF'!$C$4:$DR$4,AE$3,'Monthly CF'!$C$83:$DR$83)</f>
        <v>0</v>
      </c>
      <c r="AF72" s="199">
        <f>SUMIF('Monthly CF'!$C$4:$DR$4,AF$3,'Monthly CF'!$C$83:$DR$83)</f>
        <v>0</v>
      </c>
      <c r="AG72" s="199">
        <f>SUMIF('Monthly CF'!$C$4:$DR$4,AG$3,'Monthly CF'!$C$83:$DR$83)</f>
        <v>0</v>
      </c>
      <c r="AH72" s="199">
        <f>SUMIF('Monthly CF'!$C$4:$DR$4,AH$3,'Monthly CF'!$C$83:$DR$83)</f>
        <v>0</v>
      </c>
      <c r="AI72" s="199">
        <f>SUMIF('Monthly CF'!$C$4:$DR$4,AI$3,'Monthly CF'!$C$83:$DR$83)</f>
        <v>0</v>
      </c>
      <c r="AJ72" s="199">
        <f>SUMIF('Monthly CF'!$C$4:$DR$4,AJ$3,'Monthly CF'!$C$83:$DR$83)</f>
        <v>0</v>
      </c>
      <c r="AK72" s="199">
        <f>SUMIF('Monthly CF'!$C$4:$DR$4,AK$3,'Monthly CF'!$C$83:$DR$83)</f>
        <v>0</v>
      </c>
      <c r="AL72" s="199">
        <f>SUMIF('Monthly CF'!$C$4:$DR$4,AL$3,'Monthly CF'!$C$83:$DR$83)</f>
        <v>0</v>
      </c>
      <c r="AM72" s="199">
        <f>SUMIF('Monthly CF'!$C$4:$DR$4,AM$3,'Monthly CF'!$C$83:$DR$83)</f>
        <v>0</v>
      </c>
      <c r="AN72" s="199">
        <f>SUMIF('Monthly CF'!$C$4:$DR$4,AN$3,'Monthly CF'!$C$83:$DR$83)</f>
        <v>0</v>
      </c>
      <c r="AO72" s="199">
        <f>SUMIF('Monthly CF'!$C$4:$DR$4,AO$3,'Monthly CF'!$C$83:$DR$83)</f>
        <v>0</v>
      </c>
      <c r="AP72" s="199">
        <f>SUMIF('Monthly CF'!$C$4:$DR$4,AP$3,'Monthly CF'!$C$83:$DR$83)</f>
        <v>0</v>
      </c>
      <c r="AQ72" s="199">
        <f>SUMIF('Monthly CF'!$C$4:$DR$4,AQ$3,'Monthly CF'!$C$83:$DR$83)</f>
        <v>0</v>
      </c>
    </row>
    <row r="73" ht="15.75" customHeight="1">
      <c r="A73" s="54"/>
      <c r="B73" s="104"/>
      <c r="C73" s="104"/>
      <c r="D73" s="200"/>
      <c r="E73" s="200"/>
      <c r="F73" s="200"/>
      <c r="G73" s="200"/>
      <c r="H73" s="200"/>
      <c r="I73" s="200"/>
      <c r="J73" s="200"/>
      <c r="K73" s="200"/>
      <c r="L73" s="200"/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  <c r="AA73" s="200"/>
      <c r="AB73" s="200"/>
      <c r="AC73" s="200"/>
      <c r="AD73" s="200"/>
      <c r="AE73" s="200"/>
      <c r="AF73" s="200"/>
      <c r="AG73" s="200"/>
      <c r="AH73" s="200"/>
      <c r="AI73" s="200"/>
      <c r="AJ73" s="200"/>
      <c r="AK73" s="200"/>
      <c r="AL73" s="200"/>
      <c r="AM73" s="200"/>
      <c r="AN73" s="200"/>
      <c r="AO73" s="200"/>
      <c r="AP73" s="200"/>
      <c r="AQ73" s="201"/>
    </row>
    <row r="74" ht="15.75" customHeight="1">
      <c r="A74" s="54"/>
      <c r="B74" s="104" t="s">
        <v>174</v>
      </c>
      <c r="C74" s="196">
        <f>SUMIF('Monthly CF'!$C$4:$DR$4,C$3,'Monthly CF'!$C$85:$DR$85)</f>
        <v>-745000</v>
      </c>
      <c r="D74" s="196">
        <f>SUMIF('Monthly CF'!$C$4:$DR$4,D$3,'Monthly CF'!$C$85:$DR$85)</f>
        <v>0</v>
      </c>
      <c r="E74" s="196">
        <f>SUMIF('Monthly CF'!$C$4:$DR$4,E$3,'Monthly CF'!$C$85:$DR$85)</f>
        <v>0</v>
      </c>
      <c r="F74" s="196">
        <f>SUMIF('Monthly CF'!$C$4:$DR$4,F$3,'Monthly CF'!$C$85:$DR$85)</f>
        <v>0</v>
      </c>
      <c r="G74" s="196">
        <f>SUMIF('Monthly CF'!$C$4:$DR$4,G$3,'Monthly CF'!$C$85:$DR$85)</f>
        <v>0</v>
      </c>
      <c r="H74" s="196">
        <f>SUMIF('Monthly CF'!$C$4:$DR$4,H$3,'Monthly CF'!$C$85:$DR$85)</f>
        <v>0</v>
      </c>
      <c r="I74" s="196">
        <f>SUMIF('Monthly CF'!$C$4:$DR$4,I$3,'Monthly CF'!$C$85:$DR$85)</f>
        <v>0</v>
      </c>
      <c r="J74" s="196">
        <f>SUMIF('Monthly CF'!$C$4:$DR$4,J$3,'Monthly CF'!$C$85:$DR$85)</f>
        <v>0</v>
      </c>
      <c r="K74" s="196">
        <f>SUMIF('Monthly CF'!$C$4:$DR$4,K$3,'Monthly CF'!$C$85:$DR$85)</f>
        <v>0</v>
      </c>
      <c r="L74" s="196">
        <f>SUMIF('Monthly CF'!$C$4:$DR$4,L$3,'Monthly CF'!$C$85:$DR$85)</f>
        <v>0</v>
      </c>
      <c r="M74" s="196">
        <f>SUMIF('Monthly CF'!$C$4:$DR$4,M$3,'Monthly CF'!$C$85:$DR$85)</f>
        <v>0</v>
      </c>
      <c r="N74" s="196">
        <f>SUMIF('Monthly CF'!$C$4:$DR$4,N$3,'Monthly CF'!$C$85:$DR$85)</f>
        <v>0</v>
      </c>
      <c r="O74" s="196">
        <f>SUMIF('Monthly CF'!$C$4:$DR$4,O$3,'Monthly CF'!$C$85:$DR$85)</f>
        <v>0</v>
      </c>
      <c r="P74" s="196">
        <f>SUMIF('Monthly CF'!$C$4:$DR$4,P$3,'Monthly CF'!$C$85:$DR$85)</f>
        <v>0</v>
      </c>
      <c r="Q74" s="196">
        <f>SUMIF('Monthly CF'!$C$4:$DR$4,Q$3,'Monthly CF'!$C$85:$DR$85)</f>
        <v>0</v>
      </c>
      <c r="R74" s="196">
        <f>SUMIF('Monthly CF'!$C$4:$DR$4,R$3,'Monthly CF'!$C$85:$DR$85)</f>
        <v>0</v>
      </c>
      <c r="S74" s="196">
        <f>SUMIF('Monthly CF'!$C$4:$DR$4,S$3,'Monthly CF'!$C$85:$DR$85)</f>
        <v>0</v>
      </c>
      <c r="T74" s="196">
        <f>SUMIF('Monthly CF'!$C$4:$DR$4,T$3,'Monthly CF'!$C$85:$DR$85)</f>
        <v>0</v>
      </c>
      <c r="U74" s="196">
        <f>SUMIF('Monthly CF'!$C$4:$DR$4,U$3,'Monthly CF'!$C$85:$DR$85)</f>
        <v>0</v>
      </c>
      <c r="V74" s="196">
        <f>SUMIF('Monthly CF'!$C$4:$DR$4,V$3,'Monthly CF'!$C$85:$DR$85)</f>
        <v>0</v>
      </c>
      <c r="W74" s="196">
        <f>SUMIF('Monthly CF'!$C$4:$DR$4,W$3,'Monthly CF'!$C$85:$DR$85)</f>
        <v>0</v>
      </c>
      <c r="X74" s="196">
        <f>SUMIF('Monthly CF'!$C$4:$DR$4,X$3,'Monthly CF'!$C$85:$DR$85)</f>
        <v>0</v>
      </c>
      <c r="Y74" s="196">
        <f>SUMIF('Monthly CF'!$C$4:$DR$4,Y$3,'Monthly CF'!$C$85:$DR$85)</f>
        <v>0</v>
      </c>
      <c r="Z74" s="196">
        <f>SUMIF('Monthly CF'!$C$4:$DR$4,Z$3,'Monthly CF'!$C$85:$DR$85)</f>
        <v>0</v>
      </c>
      <c r="AA74" s="196">
        <f>SUMIF('Monthly CF'!$C$4:$DR$4,AA$3,'Monthly CF'!$C$85:$DR$85)</f>
        <v>0</v>
      </c>
      <c r="AB74" s="196">
        <f>SUMIF('Monthly CF'!$C$4:$DR$4,AB$3,'Monthly CF'!$C$85:$DR$85)</f>
        <v>0</v>
      </c>
      <c r="AC74" s="196">
        <f>SUMIF('Monthly CF'!$C$4:$DR$4,AC$3,'Monthly CF'!$C$85:$DR$85)</f>
        <v>0</v>
      </c>
      <c r="AD74" s="196">
        <f>SUMIF('Monthly CF'!$C$4:$DR$4,AD$3,'Monthly CF'!$C$85:$DR$85)</f>
        <v>0</v>
      </c>
      <c r="AE74" s="196">
        <f>SUMIF('Monthly CF'!$C$4:$DR$4,AE$3,'Monthly CF'!$C$85:$DR$85)</f>
        <v>0</v>
      </c>
      <c r="AF74" s="196">
        <f>SUMIF('Monthly CF'!$C$4:$DR$4,AF$3,'Monthly CF'!$C$85:$DR$85)</f>
        <v>0</v>
      </c>
      <c r="AG74" s="196">
        <f>SUMIF('Monthly CF'!$C$4:$DR$4,AG$3,'Monthly CF'!$C$85:$DR$85)</f>
        <v>0</v>
      </c>
      <c r="AH74" s="196">
        <f>SUMIF('Monthly CF'!$C$4:$DR$4,AH$3,'Monthly CF'!$C$85:$DR$85)</f>
        <v>0</v>
      </c>
      <c r="AI74" s="196">
        <f>SUMIF('Monthly CF'!$C$4:$DR$4,AI$3,'Monthly CF'!$C$85:$DR$85)</f>
        <v>0</v>
      </c>
      <c r="AJ74" s="196">
        <f>SUMIF('Monthly CF'!$C$4:$DR$4,AJ$3,'Monthly CF'!$C$85:$DR$85)</f>
        <v>0</v>
      </c>
      <c r="AK74" s="196">
        <f>SUMIF('Monthly CF'!$C$4:$DR$4,AK$3,'Monthly CF'!$C$85:$DR$85)</f>
        <v>0</v>
      </c>
      <c r="AL74" s="196">
        <f>SUMIF('Monthly CF'!$C$4:$DR$4,AL$3,'Monthly CF'!$C$85:$DR$85)</f>
        <v>0</v>
      </c>
      <c r="AM74" s="196">
        <f>SUMIF('Monthly CF'!$C$4:$DR$4,AM$3,'Monthly CF'!$C$85:$DR$85)</f>
        <v>0</v>
      </c>
      <c r="AN74" s="196">
        <f>SUMIF('Monthly CF'!$C$4:$DR$4,AN$3,'Monthly CF'!$C$85:$DR$85)</f>
        <v>0</v>
      </c>
      <c r="AO74" s="196">
        <f>SUMIF('Monthly CF'!$C$4:$DR$4,AO$3,'Monthly CF'!$C$85:$DR$85)</f>
        <v>0</v>
      </c>
      <c r="AP74" s="196">
        <f>SUMIF('Monthly CF'!$C$4:$DR$4,AP$3,'Monthly CF'!$C$85:$DR$85)</f>
        <v>0</v>
      </c>
      <c r="AQ74" s="196"/>
    </row>
    <row r="75" ht="15.75" customHeight="1">
      <c r="A75" s="54"/>
      <c r="B75" s="104" t="s">
        <v>336</v>
      </c>
      <c r="C75" s="196">
        <f>SUMIF('Monthly CF'!$C$4:$DR$4,C$3,'Monthly CF'!$C$86:$DR$86)</f>
        <v>0</v>
      </c>
      <c r="D75" s="196">
        <f>SUMIF('Monthly CF'!$C$4:$DR$4,D$3,'Monthly CF'!$C$86:$DR$86)</f>
        <v>0</v>
      </c>
      <c r="E75" s="196">
        <f>SUMIF('Monthly CF'!$C$4:$DR$4,E$3,'Monthly CF'!$C$86:$DR$86)</f>
        <v>0</v>
      </c>
      <c r="F75" s="196">
        <f>SUMIF('Monthly CF'!$C$4:$DR$4,F$3,'Monthly CF'!$C$86:$DR$86)</f>
        <v>0</v>
      </c>
      <c r="G75" s="196">
        <f>SUMIF('Monthly CF'!$C$4:$DR$4,G$3,'Monthly CF'!$C$86:$DR$86)</f>
        <v>0</v>
      </c>
      <c r="H75" s="196">
        <f>SUMIF('Monthly CF'!$C$4:$DR$4,H$3,'Monthly CF'!$C$86:$DR$86)</f>
        <v>0</v>
      </c>
      <c r="I75" s="196">
        <f>SUMIF('Monthly CF'!$C$4:$DR$4,I$3,'Monthly CF'!$C$86:$DR$86)</f>
        <v>0</v>
      </c>
      <c r="J75" s="196">
        <f>SUMIF('Monthly CF'!$C$4:$DR$4,J$3,'Monthly CF'!$C$86:$DR$86)</f>
        <v>0</v>
      </c>
      <c r="K75" s="196">
        <f>SUMIF('Monthly CF'!$C$4:$DR$4,K$3,'Monthly CF'!$C$86:$DR$86)</f>
        <v>0</v>
      </c>
      <c r="L75" s="196">
        <f>SUMIF('Monthly CF'!$C$4:$DR$4,L$3,'Monthly CF'!$C$86:$DR$86)</f>
        <v>0</v>
      </c>
      <c r="M75" s="196">
        <f>SUMIF('Monthly CF'!$C$4:$DR$4,M$3,'Monthly CF'!$C$86:$DR$86)</f>
        <v>0</v>
      </c>
      <c r="N75" s="196">
        <f>SUMIF('Monthly CF'!$C$4:$DR$4,N$3,'Monthly CF'!$C$86:$DR$86)</f>
        <v>0</v>
      </c>
      <c r="O75" s="196">
        <f>SUMIF('Monthly CF'!$C$4:$DR$4,O$3,'Monthly CF'!$C$86:$DR$86)</f>
        <v>0</v>
      </c>
      <c r="P75" s="196">
        <f>SUMIF('Monthly CF'!$C$4:$DR$4,P$3,'Monthly CF'!$C$86:$DR$86)</f>
        <v>0</v>
      </c>
      <c r="Q75" s="196">
        <f>SUMIF('Monthly CF'!$C$4:$DR$4,Q$3,'Monthly CF'!$C$86:$DR$86)</f>
        <v>0</v>
      </c>
      <c r="R75" s="196">
        <f>SUMIF('Monthly CF'!$C$4:$DR$4,R$3,'Monthly CF'!$C$86:$DR$86)</f>
        <v>0</v>
      </c>
      <c r="S75" s="196">
        <f>SUMIF('Monthly CF'!$C$4:$DR$4,S$3,'Monthly CF'!$C$86:$DR$86)</f>
        <v>0</v>
      </c>
      <c r="T75" s="196">
        <f>SUMIF('Monthly CF'!$C$4:$DR$4,T$3,'Monthly CF'!$C$86:$DR$86)</f>
        <v>0</v>
      </c>
      <c r="U75" s="196">
        <f>SUMIF('Monthly CF'!$C$4:$DR$4,U$3,'Monthly CF'!$C$86:$DR$86)</f>
        <v>0</v>
      </c>
      <c r="V75" s="196">
        <f>SUMIF('Monthly CF'!$C$4:$DR$4,V$3,'Monthly CF'!$C$86:$DR$86)</f>
        <v>0</v>
      </c>
      <c r="W75" s="196">
        <f>SUMIF('Monthly CF'!$C$4:$DR$4,W$3,'Monthly CF'!$C$86:$DR$86)</f>
        <v>0</v>
      </c>
      <c r="X75" s="196">
        <f>SUMIF('Monthly CF'!$C$4:$DR$4,X$3,'Monthly CF'!$C$86:$DR$86)</f>
        <v>0</v>
      </c>
      <c r="Y75" s="196">
        <f>SUMIF('Monthly CF'!$C$4:$DR$4,Y$3,'Monthly CF'!$C$86:$DR$86)</f>
        <v>0</v>
      </c>
      <c r="Z75" s="196">
        <f>SUMIF('Monthly CF'!$C$4:$DR$4,Z$3,'Monthly CF'!$C$86:$DR$86)</f>
        <v>0</v>
      </c>
      <c r="AA75" s="196">
        <f>SUMIF('Monthly CF'!$C$4:$DR$4,AA$3,'Monthly CF'!$C$86:$DR$86)</f>
        <v>0</v>
      </c>
      <c r="AB75" s="196">
        <f>SUMIF('Monthly CF'!$C$4:$DR$4,AB$3,'Monthly CF'!$C$86:$DR$86)</f>
        <v>0</v>
      </c>
      <c r="AC75" s="196">
        <f>SUMIF('Monthly CF'!$C$4:$DR$4,AC$3,'Monthly CF'!$C$86:$DR$86)</f>
        <v>0</v>
      </c>
      <c r="AD75" s="196">
        <f>SUMIF('Monthly CF'!$C$4:$DR$4,AD$3,'Monthly CF'!$C$86:$DR$86)</f>
        <v>0</v>
      </c>
      <c r="AE75" s="196">
        <f>SUMIF('Monthly CF'!$C$4:$DR$4,AE$3,'Monthly CF'!$C$86:$DR$86)</f>
        <v>0</v>
      </c>
      <c r="AF75" s="196">
        <f>SUMIF('Monthly CF'!$C$4:$DR$4,AF$3,'Monthly CF'!$C$86:$DR$86)</f>
        <v>0</v>
      </c>
      <c r="AG75" s="196">
        <f>SUMIF('Monthly CF'!$C$4:$DR$4,AG$3,'Monthly CF'!$C$86:$DR$86)</f>
        <v>0</v>
      </c>
      <c r="AH75" s="196">
        <f>SUMIF('Monthly CF'!$C$4:$DR$4,AH$3,'Monthly CF'!$C$86:$DR$86)</f>
        <v>0</v>
      </c>
      <c r="AI75" s="196">
        <f>SUMIF('Monthly CF'!$C$4:$DR$4,AI$3,'Monthly CF'!$C$86:$DR$86)</f>
        <v>0</v>
      </c>
      <c r="AJ75" s="196">
        <f>SUMIF('Monthly CF'!$C$4:$DR$4,AJ$3,'Monthly CF'!$C$86:$DR$86)</f>
        <v>0</v>
      </c>
      <c r="AK75" s="196">
        <f>SUMIF('Monthly CF'!$C$4:$DR$4,AK$3,'Monthly CF'!$C$86:$DR$86)</f>
        <v>0</v>
      </c>
      <c r="AL75" s="196">
        <f>SUMIF('Monthly CF'!$C$4:$DR$4,AL$3,'Monthly CF'!$C$86:$DR$86)</f>
        <v>0</v>
      </c>
      <c r="AM75" s="196">
        <f>SUMIF('Monthly CF'!$C$4:$DR$4,AM$3,'Monthly CF'!$C$86:$DR$86)</f>
        <v>0</v>
      </c>
      <c r="AN75" s="196">
        <f>SUMIF('Monthly CF'!$C$4:$DR$4,AN$3,'Monthly CF'!$C$86:$DR$86)</f>
        <v>0</v>
      </c>
      <c r="AO75" s="196">
        <f>SUMIF('Monthly CF'!$C$4:$DR$4,AO$3,'Monthly CF'!$C$86:$DR$86)</f>
        <v>0</v>
      </c>
      <c r="AP75" s="196">
        <f>SUMIF('Monthly CF'!$C$4:$DR$4,AP$3,'Monthly CF'!$C$86:$DR$86)</f>
        <v>0</v>
      </c>
      <c r="AQ75" s="196"/>
    </row>
    <row r="76" ht="15.75" customHeight="1">
      <c r="A76" s="54"/>
      <c r="B76" s="104" t="s">
        <v>337</v>
      </c>
      <c r="C76" s="196">
        <f>SUMIF('Monthly CF'!$C$4:$DR$4,C$3,'Monthly CF'!$C$87:$DR$87)</f>
        <v>750000</v>
      </c>
      <c r="D76" s="196">
        <f>SUMIF('Monthly CF'!$C$4:$DR$4,D$3,'Monthly CF'!$C$87:$DR$87)</f>
        <v>0</v>
      </c>
      <c r="E76" s="196">
        <f>SUMIF('Monthly CF'!$C$4:$DR$4,E$3,'Monthly CF'!$C$87:$DR$87)</f>
        <v>0</v>
      </c>
      <c r="F76" s="196">
        <f>SUMIF('Monthly CF'!$C$4:$DR$4,F$3,'Monthly CF'!$C$87:$DR$87)</f>
        <v>0</v>
      </c>
      <c r="G76" s="196">
        <f>SUMIF('Monthly CF'!$C$4:$DR$4,G$3,'Monthly CF'!$C$87:$DR$87)</f>
        <v>0</v>
      </c>
      <c r="H76" s="196">
        <f>SUMIF('Monthly CF'!$C$4:$DR$4,H$3,'Monthly CF'!$C$87:$DR$87)</f>
        <v>0</v>
      </c>
      <c r="I76" s="196">
        <f>SUMIF('Monthly CF'!$C$4:$DR$4,I$3,'Monthly CF'!$C$87:$DR$87)</f>
        <v>0</v>
      </c>
      <c r="J76" s="196">
        <f>SUMIF('Monthly CF'!$C$4:$DR$4,J$3,'Monthly CF'!$C$87:$DR$87)</f>
        <v>0</v>
      </c>
      <c r="K76" s="196">
        <f>SUMIF('Monthly CF'!$C$4:$DR$4,K$3,'Monthly CF'!$C$87:$DR$87)</f>
        <v>0</v>
      </c>
      <c r="L76" s="196">
        <f>SUMIF('Monthly CF'!$C$4:$DR$4,L$3,'Monthly CF'!$C$87:$DR$87)</f>
        <v>0</v>
      </c>
      <c r="M76" s="196">
        <f>SUMIF('Monthly CF'!$C$4:$DR$4,M$3,'Monthly CF'!$C$87:$DR$87)</f>
        <v>0</v>
      </c>
      <c r="N76" s="196">
        <f>SUMIF('Monthly CF'!$C$4:$DR$4,N$3,'Monthly CF'!$C$87:$DR$87)</f>
        <v>0</v>
      </c>
      <c r="O76" s="196">
        <f>SUMIF('Monthly CF'!$C$4:$DR$4,O$3,'Monthly CF'!$C$87:$DR$87)</f>
        <v>0</v>
      </c>
      <c r="P76" s="196">
        <f>SUMIF('Monthly CF'!$C$4:$DR$4,P$3,'Monthly CF'!$C$87:$DR$87)</f>
        <v>0</v>
      </c>
      <c r="Q76" s="196">
        <f>SUMIF('Monthly CF'!$C$4:$DR$4,Q$3,'Monthly CF'!$C$87:$DR$87)</f>
        <v>0</v>
      </c>
      <c r="R76" s="196">
        <f>SUMIF('Monthly CF'!$C$4:$DR$4,R$3,'Monthly CF'!$C$87:$DR$87)</f>
        <v>0</v>
      </c>
      <c r="S76" s="196">
        <f>SUMIF('Monthly CF'!$C$4:$DR$4,S$3,'Monthly CF'!$C$87:$DR$87)</f>
        <v>0</v>
      </c>
      <c r="T76" s="196">
        <f>SUMIF('Monthly CF'!$C$4:$DR$4,T$3,'Monthly CF'!$C$87:$DR$87)</f>
        <v>0</v>
      </c>
      <c r="U76" s="196">
        <f>SUMIF('Monthly CF'!$C$4:$DR$4,U$3,'Monthly CF'!$C$87:$DR$87)</f>
        <v>0</v>
      </c>
      <c r="V76" s="196">
        <f>SUMIF('Monthly CF'!$C$4:$DR$4,V$3,'Monthly CF'!$C$87:$DR$87)</f>
        <v>0</v>
      </c>
      <c r="W76" s="196">
        <f>SUMIF('Monthly CF'!$C$4:$DR$4,W$3,'Monthly CF'!$C$87:$DR$87)</f>
        <v>0</v>
      </c>
      <c r="X76" s="196">
        <f>SUMIF('Monthly CF'!$C$4:$DR$4,X$3,'Monthly CF'!$C$87:$DR$87)</f>
        <v>0</v>
      </c>
      <c r="Y76" s="196">
        <f>SUMIF('Monthly CF'!$C$4:$DR$4,Y$3,'Monthly CF'!$C$87:$DR$87)</f>
        <v>0</v>
      </c>
      <c r="Z76" s="196">
        <f>SUMIF('Monthly CF'!$C$4:$DR$4,Z$3,'Monthly CF'!$C$87:$DR$87)</f>
        <v>0</v>
      </c>
      <c r="AA76" s="196">
        <f>SUMIF('Monthly CF'!$C$4:$DR$4,AA$3,'Monthly CF'!$C$87:$DR$87)</f>
        <v>0</v>
      </c>
      <c r="AB76" s="196">
        <f>SUMIF('Monthly CF'!$C$4:$DR$4,AB$3,'Monthly CF'!$C$87:$DR$87)</f>
        <v>0</v>
      </c>
      <c r="AC76" s="196">
        <f>SUMIF('Monthly CF'!$C$4:$DR$4,AC$3,'Monthly CF'!$C$87:$DR$87)</f>
        <v>0</v>
      </c>
      <c r="AD76" s="196">
        <f>SUMIF('Monthly CF'!$C$4:$DR$4,AD$3,'Monthly CF'!$C$87:$DR$87)</f>
        <v>0</v>
      </c>
      <c r="AE76" s="196">
        <f>SUMIF('Monthly CF'!$C$4:$DR$4,AE$3,'Monthly CF'!$C$87:$DR$87)</f>
        <v>0</v>
      </c>
      <c r="AF76" s="196">
        <f>SUMIF('Monthly CF'!$C$4:$DR$4,AF$3,'Monthly CF'!$C$87:$DR$87)</f>
        <v>0</v>
      </c>
      <c r="AG76" s="196">
        <f>SUMIF('Monthly CF'!$C$4:$DR$4,AG$3,'Monthly CF'!$C$87:$DR$87)</f>
        <v>0</v>
      </c>
      <c r="AH76" s="196">
        <f>SUMIF('Monthly CF'!$C$4:$DR$4,AH$3,'Monthly CF'!$C$87:$DR$87)</f>
        <v>0</v>
      </c>
      <c r="AI76" s="196">
        <f>SUMIF('Monthly CF'!$C$4:$DR$4,AI$3,'Monthly CF'!$C$87:$DR$87)</f>
        <v>0</v>
      </c>
      <c r="AJ76" s="196">
        <f>SUMIF('Monthly CF'!$C$4:$DR$4,AJ$3,'Monthly CF'!$C$87:$DR$87)</f>
        <v>0</v>
      </c>
      <c r="AK76" s="196">
        <f>SUMIF('Monthly CF'!$C$4:$DR$4,AK$3,'Monthly CF'!$C$87:$DR$87)</f>
        <v>0</v>
      </c>
      <c r="AL76" s="196">
        <f>SUMIF('Monthly CF'!$C$4:$DR$4,AL$3,'Monthly CF'!$C$87:$DR$87)</f>
        <v>0</v>
      </c>
      <c r="AM76" s="196">
        <f>SUMIF('Monthly CF'!$C$4:$DR$4,AM$3,'Monthly CF'!$C$87:$DR$87)</f>
        <v>0</v>
      </c>
      <c r="AN76" s="196">
        <f>SUMIF('Monthly CF'!$C$4:$DR$4,AN$3,'Monthly CF'!$C$87:$DR$87)</f>
        <v>0</v>
      </c>
      <c r="AO76" s="196">
        <f>SUMIF('Monthly CF'!$C$4:$DR$4,AO$3,'Monthly CF'!$C$87:$DR$87)</f>
        <v>0</v>
      </c>
      <c r="AP76" s="196">
        <f>SUMIF('Monthly CF'!$C$4:$DR$4,AP$3,'Monthly CF'!$C$87:$DR$87)</f>
        <v>0</v>
      </c>
      <c r="AQ76" s="196"/>
    </row>
    <row r="77" ht="15.75" customHeight="1">
      <c r="A77" s="54"/>
      <c r="B77" s="130" t="s">
        <v>338</v>
      </c>
      <c r="C77" s="202">
        <f>SUMIF('Monthly CF'!$C$4:$DR$4,C$3,'Monthly CF'!$C$89:$DR$89)</f>
        <v>-8768.850623</v>
      </c>
      <c r="D77" s="202">
        <f>SUMIF('Monthly CF'!$C$4:$DR$4,D$3,'Monthly CF'!$C$89:$DR$89)</f>
        <v>-13153.27593</v>
      </c>
      <c r="E77" s="202">
        <f>SUMIF('Monthly CF'!$C$4:$DR$4,E$3,'Monthly CF'!$C$89:$DR$89)</f>
        <v>-13153.27593</v>
      </c>
      <c r="F77" s="202">
        <f>SUMIF('Monthly CF'!$C$4:$DR$4,F$3,'Monthly CF'!$C$89:$DR$89)</f>
        <v>-13153.27593</v>
      </c>
      <c r="G77" s="202">
        <f>SUMIF('Monthly CF'!$C$4:$DR$4,G$3,'Monthly CF'!$C$89:$DR$89)</f>
        <v>-13153.27593</v>
      </c>
      <c r="H77" s="202">
        <f>SUMIF('Monthly CF'!$C$4:$DR$4,H$3,'Monthly CF'!$C$89:$DR$89)</f>
        <v>-13153.27593</v>
      </c>
      <c r="I77" s="202">
        <f>SUMIF('Monthly CF'!$C$4:$DR$4,I$3,'Monthly CF'!$C$89:$DR$89)</f>
        <v>-13153.27593</v>
      </c>
      <c r="J77" s="202">
        <f>SUMIF('Monthly CF'!$C$4:$DR$4,J$3,'Monthly CF'!$C$89:$DR$89)</f>
        <v>-13153.27593</v>
      </c>
      <c r="K77" s="202">
        <f>SUMIF('Monthly CF'!$C$4:$DR$4,K$3,'Monthly CF'!$C$89:$DR$89)</f>
        <v>-13153.27593</v>
      </c>
      <c r="L77" s="202">
        <f>SUMIF('Monthly CF'!$C$4:$DR$4,L$3,'Monthly CF'!$C$89:$DR$89)</f>
        <v>-13153.27593</v>
      </c>
      <c r="M77" s="202">
        <f>SUMIF('Monthly CF'!$C$4:$DR$4,M$3,'Monthly CF'!$C$89:$DR$89)</f>
        <v>-13153.27593</v>
      </c>
      <c r="N77" s="202">
        <f>SUMIF('Monthly CF'!$C$4:$DR$4,N$3,'Monthly CF'!$C$89:$DR$89)</f>
        <v>-13153.27593</v>
      </c>
      <c r="O77" s="202">
        <f>SUMIF('Monthly CF'!$C$4:$DR$4,O$3,'Monthly CF'!$C$89:$DR$89)</f>
        <v>-13153.27593</v>
      </c>
      <c r="P77" s="202">
        <f>SUMIF('Monthly CF'!$C$4:$DR$4,P$3,'Monthly CF'!$C$89:$DR$89)</f>
        <v>-13153.27593</v>
      </c>
      <c r="Q77" s="202">
        <f>SUMIF('Monthly CF'!$C$4:$DR$4,Q$3,'Monthly CF'!$C$89:$DR$89)</f>
        <v>-13153.27593</v>
      </c>
      <c r="R77" s="202">
        <f>SUMIF('Monthly CF'!$C$4:$DR$4,R$3,'Monthly CF'!$C$89:$DR$89)</f>
        <v>-13153.27593</v>
      </c>
      <c r="S77" s="202">
        <f>SUMIF('Monthly CF'!$C$4:$DR$4,S$3,'Monthly CF'!$C$89:$DR$89)</f>
        <v>-13153.27593</v>
      </c>
      <c r="T77" s="202">
        <f>SUMIF('Monthly CF'!$C$4:$DR$4,T$3,'Monthly CF'!$C$89:$DR$89)</f>
        <v>-13153.27593</v>
      </c>
      <c r="U77" s="202">
        <f>SUMIF('Monthly CF'!$C$4:$DR$4,U$3,'Monthly CF'!$C$89:$DR$89)</f>
        <v>-13153.27593</v>
      </c>
      <c r="V77" s="202">
        <f>SUMIF('Monthly CF'!$C$4:$DR$4,V$3,'Monthly CF'!$C$89:$DR$89)</f>
        <v>-679114.2817</v>
      </c>
      <c r="W77" s="202">
        <f>SUMIF('Monthly CF'!$C$4:$DR$4,W$3,'Monthly CF'!$C$89:$DR$89)</f>
        <v>0</v>
      </c>
      <c r="X77" s="202">
        <f>SUMIF('Monthly CF'!$C$4:$DR$4,X$3,'Monthly CF'!$C$89:$DR$89)</f>
        <v>0</v>
      </c>
      <c r="Y77" s="202">
        <f>SUMIF('Monthly CF'!$C$4:$DR$4,Y$3,'Monthly CF'!$C$89:$DR$89)</f>
        <v>0</v>
      </c>
      <c r="Z77" s="202">
        <f>SUMIF('Monthly CF'!$C$4:$DR$4,Z$3,'Monthly CF'!$C$89:$DR$89)</f>
        <v>0</v>
      </c>
      <c r="AA77" s="202">
        <f>SUMIF('Monthly CF'!$C$4:$DR$4,AA$3,'Monthly CF'!$C$89:$DR$89)</f>
        <v>0</v>
      </c>
      <c r="AB77" s="202">
        <f>SUMIF('Monthly CF'!$C$4:$DR$4,AB$3,'Monthly CF'!$C$89:$DR$89)</f>
        <v>0</v>
      </c>
      <c r="AC77" s="202">
        <f>SUMIF('Monthly CF'!$C$4:$DR$4,AC$3,'Monthly CF'!$C$89:$DR$89)</f>
        <v>0</v>
      </c>
      <c r="AD77" s="202">
        <f>SUMIF('Monthly CF'!$C$4:$DR$4,AD$3,'Monthly CF'!$C$89:$DR$89)</f>
        <v>0</v>
      </c>
      <c r="AE77" s="202">
        <f>SUMIF('Monthly CF'!$C$4:$DR$4,AE$3,'Monthly CF'!$C$89:$DR$89)</f>
        <v>0</v>
      </c>
      <c r="AF77" s="202">
        <f>SUMIF('Monthly CF'!$C$4:$DR$4,AF$3,'Monthly CF'!$C$89:$DR$89)</f>
        <v>0</v>
      </c>
      <c r="AG77" s="202">
        <f>SUMIF('Monthly CF'!$C$4:$DR$4,AG$3,'Monthly CF'!$C$89:$DR$89)</f>
        <v>0</v>
      </c>
      <c r="AH77" s="202">
        <f>SUMIF('Monthly CF'!$C$4:$DR$4,AH$3,'Monthly CF'!$C$89:$DR$89)</f>
        <v>0</v>
      </c>
      <c r="AI77" s="202">
        <f>SUMIF('Monthly CF'!$C$4:$DR$4,AI$3,'Monthly CF'!$C$89:$DR$89)</f>
        <v>0</v>
      </c>
      <c r="AJ77" s="202">
        <f>SUMIF('Monthly CF'!$C$4:$DR$4,AJ$3,'Monthly CF'!$C$89:$DR$89)</f>
        <v>0</v>
      </c>
      <c r="AK77" s="202">
        <f>SUMIF('Monthly CF'!$C$4:$DR$4,AK$3,'Monthly CF'!$C$89:$DR$89)</f>
        <v>0</v>
      </c>
      <c r="AL77" s="202">
        <f>SUMIF('Monthly CF'!$C$4:$DR$4,AL$3,'Monthly CF'!$C$89:$DR$89)</f>
        <v>0</v>
      </c>
      <c r="AM77" s="202">
        <f>SUMIF('Monthly CF'!$C$4:$DR$4,AM$3,'Monthly CF'!$C$89:$DR$89)</f>
        <v>0</v>
      </c>
      <c r="AN77" s="202">
        <f>SUMIF('Monthly CF'!$C$4:$DR$4,AN$3,'Monthly CF'!$C$89:$DR$89)</f>
        <v>0</v>
      </c>
      <c r="AO77" s="202">
        <f>SUMIF('Monthly CF'!$C$4:$DR$4,AO$3,'Monthly CF'!$C$89:$DR$89)</f>
        <v>0</v>
      </c>
      <c r="AP77" s="202">
        <f>SUMIF('Monthly CF'!$C$4:$DR$4,AP$3,'Monthly CF'!$C$89:$DR$89)</f>
        <v>0</v>
      </c>
      <c r="AQ77" s="203"/>
    </row>
    <row r="78" ht="15.75" customHeight="1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</row>
    <row r="79" ht="15.75" customHeight="1">
      <c r="A79" s="54"/>
      <c r="B79" s="190" t="s">
        <v>339</v>
      </c>
      <c r="C79" s="204">
        <f>SUMIF('Monthly CF'!$C$4:$DR$4,C$3,'Monthly CF'!$C$91:$DR$91)</f>
        <v>-8768.850623</v>
      </c>
      <c r="D79" s="204">
        <f>SUMIF('Monthly CF'!$C$4:$DR$4,D$3,'Monthly CF'!$C$91:$DR$91)</f>
        <v>-13153.27593</v>
      </c>
      <c r="E79" s="204">
        <f>SUMIF('Monthly CF'!$C$4:$DR$4,E$3,'Monthly CF'!$C$91:$DR$91)</f>
        <v>-13153.27593</v>
      </c>
      <c r="F79" s="204">
        <f>SUMIF('Monthly CF'!$C$4:$DR$4,F$3,'Monthly CF'!$C$91:$DR$91)</f>
        <v>-13153.27593</v>
      </c>
      <c r="G79" s="204">
        <f>SUMIF('Monthly CF'!$C$4:$DR$4,G$3,'Monthly CF'!$C$91:$DR$91)</f>
        <v>-13153.27593</v>
      </c>
      <c r="H79" s="204">
        <f>SUMIF('Monthly CF'!$C$4:$DR$4,H$3,'Monthly CF'!$C$91:$DR$91)</f>
        <v>-13153.27593</v>
      </c>
      <c r="I79" s="204">
        <f>SUMIF('Monthly CF'!$C$4:$DR$4,I$3,'Monthly CF'!$C$91:$DR$91)</f>
        <v>-13153.27593</v>
      </c>
      <c r="J79" s="204">
        <f>SUMIF('Monthly CF'!$C$4:$DR$4,J$3,'Monthly CF'!$C$91:$DR$91)</f>
        <v>-13153.27593</v>
      </c>
      <c r="K79" s="204">
        <f>SUMIF('Monthly CF'!$C$4:$DR$4,K$3,'Monthly CF'!$C$91:$DR$91)</f>
        <v>-13153.27593</v>
      </c>
      <c r="L79" s="204">
        <f>SUMIF('Monthly CF'!$C$4:$DR$4,L$3,'Monthly CF'!$C$91:$DR$91)</f>
        <v>-13153.27593</v>
      </c>
      <c r="M79" s="204">
        <f>SUMIF('Monthly CF'!$C$4:$DR$4,M$3,'Monthly CF'!$C$91:$DR$91)</f>
        <v>-13153.27593</v>
      </c>
      <c r="N79" s="204">
        <f>SUMIF('Monthly CF'!$C$4:$DR$4,N$3,'Monthly CF'!$C$91:$DR$91)</f>
        <v>-13153.27593</v>
      </c>
      <c r="O79" s="204">
        <f>SUMIF('Monthly CF'!$C$4:$DR$4,O$3,'Monthly CF'!$C$91:$DR$91)</f>
        <v>-13153.27593</v>
      </c>
      <c r="P79" s="204">
        <f>SUMIF('Monthly CF'!$C$4:$DR$4,P$3,'Monthly CF'!$C$91:$DR$91)</f>
        <v>-13153.27593</v>
      </c>
      <c r="Q79" s="204">
        <f>SUMIF('Monthly CF'!$C$4:$DR$4,Q$3,'Monthly CF'!$C$91:$DR$91)</f>
        <v>-13153.27593</v>
      </c>
      <c r="R79" s="204">
        <f>SUMIF('Monthly CF'!$C$4:$DR$4,R$3,'Monthly CF'!$C$91:$DR$91)</f>
        <v>-13153.27593</v>
      </c>
      <c r="S79" s="204">
        <f>SUMIF('Monthly CF'!$C$4:$DR$4,S$3,'Monthly CF'!$C$91:$DR$91)</f>
        <v>-13153.27593</v>
      </c>
      <c r="T79" s="204">
        <f>SUMIF('Monthly CF'!$C$4:$DR$4,T$3,'Monthly CF'!$C$91:$DR$91)</f>
        <v>-13153.27593</v>
      </c>
      <c r="U79" s="204">
        <f>SUMIF('Monthly CF'!$C$4:$DR$4,U$3,'Monthly CF'!$C$91:$DR$91)</f>
        <v>-13153.27593</v>
      </c>
      <c r="V79" s="204">
        <f>SUMIF('Monthly CF'!$C$4:$DR$4,V$3,'Monthly CF'!$C$91:$DR$91)</f>
        <v>-679114.2817</v>
      </c>
      <c r="W79" s="204">
        <f>SUMIF('Monthly CF'!$C$4:$DR$4,W$3,'Monthly CF'!$C$91:$DR$91)</f>
        <v>0</v>
      </c>
      <c r="X79" s="204">
        <f>SUMIF('Monthly CF'!$C$4:$DR$4,X$3,'Monthly CF'!$C$91:$DR$91)</f>
        <v>0</v>
      </c>
      <c r="Y79" s="204">
        <f>SUMIF('Monthly CF'!$C$4:$DR$4,Y$3,'Monthly CF'!$C$91:$DR$91)</f>
        <v>0</v>
      </c>
      <c r="Z79" s="204">
        <f>SUMIF('Monthly CF'!$C$4:$DR$4,Z$3,'Monthly CF'!$C$91:$DR$91)</f>
        <v>0</v>
      </c>
      <c r="AA79" s="204">
        <f>SUMIF('Monthly CF'!$C$4:$DR$4,AA$3,'Monthly CF'!$C$91:$DR$91)</f>
        <v>0</v>
      </c>
      <c r="AB79" s="204">
        <f>SUMIF('Monthly CF'!$C$4:$DR$4,AB$3,'Monthly CF'!$C$91:$DR$91)</f>
        <v>0</v>
      </c>
      <c r="AC79" s="204">
        <f>SUMIF('Monthly CF'!$C$4:$DR$4,AC$3,'Monthly CF'!$C$91:$DR$91)</f>
        <v>0</v>
      </c>
      <c r="AD79" s="204">
        <f>SUMIF('Monthly CF'!$C$4:$DR$4,AD$3,'Monthly CF'!$C$91:$DR$91)</f>
        <v>0</v>
      </c>
      <c r="AE79" s="204">
        <f>SUMIF('Monthly CF'!$C$4:$DR$4,AE$3,'Monthly CF'!$C$91:$DR$91)</f>
        <v>0</v>
      </c>
      <c r="AF79" s="204">
        <f>SUMIF('Monthly CF'!$C$4:$DR$4,AF$3,'Monthly CF'!$C$91:$DR$91)</f>
        <v>0</v>
      </c>
      <c r="AG79" s="204">
        <f>SUMIF('Monthly CF'!$C$4:$DR$4,AG$3,'Monthly CF'!$C$91:$DR$91)</f>
        <v>0</v>
      </c>
      <c r="AH79" s="204">
        <f>SUMIF('Monthly CF'!$C$4:$DR$4,AH$3,'Monthly CF'!$C$91:$DR$91)</f>
        <v>0</v>
      </c>
      <c r="AI79" s="204">
        <f>SUMIF('Monthly CF'!$C$4:$DR$4,AI$3,'Monthly CF'!$C$91:$DR$91)</f>
        <v>0</v>
      </c>
      <c r="AJ79" s="204">
        <f>SUMIF('Monthly CF'!$C$4:$DR$4,AJ$3,'Monthly CF'!$C$91:$DR$91)</f>
        <v>0</v>
      </c>
      <c r="AK79" s="204">
        <f>SUMIF('Monthly CF'!$C$4:$DR$4,AK$3,'Monthly CF'!$C$91:$DR$91)</f>
        <v>0</v>
      </c>
      <c r="AL79" s="204">
        <f>SUMIF('Monthly CF'!$C$4:$DR$4,AL$3,'Monthly CF'!$C$91:$DR$91)</f>
        <v>0</v>
      </c>
      <c r="AM79" s="204">
        <f>SUMIF('Monthly CF'!$C$4:$DR$4,AM$3,'Monthly CF'!$C$91:$DR$91)</f>
        <v>0</v>
      </c>
      <c r="AN79" s="204">
        <f>SUMIF('Monthly CF'!$C$4:$DR$4,AN$3,'Monthly CF'!$C$91:$DR$91)</f>
        <v>0</v>
      </c>
      <c r="AO79" s="204">
        <f>SUMIF('Monthly CF'!$C$4:$DR$4,AO$3,'Monthly CF'!$C$91:$DR$91)</f>
        <v>0</v>
      </c>
      <c r="AP79" s="204">
        <f>SUMIF('Monthly CF'!$C$4:$DR$4,AP$3,'Monthly CF'!$C$91:$DR$91)</f>
        <v>0</v>
      </c>
      <c r="AQ79" s="54"/>
    </row>
    <row r="80" ht="15.75" customHeight="1">
      <c r="A80" s="54"/>
      <c r="B80" s="186" t="s">
        <v>340</v>
      </c>
      <c r="C80" s="205">
        <f t="shared" ref="C80:AP80" si="1">SUM($C$79:C79)</f>
        <v>-8768.850623</v>
      </c>
      <c r="D80" s="205">
        <f t="shared" si="1"/>
        <v>-21922.12656</v>
      </c>
      <c r="E80" s="205">
        <f t="shared" si="1"/>
        <v>-35075.40249</v>
      </c>
      <c r="F80" s="205">
        <f t="shared" si="1"/>
        <v>-48228.67842</v>
      </c>
      <c r="G80" s="205">
        <f t="shared" si="1"/>
        <v>-61381.95436</v>
      </c>
      <c r="H80" s="205">
        <f t="shared" si="1"/>
        <v>-74535.23029</v>
      </c>
      <c r="I80" s="205">
        <f t="shared" si="1"/>
        <v>-87688.50623</v>
      </c>
      <c r="J80" s="205">
        <f t="shared" si="1"/>
        <v>-100841.7822</v>
      </c>
      <c r="K80" s="205">
        <f t="shared" si="1"/>
        <v>-113995.0581</v>
      </c>
      <c r="L80" s="205">
        <f t="shared" si="1"/>
        <v>-127148.334</v>
      </c>
      <c r="M80" s="205">
        <f t="shared" si="1"/>
        <v>-140301.61</v>
      </c>
      <c r="N80" s="205">
        <f t="shared" si="1"/>
        <v>-153454.8859</v>
      </c>
      <c r="O80" s="205">
        <f t="shared" si="1"/>
        <v>-166608.1618</v>
      </c>
      <c r="P80" s="205">
        <f t="shared" si="1"/>
        <v>-179761.4378</v>
      </c>
      <c r="Q80" s="205">
        <f t="shared" si="1"/>
        <v>-192914.7137</v>
      </c>
      <c r="R80" s="205">
        <f t="shared" si="1"/>
        <v>-206067.9896</v>
      </c>
      <c r="S80" s="205">
        <f t="shared" si="1"/>
        <v>-219221.2656</v>
      </c>
      <c r="T80" s="205">
        <f t="shared" si="1"/>
        <v>-232374.5415</v>
      </c>
      <c r="U80" s="205">
        <f t="shared" si="1"/>
        <v>-245527.8174</v>
      </c>
      <c r="V80" s="205">
        <f t="shared" si="1"/>
        <v>-924642.0991</v>
      </c>
      <c r="W80" s="205">
        <f t="shared" si="1"/>
        <v>-924642.0991</v>
      </c>
      <c r="X80" s="205">
        <f t="shared" si="1"/>
        <v>-924642.0991</v>
      </c>
      <c r="Y80" s="205">
        <f t="shared" si="1"/>
        <v>-924642.0991</v>
      </c>
      <c r="Z80" s="205">
        <f t="shared" si="1"/>
        <v>-924642.0991</v>
      </c>
      <c r="AA80" s="205">
        <f t="shared" si="1"/>
        <v>-924642.0991</v>
      </c>
      <c r="AB80" s="205">
        <f t="shared" si="1"/>
        <v>-924642.0991</v>
      </c>
      <c r="AC80" s="205">
        <f t="shared" si="1"/>
        <v>-924642.0991</v>
      </c>
      <c r="AD80" s="205">
        <f t="shared" si="1"/>
        <v>-924642.0991</v>
      </c>
      <c r="AE80" s="205">
        <f t="shared" si="1"/>
        <v>-924642.0991</v>
      </c>
      <c r="AF80" s="205">
        <f t="shared" si="1"/>
        <v>-924642.0991</v>
      </c>
      <c r="AG80" s="205">
        <f t="shared" si="1"/>
        <v>-924642.0991</v>
      </c>
      <c r="AH80" s="205">
        <f t="shared" si="1"/>
        <v>-924642.0991</v>
      </c>
      <c r="AI80" s="205">
        <f t="shared" si="1"/>
        <v>-924642.0991</v>
      </c>
      <c r="AJ80" s="205">
        <f t="shared" si="1"/>
        <v>-924642.0991</v>
      </c>
      <c r="AK80" s="205">
        <f t="shared" si="1"/>
        <v>-924642.0991</v>
      </c>
      <c r="AL80" s="205">
        <f t="shared" si="1"/>
        <v>-924642.0991</v>
      </c>
      <c r="AM80" s="205">
        <f t="shared" si="1"/>
        <v>-924642.0991</v>
      </c>
      <c r="AN80" s="205">
        <f t="shared" si="1"/>
        <v>-924642.0991</v>
      </c>
      <c r="AO80" s="205">
        <f t="shared" si="1"/>
        <v>-924642.0991</v>
      </c>
      <c r="AP80" s="205">
        <f t="shared" si="1"/>
        <v>-924642.0991</v>
      </c>
      <c r="AQ80" s="54"/>
    </row>
    <row r="81" ht="15.75" customHeight="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</row>
    <row r="82" ht="15.75" customHeight="1">
      <c r="A82" s="54"/>
      <c r="B82" s="182" t="s">
        <v>341</v>
      </c>
      <c r="C82" s="183"/>
      <c r="D82" s="183"/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83"/>
      <c r="Q82" s="183"/>
      <c r="R82" s="183"/>
      <c r="S82" s="183"/>
      <c r="T82" s="183"/>
      <c r="U82" s="183"/>
      <c r="V82" s="183"/>
      <c r="W82" s="183"/>
      <c r="X82" s="183"/>
      <c r="Y82" s="183"/>
      <c r="Z82" s="183"/>
      <c r="AA82" s="183"/>
      <c r="AB82" s="183"/>
      <c r="AC82" s="183"/>
      <c r="AD82" s="183"/>
      <c r="AE82" s="183"/>
      <c r="AF82" s="183"/>
      <c r="AG82" s="183"/>
      <c r="AH82" s="183"/>
      <c r="AI82" s="183"/>
      <c r="AJ82" s="183"/>
      <c r="AK82" s="183"/>
      <c r="AL82" s="183"/>
      <c r="AM82" s="183"/>
      <c r="AN82" s="183"/>
      <c r="AO82" s="183"/>
      <c r="AP82" s="183"/>
      <c r="AQ82" s="54"/>
    </row>
    <row r="83" ht="15.75" customHeight="1">
      <c r="A83" s="54"/>
      <c r="B83" s="184" t="s">
        <v>342</v>
      </c>
      <c r="C83" s="185">
        <f>SUMIF('Monthly CF'!$C$4:$DR$4,C$3,'Monthly CF'!$C$95:$DR$95)</f>
        <v>0</v>
      </c>
      <c r="D83" s="185">
        <f>SUMIF('Monthly CF'!$C$4:$DR$4,D$3,'Monthly CF'!$C$95:$DR$95)</f>
        <v>0</v>
      </c>
      <c r="E83" s="185">
        <f>SUMIF('Monthly CF'!$C$4:$DR$4,E$3,'Monthly CF'!$C$95:$DR$95)</f>
        <v>0</v>
      </c>
      <c r="F83" s="185">
        <f>SUMIF('Monthly CF'!$C$4:$DR$4,F$3,'Monthly CF'!$C$95:$DR$95)</f>
        <v>0</v>
      </c>
      <c r="G83" s="185">
        <f>SUMIF('Monthly CF'!$C$4:$DR$4,G$3,'Monthly CF'!$C$95:$DR$95)</f>
        <v>0</v>
      </c>
      <c r="H83" s="185">
        <f>SUMIF('Monthly CF'!$C$4:$DR$4,H$3,'Monthly CF'!$C$95:$DR$95)</f>
        <v>0</v>
      </c>
      <c r="I83" s="185">
        <f>SUMIF('Monthly CF'!$C$4:$DR$4,I$3,'Monthly CF'!$C$95:$DR$95)</f>
        <v>0</v>
      </c>
      <c r="J83" s="185">
        <f>SUMIF('Monthly CF'!$C$4:$DR$4,J$3,'Monthly CF'!$C$95:$DR$95)</f>
        <v>0</v>
      </c>
      <c r="K83" s="185">
        <f>SUMIF('Monthly CF'!$C$4:$DR$4,K$3,'Monthly CF'!$C$95:$DR$95)</f>
        <v>0</v>
      </c>
      <c r="L83" s="185">
        <f>SUMIF('Monthly CF'!$C$4:$DR$4,L$3,'Monthly CF'!$C$95:$DR$95)</f>
        <v>0</v>
      </c>
      <c r="M83" s="185">
        <f>SUMIF('Monthly CF'!$C$4:$DR$4,M$3,'Monthly CF'!$C$95:$DR$95)</f>
        <v>0</v>
      </c>
      <c r="N83" s="185">
        <f>SUMIF('Monthly CF'!$C$4:$DR$4,N$3,'Monthly CF'!$C$95:$DR$95)</f>
        <v>0</v>
      </c>
      <c r="O83" s="185">
        <f>SUMIF('Monthly CF'!$C$4:$DR$4,O$3,'Monthly CF'!$C$95:$DR$95)</f>
        <v>0</v>
      </c>
      <c r="P83" s="185">
        <f>SUMIF('Monthly CF'!$C$4:$DR$4,P$3,'Monthly CF'!$C$95:$DR$95)</f>
        <v>0</v>
      </c>
      <c r="Q83" s="185">
        <f>SUMIF('Monthly CF'!$C$4:$DR$4,Q$3,'Monthly CF'!$C$95:$DR$95)</f>
        <v>0</v>
      </c>
      <c r="R83" s="185">
        <f>SUMIF('Monthly CF'!$C$4:$DR$4,R$3,'Monthly CF'!$C$95:$DR$95)</f>
        <v>0</v>
      </c>
      <c r="S83" s="185">
        <f>SUMIF('Monthly CF'!$C$4:$DR$4,S$3,'Monthly CF'!$C$95:$DR$95)</f>
        <v>0</v>
      </c>
      <c r="T83" s="185">
        <f>SUMIF('Monthly CF'!$C$4:$DR$4,T$3,'Monthly CF'!$C$95:$DR$95)</f>
        <v>0</v>
      </c>
      <c r="U83" s="185">
        <f>SUMIF('Monthly CF'!$C$4:$DR$4,U$3,'Monthly CF'!$C$95:$DR$95)</f>
        <v>0</v>
      </c>
      <c r="V83" s="185">
        <f>SUMIF('Monthly CF'!$C$4:$DR$4,V$3,'Monthly CF'!$C$95:$DR$95)</f>
        <v>0</v>
      </c>
      <c r="W83" s="185">
        <f>SUMIF('Monthly CF'!$C$4:$DR$4,W$3,'Monthly CF'!$C$95:$DR$95)</f>
        <v>0</v>
      </c>
      <c r="X83" s="185">
        <f>SUMIF('Monthly CF'!$C$4:$DR$4,X$3,'Monthly CF'!$C$95:$DR$95)</f>
        <v>0</v>
      </c>
      <c r="Y83" s="185">
        <f>SUMIF('Monthly CF'!$C$4:$DR$4,Y$3,'Monthly CF'!$C$95:$DR$95)</f>
        <v>0</v>
      </c>
      <c r="Z83" s="185">
        <f>SUMIF('Monthly CF'!$C$4:$DR$4,Z$3,'Monthly CF'!$C$95:$DR$95)</f>
        <v>0</v>
      </c>
      <c r="AA83" s="185">
        <f>SUMIF('Monthly CF'!$C$4:$DR$4,AA$3,'Monthly CF'!$C$95:$DR$95)</f>
        <v>0</v>
      </c>
      <c r="AB83" s="185">
        <f>SUMIF('Monthly CF'!$C$4:$DR$4,AB$3,'Monthly CF'!$C$95:$DR$95)</f>
        <v>0</v>
      </c>
      <c r="AC83" s="185">
        <f>SUMIF('Monthly CF'!$C$4:$DR$4,AC$3,'Monthly CF'!$C$95:$DR$95)</f>
        <v>0</v>
      </c>
      <c r="AD83" s="185">
        <f>SUMIF('Monthly CF'!$C$4:$DR$4,AD$3,'Monthly CF'!$C$95:$DR$95)</f>
        <v>0</v>
      </c>
      <c r="AE83" s="185">
        <f>SUMIF('Monthly CF'!$C$4:$DR$4,AE$3,'Monthly CF'!$C$95:$DR$95)</f>
        <v>0</v>
      </c>
      <c r="AF83" s="185">
        <f>SUMIF('Monthly CF'!$C$4:$DR$4,AF$3,'Monthly CF'!$C$95:$DR$95)</f>
        <v>0</v>
      </c>
      <c r="AG83" s="185">
        <f>SUMIF('Monthly CF'!$C$4:$DR$4,AG$3,'Monthly CF'!$C$95:$DR$95)</f>
        <v>0</v>
      </c>
      <c r="AH83" s="185">
        <f>SUMIF('Monthly CF'!$C$4:$DR$4,AH$3,'Monthly CF'!$C$95:$DR$95)</f>
        <v>0</v>
      </c>
      <c r="AI83" s="185">
        <f>SUMIF('Monthly CF'!$C$4:$DR$4,AI$3,'Monthly CF'!$C$95:$DR$95)</f>
        <v>0</v>
      </c>
      <c r="AJ83" s="185">
        <f>SUMIF('Monthly CF'!$C$4:$DR$4,AJ$3,'Monthly CF'!$C$95:$DR$95)</f>
        <v>0</v>
      </c>
      <c r="AK83" s="185">
        <f>SUMIF('Monthly CF'!$C$4:$DR$4,AK$3,'Monthly CF'!$C$95:$DR$95)</f>
        <v>0</v>
      </c>
      <c r="AL83" s="185">
        <f>SUMIF('Monthly CF'!$C$4:$DR$4,AL$3,'Monthly CF'!$C$95:$DR$95)</f>
        <v>0</v>
      </c>
      <c r="AM83" s="185">
        <f>SUMIF('Monthly CF'!$C$4:$DR$4,AM$3,'Monthly CF'!$C$95:$DR$95)</f>
        <v>0</v>
      </c>
      <c r="AN83" s="185">
        <f>SUMIF('Monthly CF'!$C$4:$DR$4,AN$3,'Monthly CF'!$C$95:$DR$95)</f>
        <v>0</v>
      </c>
      <c r="AO83" s="185">
        <f>SUMIF('Monthly CF'!$C$4:$DR$4,AO$3,'Monthly CF'!$C$95:$DR$95)</f>
        <v>0</v>
      </c>
      <c r="AP83" s="185">
        <f>SUMIF('Monthly CF'!$C$4:$DR$4,AP$3,'Monthly CF'!$C$95:$DR$95)</f>
        <v>0</v>
      </c>
      <c r="AQ83" s="54"/>
    </row>
    <row r="84" ht="15.75" customHeight="1">
      <c r="A84" s="54"/>
      <c r="B84" s="186" t="s">
        <v>343</v>
      </c>
      <c r="C84" s="206">
        <f>SUMIF('Monthly CF'!$C$4:$DR$4,C$3,'Monthly CF'!$C$96:$DR$96)</f>
        <v>0</v>
      </c>
      <c r="D84" s="206">
        <f>SUMIF('Monthly CF'!$C$4:$DR$4,D$3,'Monthly CF'!$C$96:$DR$96)</f>
        <v>0</v>
      </c>
      <c r="E84" s="206">
        <f>SUMIF('Monthly CF'!$C$4:$DR$4,E$3,'Monthly CF'!$C$96:$DR$96)</f>
        <v>0</v>
      </c>
      <c r="F84" s="206">
        <f>SUMIF('Monthly CF'!$C$4:$DR$4,F$3,'Monthly CF'!$C$96:$DR$96)</f>
        <v>0</v>
      </c>
      <c r="G84" s="206">
        <f>SUMIF('Monthly CF'!$C$4:$DR$4,G$3,'Monthly CF'!$C$96:$DR$96)</f>
        <v>0</v>
      </c>
      <c r="H84" s="206">
        <f>SUMIF('Monthly CF'!$C$4:$DR$4,H$3,'Monthly CF'!$C$96:$DR$96)</f>
        <v>0</v>
      </c>
      <c r="I84" s="206">
        <f>SUMIF('Monthly CF'!$C$4:$DR$4,I$3,'Monthly CF'!$C$96:$DR$96)</f>
        <v>0</v>
      </c>
      <c r="J84" s="206">
        <f>SUMIF('Monthly CF'!$C$4:$DR$4,J$3,'Monthly CF'!$C$96:$DR$96)</f>
        <v>0</v>
      </c>
      <c r="K84" s="206">
        <f>SUMIF('Monthly CF'!$C$4:$DR$4,K$3,'Monthly CF'!$C$96:$DR$96)</f>
        <v>0</v>
      </c>
      <c r="L84" s="206">
        <f>SUMIF('Monthly CF'!$C$4:$DR$4,L$3,'Monthly CF'!$C$96:$DR$96)</f>
        <v>0</v>
      </c>
      <c r="M84" s="206">
        <f>SUMIF('Monthly CF'!$C$4:$DR$4,M$3,'Monthly CF'!$C$96:$DR$96)</f>
        <v>0</v>
      </c>
      <c r="N84" s="206">
        <f>SUMIF('Monthly CF'!$C$4:$DR$4,N$3,'Monthly CF'!$C$96:$DR$96)</f>
        <v>0</v>
      </c>
      <c r="O84" s="206">
        <f>SUMIF('Monthly CF'!$C$4:$DR$4,O$3,'Monthly CF'!$C$96:$DR$96)</f>
        <v>0</v>
      </c>
      <c r="P84" s="206">
        <f>SUMIF('Monthly CF'!$C$4:$DR$4,P$3,'Monthly CF'!$C$96:$DR$96)</f>
        <v>0</v>
      </c>
      <c r="Q84" s="206">
        <f>SUMIF('Monthly CF'!$C$4:$DR$4,Q$3,'Monthly CF'!$C$96:$DR$96)</f>
        <v>0</v>
      </c>
      <c r="R84" s="206">
        <f>SUMIF('Monthly CF'!$C$4:$DR$4,R$3,'Monthly CF'!$C$96:$DR$96)</f>
        <v>0</v>
      </c>
      <c r="S84" s="206">
        <f>SUMIF('Monthly CF'!$C$4:$DR$4,S$3,'Monthly CF'!$C$96:$DR$96)</f>
        <v>0</v>
      </c>
      <c r="T84" s="206">
        <f>SUMIF('Monthly CF'!$C$4:$DR$4,T$3,'Monthly CF'!$C$96:$DR$96)</f>
        <v>0</v>
      </c>
      <c r="U84" s="206">
        <f>SUMIF('Monthly CF'!$C$4:$DR$4,U$3,'Monthly CF'!$C$96:$DR$96)</f>
        <v>0</v>
      </c>
      <c r="V84" s="206">
        <f>SUMIF('Monthly CF'!$C$4:$DR$4,V$3,'Monthly CF'!$C$96:$DR$96)</f>
        <v>0</v>
      </c>
      <c r="W84" s="206">
        <f>SUMIF('Monthly CF'!$C$4:$DR$4,W$3,'Monthly CF'!$C$96:$DR$96)</f>
        <v>0</v>
      </c>
      <c r="X84" s="206">
        <f>SUMIF('Monthly CF'!$C$4:$DR$4,X$3,'Monthly CF'!$C$96:$DR$96)</f>
        <v>0</v>
      </c>
      <c r="Y84" s="206">
        <f>SUMIF('Monthly CF'!$C$4:$DR$4,Y$3,'Monthly CF'!$C$96:$DR$96)</f>
        <v>0</v>
      </c>
      <c r="Z84" s="206">
        <f>SUMIF('Monthly CF'!$C$4:$DR$4,Z$3,'Monthly CF'!$C$96:$DR$96)</f>
        <v>0</v>
      </c>
      <c r="AA84" s="206">
        <f>SUMIF('Monthly CF'!$C$4:$DR$4,AA$3,'Monthly CF'!$C$96:$DR$96)</f>
        <v>0</v>
      </c>
      <c r="AB84" s="206">
        <f>SUMIF('Monthly CF'!$C$4:$DR$4,AB$3,'Monthly CF'!$C$96:$DR$96)</f>
        <v>0</v>
      </c>
      <c r="AC84" s="206">
        <f>SUMIF('Monthly CF'!$C$4:$DR$4,AC$3,'Monthly CF'!$C$96:$DR$96)</f>
        <v>0</v>
      </c>
      <c r="AD84" s="206">
        <f>SUMIF('Monthly CF'!$C$4:$DR$4,AD$3,'Monthly CF'!$C$96:$DR$96)</f>
        <v>0</v>
      </c>
      <c r="AE84" s="206">
        <f>SUMIF('Monthly CF'!$C$4:$DR$4,AE$3,'Monthly CF'!$C$96:$DR$96)</f>
        <v>0</v>
      </c>
      <c r="AF84" s="206">
        <f>SUMIF('Monthly CF'!$C$4:$DR$4,AF$3,'Monthly CF'!$C$96:$DR$96)</f>
        <v>0</v>
      </c>
      <c r="AG84" s="206">
        <f>SUMIF('Monthly CF'!$C$4:$DR$4,AG$3,'Monthly CF'!$C$96:$DR$96)</f>
        <v>0</v>
      </c>
      <c r="AH84" s="206">
        <f>SUMIF('Monthly CF'!$C$4:$DR$4,AH$3,'Monthly CF'!$C$96:$DR$96)</f>
        <v>0</v>
      </c>
      <c r="AI84" s="206">
        <f>SUMIF('Monthly CF'!$C$4:$DR$4,AI$3,'Monthly CF'!$C$96:$DR$96)</f>
        <v>0</v>
      </c>
      <c r="AJ84" s="206">
        <f>SUMIF('Monthly CF'!$C$4:$DR$4,AJ$3,'Monthly CF'!$C$96:$DR$96)</f>
        <v>0</v>
      </c>
      <c r="AK84" s="206">
        <f>SUMIF('Monthly CF'!$C$4:$DR$4,AK$3,'Monthly CF'!$C$96:$DR$96)</f>
        <v>0</v>
      </c>
      <c r="AL84" s="206">
        <f>SUMIF('Monthly CF'!$C$4:$DR$4,AL$3,'Monthly CF'!$C$96:$DR$96)</f>
        <v>0</v>
      </c>
      <c r="AM84" s="206">
        <f>SUMIF('Monthly CF'!$C$4:$DR$4,AM$3,'Monthly CF'!$C$96:$DR$96)</f>
        <v>0</v>
      </c>
      <c r="AN84" s="206">
        <f>SUMIF('Monthly CF'!$C$4:$DR$4,AN$3,'Monthly CF'!$C$96:$DR$96)</f>
        <v>0</v>
      </c>
      <c r="AO84" s="206">
        <f>SUMIF('Monthly CF'!$C$4:$DR$4,AO$3,'Monthly CF'!$C$96:$DR$96)</f>
        <v>0</v>
      </c>
      <c r="AP84" s="206">
        <f>SUMIF('Monthly CF'!$C$4:$DR$4,AP$3,'Monthly CF'!$C$96:$DR$96)</f>
        <v>0</v>
      </c>
      <c r="AQ84" s="54"/>
    </row>
    <row r="85" ht="15.75" customHeight="1">
      <c r="A85" s="54"/>
      <c r="B85" s="184" t="str">
        <f>"  Capital Partner ("&amp;TEXT(Inputs!C107,"0.0%")&amp;")"</f>
        <v>  Capital Partner (-11.4%)</v>
      </c>
      <c r="C85" s="185">
        <f>SUMIF('Monthly CF'!$C$4:$DR$4,C$3,'Monthly CF'!$C$97:$DR$97)</f>
        <v>0</v>
      </c>
      <c r="D85" s="185">
        <f>SUMIF('Monthly CF'!$C$4:$DR$4,D$3,'Monthly CF'!$C$97:$DR$97)</f>
        <v>0</v>
      </c>
      <c r="E85" s="185">
        <f>SUMIF('Monthly CF'!$C$4:$DR$4,E$3,'Monthly CF'!$C$97:$DR$97)</f>
        <v>0</v>
      </c>
      <c r="F85" s="185">
        <f>SUMIF('Monthly CF'!$C$4:$DR$4,F$3,'Monthly CF'!$C$97:$DR$97)</f>
        <v>0</v>
      </c>
      <c r="G85" s="185">
        <f>SUMIF('Monthly CF'!$C$4:$DR$4,G$3,'Monthly CF'!$C$97:$DR$97)</f>
        <v>0</v>
      </c>
      <c r="H85" s="185">
        <f>SUMIF('Monthly CF'!$C$4:$DR$4,H$3,'Monthly CF'!$C$97:$DR$97)</f>
        <v>0</v>
      </c>
      <c r="I85" s="185">
        <f>SUMIF('Monthly CF'!$C$4:$DR$4,I$3,'Monthly CF'!$C$97:$DR$97)</f>
        <v>0</v>
      </c>
      <c r="J85" s="185">
        <f>SUMIF('Monthly CF'!$C$4:$DR$4,J$3,'Monthly CF'!$C$97:$DR$97)</f>
        <v>0</v>
      </c>
      <c r="K85" s="185">
        <f>SUMIF('Monthly CF'!$C$4:$DR$4,K$3,'Monthly CF'!$C$97:$DR$97)</f>
        <v>0</v>
      </c>
      <c r="L85" s="185">
        <f>SUMIF('Monthly CF'!$C$4:$DR$4,L$3,'Monthly CF'!$C$97:$DR$97)</f>
        <v>0</v>
      </c>
      <c r="M85" s="185">
        <f>SUMIF('Monthly CF'!$C$4:$DR$4,M$3,'Monthly CF'!$C$97:$DR$97)</f>
        <v>0</v>
      </c>
      <c r="N85" s="185">
        <f>SUMIF('Monthly CF'!$C$4:$DR$4,N$3,'Monthly CF'!$C$97:$DR$97)</f>
        <v>0</v>
      </c>
      <c r="O85" s="185">
        <f>SUMIF('Monthly CF'!$C$4:$DR$4,O$3,'Monthly CF'!$C$97:$DR$97)</f>
        <v>0</v>
      </c>
      <c r="P85" s="185">
        <f>SUMIF('Monthly CF'!$C$4:$DR$4,P$3,'Monthly CF'!$C$97:$DR$97)</f>
        <v>0</v>
      </c>
      <c r="Q85" s="185">
        <f>SUMIF('Monthly CF'!$C$4:$DR$4,Q$3,'Monthly CF'!$C$97:$DR$97)</f>
        <v>0</v>
      </c>
      <c r="R85" s="185">
        <f>SUMIF('Monthly CF'!$C$4:$DR$4,R$3,'Monthly CF'!$C$97:$DR$97)</f>
        <v>0</v>
      </c>
      <c r="S85" s="185">
        <f>SUMIF('Monthly CF'!$C$4:$DR$4,S$3,'Monthly CF'!$C$97:$DR$97)</f>
        <v>0</v>
      </c>
      <c r="T85" s="185">
        <f>SUMIF('Monthly CF'!$C$4:$DR$4,T$3,'Monthly CF'!$C$97:$DR$97)</f>
        <v>0</v>
      </c>
      <c r="U85" s="185">
        <f>SUMIF('Monthly CF'!$C$4:$DR$4,U$3,'Monthly CF'!$C$97:$DR$97)</f>
        <v>0</v>
      </c>
      <c r="V85" s="185">
        <f>SUMIF('Monthly CF'!$C$4:$DR$4,V$3,'Monthly CF'!$C$97:$DR$97)</f>
        <v>0</v>
      </c>
      <c r="W85" s="185">
        <f>SUMIF('Monthly CF'!$C$4:$DR$4,W$3,'Monthly CF'!$C$97:$DR$97)</f>
        <v>0</v>
      </c>
      <c r="X85" s="185">
        <f>SUMIF('Monthly CF'!$C$4:$DR$4,X$3,'Monthly CF'!$C$97:$DR$97)</f>
        <v>0</v>
      </c>
      <c r="Y85" s="185">
        <f>SUMIF('Monthly CF'!$C$4:$DR$4,Y$3,'Monthly CF'!$C$97:$DR$97)</f>
        <v>0</v>
      </c>
      <c r="Z85" s="185">
        <f>SUMIF('Monthly CF'!$C$4:$DR$4,Z$3,'Monthly CF'!$C$97:$DR$97)</f>
        <v>0</v>
      </c>
      <c r="AA85" s="185">
        <f>SUMIF('Monthly CF'!$C$4:$DR$4,AA$3,'Monthly CF'!$C$97:$DR$97)</f>
        <v>0</v>
      </c>
      <c r="AB85" s="185">
        <f>SUMIF('Monthly CF'!$C$4:$DR$4,AB$3,'Monthly CF'!$C$97:$DR$97)</f>
        <v>0</v>
      </c>
      <c r="AC85" s="185">
        <f>SUMIF('Monthly CF'!$C$4:$DR$4,AC$3,'Monthly CF'!$C$97:$DR$97)</f>
        <v>0</v>
      </c>
      <c r="AD85" s="185">
        <f>SUMIF('Monthly CF'!$C$4:$DR$4,AD$3,'Monthly CF'!$C$97:$DR$97)</f>
        <v>0</v>
      </c>
      <c r="AE85" s="185">
        <f>SUMIF('Monthly CF'!$C$4:$DR$4,AE$3,'Monthly CF'!$C$97:$DR$97)</f>
        <v>0</v>
      </c>
      <c r="AF85" s="185">
        <f>SUMIF('Monthly CF'!$C$4:$DR$4,AF$3,'Monthly CF'!$C$97:$DR$97)</f>
        <v>0</v>
      </c>
      <c r="AG85" s="185">
        <f>SUMIF('Monthly CF'!$C$4:$DR$4,AG$3,'Monthly CF'!$C$97:$DR$97)</f>
        <v>0</v>
      </c>
      <c r="AH85" s="185">
        <f>SUMIF('Monthly CF'!$C$4:$DR$4,AH$3,'Monthly CF'!$C$97:$DR$97)</f>
        <v>0</v>
      </c>
      <c r="AI85" s="185">
        <f>SUMIF('Monthly CF'!$C$4:$DR$4,AI$3,'Monthly CF'!$C$97:$DR$97)</f>
        <v>0</v>
      </c>
      <c r="AJ85" s="185">
        <f>SUMIF('Monthly CF'!$C$4:$DR$4,AJ$3,'Monthly CF'!$C$97:$DR$97)</f>
        <v>0</v>
      </c>
      <c r="AK85" s="185">
        <f>SUMIF('Monthly CF'!$C$4:$DR$4,AK$3,'Monthly CF'!$C$97:$DR$97)</f>
        <v>0</v>
      </c>
      <c r="AL85" s="185">
        <f>SUMIF('Monthly CF'!$C$4:$DR$4,AL$3,'Monthly CF'!$C$97:$DR$97)</f>
        <v>0</v>
      </c>
      <c r="AM85" s="185">
        <f>SUMIF('Monthly CF'!$C$4:$DR$4,AM$3,'Monthly CF'!$C$97:$DR$97)</f>
        <v>0</v>
      </c>
      <c r="AN85" s="185">
        <f>SUMIF('Monthly CF'!$C$4:$DR$4,AN$3,'Monthly CF'!$C$97:$DR$97)</f>
        <v>0</v>
      </c>
      <c r="AO85" s="185">
        <f>SUMIF('Monthly CF'!$C$4:$DR$4,AO$3,'Monthly CF'!$C$97:$DR$97)</f>
        <v>0</v>
      </c>
      <c r="AP85" s="185">
        <f>SUMIF('Monthly CF'!$C$4:$DR$4,AP$3,'Monthly CF'!$C$97:$DR$97)</f>
        <v>0</v>
      </c>
      <c r="AQ85" s="54"/>
    </row>
    <row r="86" ht="15.75" customHeight="1">
      <c r="A86" s="54"/>
      <c r="B86" s="184" t="s">
        <v>344</v>
      </c>
      <c r="C86" s="185">
        <f>SUMIF('Monthly CF'!$C$4:$DR$4,C$3,'Monthly CF'!$C$98:$DR$98)</f>
        <v>0</v>
      </c>
      <c r="D86" s="185">
        <f>SUMIF('Monthly CF'!$C$4:$DR$4,D$3,'Monthly CF'!$C$98:$DR$98)</f>
        <v>0</v>
      </c>
      <c r="E86" s="185">
        <f>SUMIF('Monthly CF'!$C$4:$DR$4,E$3,'Monthly CF'!$C$98:$DR$98)</f>
        <v>0</v>
      </c>
      <c r="F86" s="185">
        <f>SUMIF('Monthly CF'!$C$4:$DR$4,F$3,'Monthly CF'!$C$98:$DR$98)</f>
        <v>0</v>
      </c>
      <c r="G86" s="185">
        <f>SUMIF('Monthly CF'!$C$4:$DR$4,G$3,'Monthly CF'!$C$98:$DR$98)</f>
        <v>0</v>
      </c>
      <c r="H86" s="185">
        <f>SUMIF('Monthly CF'!$C$4:$DR$4,H$3,'Monthly CF'!$C$98:$DR$98)</f>
        <v>0</v>
      </c>
      <c r="I86" s="185">
        <f>SUMIF('Monthly CF'!$C$4:$DR$4,I$3,'Monthly CF'!$C$98:$DR$98)</f>
        <v>0</v>
      </c>
      <c r="J86" s="185">
        <f>SUMIF('Monthly CF'!$C$4:$DR$4,J$3,'Monthly CF'!$C$98:$DR$98)</f>
        <v>0</v>
      </c>
      <c r="K86" s="185">
        <f>SUMIF('Monthly CF'!$C$4:$DR$4,K$3,'Monthly CF'!$C$98:$DR$98)</f>
        <v>0</v>
      </c>
      <c r="L86" s="185">
        <f>SUMIF('Monthly CF'!$C$4:$DR$4,L$3,'Monthly CF'!$C$98:$DR$98)</f>
        <v>0</v>
      </c>
      <c r="M86" s="185">
        <f>SUMIF('Monthly CF'!$C$4:$DR$4,M$3,'Monthly CF'!$C$98:$DR$98)</f>
        <v>0</v>
      </c>
      <c r="N86" s="185">
        <f>SUMIF('Monthly CF'!$C$4:$DR$4,N$3,'Monthly CF'!$C$98:$DR$98)</f>
        <v>0</v>
      </c>
      <c r="O86" s="185">
        <f>SUMIF('Monthly CF'!$C$4:$DR$4,O$3,'Monthly CF'!$C$98:$DR$98)</f>
        <v>0</v>
      </c>
      <c r="P86" s="185">
        <f>SUMIF('Monthly CF'!$C$4:$DR$4,P$3,'Monthly CF'!$C$98:$DR$98)</f>
        <v>0</v>
      </c>
      <c r="Q86" s="185">
        <f>SUMIF('Monthly CF'!$C$4:$DR$4,Q$3,'Monthly CF'!$C$98:$DR$98)</f>
        <v>0</v>
      </c>
      <c r="R86" s="185">
        <f>SUMIF('Monthly CF'!$C$4:$DR$4,R$3,'Monthly CF'!$C$98:$DR$98)</f>
        <v>0</v>
      </c>
      <c r="S86" s="185">
        <f>SUMIF('Monthly CF'!$C$4:$DR$4,S$3,'Monthly CF'!$C$98:$DR$98)</f>
        <v>0</v>
      </c>
      <c r="T86" s="185">
        <f>SUMIF('Monthly CF'!$C$4:$DR$4,T$3,'Monthly CF'!$C$98:$DR$98)</f>
        <v>0</v>
      </c>
      <c r="U86" s="185">
        <f>SUMIF('Monthly CF'!$C$4:$DR$4,U$3,'Monthly CF'!$C$98:$DR$98)</f>
        <v>0</v>
      </c>
      <c r="V86" s="185">
        <f>SUMIF('Monthly CF'!$C$4:$DR$4,V$3,'Monthly CF'!$C$98:$DR$98)</f>
        <v>0</v>
      </c>
      <c r="W86" s="185">
        <f>SUMIF('Monthly CF'!$C$4:$DR$4,W$3,'Monthly CF'!$C$98:$DR$98)</f>
        <v>0</v>
      </c>
      <c r="X86" s="185">
        <f>SUMIF('Monthly CF'!$C$4:$DR$4,X$3,'Monthly CF'!$C$98:$DR$98)</f>
        <v>0</v>
      </c>
      <c r="Y86" s="185">
        <f>SUMIF('Monthly CF'!$C$4:$DR$4,Y$3,'Monthly CF'!$C$98:$DR$98)</f>
        <v>0</v>
      </c>
      <c r="Z86" s="185">
        <f>SUMIF('Monthly CF'!$C$4:$DR$4,Z$3,'Monthly CF'!$C$98:$DR$98)</f>
        <v>0</v>
      </c>
      <c r="AA86" s="185">
        <f>SUMIF('Monthly CF'!$C$4:$DR$4,AA$3,'Monthly CF'!$C$98:$DR$98)</f>
        <v>0</v>
      </c>
      <c r="AB86" s="185">
        <f>SUMIF('Monthly CF'!$C$4:$DR$4,AB$3,'Monthly CF'!$C$98:$DR$98)</f>
        <v>0</v>
      </c>
      <c r="AC86" s="185">
        <f>SUMIF('Monthly CF'!$C$4:$DR$4,AC$3,'Monthly CF'!$C$98:$DR$98)</f>
        <v>0</v>
      </c>
      <c r="AD86" s="185">
        <f>SUMIF('Monthly CF'!$C$4:$DR$4,AD$3,'Monthly CF'!$C$98:$DR$98)</f>
        <v>0</v>
      </c>
      <c r="AE86" s="185">
        <f>SUMIF('Monthly CF'!$C$4:$DR$4,AE$3,'Monthly CF'!$C$98:$DR$98)</f>
        <v>0</v>
      </c>
      <c r="AF86" s="185">
        <f>SUMIF('Monthly CF'!$C$4:$DR$4,AF$3,'Monthly CF'!$C$98:$DR$98)</f>
        <v>0</v>
      </c>
      <c r="AG86" s="185">
        <f>SUMIF('Monthly CF'!$C$4:$DR$4,AG$3,'Monthly CF'!$C$98:$DR$98)</f>
        <v>0</v>
      </c>
      <c r="AH86" s="185">
        <f>SUMIF('Monthly CF'!$C$4:$DR$4,AH$3,'Monthly CF'!$C$98:$DR$98)</f>
        <v>0</v>
      </c>
      <c r="AI86" s="185">
        <f>SUMIF('Monthly CF'!$C$4:$DR$4,AI$3,'Monthly CF'!$C$98:$DR$98)</f>
        <v>0</v>
      </c>
      <c r="AJ86" s="185">
        <f>SUMIF('Monthly CF'!$C$4:$DR$4,AJ$3,'Monthly CF'!$C$98:$DR$98)</f>
        <v>0</v>
      </c>
      <c r="AK86" s="185">
        <f>SUMIF('Monthly CF'!$C$4:$DR$4,AK$3,'Monthly CF'!$C$98:$DR$98)</f>
        <v>0</v>
      </c>
      <c r="AL86" s="185">
        <f>SUMIF('Monthly CF'!$C$4:$DR$4,AL$3,'Monthly CF'!$C$98:$DR$98)</f>
        <v>0</v>
      </c>
      <c r="AM86" s="185">
        <f>SUMIF('Monthly CF'!$C$4:$DR$4,AM$3,'Monthly CF'!$C$98:$DR$98)</f>
        <v>0</v>
      </c>
      <c r="AN86" s="185">
        <f>SUMIF('Monthly CF'!$C$4:$DR$4,AN$3,'Monthly CF'!$C$98:$DR$98)</f>
        <v>0</v>
      </c>
      <c r="AO86" s="185">
        <f>SUMIF('Monthly CF'!$C$4:$DR$4,AO$3,'Monthly CF'!$C$98:$DR$98)</f>
        <v>0</v>
      </c>
      <c r="AP86" s="185">
        <f>SUMIF('Monthly CF'!$C$4:$DR$4,AP$3,'Monthly CF'!$C$98:$DR$98)</f>
        <v>85000</v>
      </c>
      <c r="AQ86" s="54"/>
    </row>
    <row r="87" ht="15.75" customHeight="1">
      <c r="A87" s="54"/>
      <c r="B87" s="184" t="str">
        <f>"  Manager ("&amp;TEXT(Inputs!C108,"0.0%")&amp;")"</f>
        <v>  Manager (111.4%)</v>
      </c>
      <c r="C87" s="185">
        <f>SUMIF('Monthly CF'!$C$4:$DR$4,C$3,'Monthly CF'!$C$99:$DR$99)</f>
        <v>0</v>
      </c>
      <c r="D87" s="185">
        <f>SUMIF('Monthly CF'!$C$4:$DR$4,D$3,'Monthly CF'!$C$99:$DR$99)</f>
        <v>0</v>
      </c>
      <c r="E87" s="185">
        <f>SUMIF('Monthly CF'!$C$4:$DR$4,E$3,'Monthly CF'!$C$99:$DR$99)</f>
        <v>0</v>
      </c>
      <c r="F87" s="185">
        <f>SUMIF('Monthly CF'!$C$4:$DR$4,F$3,'Monthly CF'!$C$99:$DR$99)</f>
        <v>0</v>
      </c>
      <c r="G87" s="185">
        <f>SUMIF('Monthly CF'!$C$4:$DR$4,G$3,'Monthly CF'!$C$99:$DR$99)</f>
        <v>0</v>
      </c>
      <c r="H87" s="185">
        <f>SUMIF('Monthly CF'!$C$4:$DR$4,H$3,'Monthly CF'!$C$99:$DR$99)</f>
        <v>0</v>
      </c>
      <c r="I87" s="185">
        <f>SUMIF('Monthly CF'!$C$4:$DR$4,I$3,'Monthly CF'!$C$99:$DR$99)</f>
        <v>0</v>
      </c>
      <c r="J87" s="185">
        <f>SUMIF('Monthly CF'!$C$4:$DR$4,J$3,'Monthly CF'!$C$99:$DR$99)</f>
        <v>0</v>
      </c>
      <c r="K87" s="185">
        <f>SUMIF('Monthly CF'!$C$4:$DR$4,K$3,'Monthly CF'!$C$99:$DR$99)</f>
        <v>0</v>
      </c>
      <c r="L87" s="185">
        <f>SUMIF('Monthly CF'!$C$4:$DR$4,L$3,'Monthly CF'!$C$99:$DR$99)</f>
        <v>0</v>
      </c>
      <c r="M87" s="185">
        <f>SUMIF('Monthly CF'!$C$4:$DR$4,M$3,'Monthly CF'!$C$99:$DR$99)</f>
        <v>0</v>
      </c>
      <c r="N87" s="185">
        <f>SUMIF('Monthly CF'!$C$4:$DR$4,N$3,'Monthly CF'!$C$99:$DR$99)</f>
        <v>0</v>
      </c>
      <c r="O87" s="185">
        <f>SUMIF('Monthly CF'!$C$4:$DR$4,O$3,'Monthly CF'!$C$99:$DR$99)</f>
        <v>0</v>
      </c>
      <c r="P87" s="185">
        <f>SUMIF('Monthly CF'!$C$4:$DR$4,P$3,'Monthly CF'!$C$99:$DR$99)</f>
        <v>0</v>
      </c>
      <c r="Q87" s="185">
        <f>SUMIF('Monthly CF'!$C$4:$DR$4,Q$3,'Monthly CF'!$C$99:$DR$99)</f>
        <v>0</v>
      </c>
      <c r="R87" s="185">
        <f>SUMIF('Monthly CF'!$C$4:$DR$4,R$3,'Monthly CF'!$C$99:$DR$99)</f>
        <v>0</v>
      </c>
      <c r="S87" s="185">
        <f>SUMIF('Monthly CF'!$C$4:$DR$4,S$3,'Monthly CF'!$C$99:$DR$99)</f>
        <v>0</v>
      </c>
      <c r="T87" s="185">
        <f>SUMIF('Monthly CF'!$C$4:$DR$4,T$3,'Monthly CF'!$C$99:$DR$99)</f>
        <v>0</v>
      </c>
      <c r="U87" s="185">
        <f>SUMIF('Monthly CF'!$C$4:$DR$4,U$3,'Monthly CF'!$C$99:$DR$99)</f>
        <v>0</v>
      </c>
      <c r="V87" s="185">
        <f>SUMIF('Monthly CF'!$C$4:$DR$4,V$3,'Monthly CF'!$C$99:$DR$99)</f>
        <v>0</v>
      </c>
      <c r="W87" s="185">
        <f>SUMIF('Monthly CF'!$C$4:$DR$4,W$3,'Monthly CF'!$C$99:$DR$99)</f>
        <v>0</v>
      </c>
      <c r="X87" s="185">
        <f>SUMIF('Monthly CF'!$C$4:$DR$4,X$3,'Monthly CF'!$C$99:$DR$99)</f>
        <v>0</v>
      </c>
      <c r="Y87" s="185">
        <f>SUMIF('Monthly CF'!$C$4:$DR$4,Y$3,'Monthly CF'!$C$99:$DR$99)</f>
        <v>0</v>
      </c>
      <c r="Z87" s="185">
        <f>SUMIF('Monthly CF'!$C$4:$DR$4,Z$3,'Monthly CF'!$C$99:$DR$99)</f>
        <v>0</v>
      </c>
      <c r="AA87" s="185">
        <f>SUMIF('Monthly CF'!$C$4:$DR$4,AA$3,'Monthly CF'!$C$99:$DR$99)</f>
        <v>0</v>
      </c>
      <c r="AB87" s="185">
        <f>SUMIF('Monthly CF'!$C$4:$DR$4,AB$3,'Monthly CF'!$C$99:$DR$99)</f>
        <v>0</v>
      </c>
      <c r="AC87" s="185">
        <f>SUMIF('Monthly CF'!$C$4:$DR$4,AC$3,'Monthly CF'!$C$99:$DR$99)</f>
        <v>0</v>
      </c>
      <c r="AD87" s="185">
        <f>SUMIF('Monthly CF'!$C$4:$DR$4,AD$3,'Monthly CF'!$C$99:$DR$99)</f>
        <v>0</v>
      </c>
      <c r="AE87" s="185">
        <f>SUMIF('Monthly CF'!$C$4:$DR$4,AE$3,'Monthly CF'!$C$99:$DR$99)</f>
        <v>0</v>
      </c>
      <c r="AF87" s="185">
        <f>SUMIF('Monthly CF'!$C$4:$DR$4,AF$3,'Monthly CF'!$C$99:$DR$99)</f>
        <v>0</v>
      </c>
      <c r="AG87" s="185">
        <f>SUMIF('Monthly CF'!$C$4:$DR$4,AG$3,'Monthly CF'!$C$99:$DR$99)</f>
        <v>0</v>
      </c>
      <c r="AH87" s="185">
        <f>SUMIF('Monthly CF'!$C$4:$DR$4,AH$3,'Monthly CF'!$C$99:$DR$99)</f>
        <v>0</v>
      </c>
      <c r="AI87" s="185">
        <f>SUMIF('Monthly CF'!$C$4:$DR$4,AI$3,'Monthly CF'!$C$99:$DR$99)</f>
        <v>0</v>
      </c>
      <c r="AJ87" s="185">
        <f>SUMIF('Monthly CF'!$C$4:$DR$4,AJ$3,'Monthly CF'!$C$99:$DR$99)</f>
        <v>0</v>
      </c>
      <c r="AK87" s="185">
        <f>SUMIF('Monthly CF'!$C$4:$DR$4,AK$3,'Monthly CF'!$C$99:$DR$99)</f>
        <v>0</v>
      </c>
      <c r="AL87" s="185">
        <f>SUMIF('Monthly CF'!$C$4:$DR$4,AL$3,'Monthly CF'!$C$99:$DR$99)</f>
        <v>0</v>
      </c>
      <c r="AM87" s="185">
        <f>SUMIF('Monthly CF'!$C$4:$DR$4,AM$3,'Monthly CF'!$C$99:$DR$99)</f>
        <v>0</v>
      </c>
      <c r="AN87" s="185">
        <f>SUMIF('Monthly CF'!$C$4:$DR$4,AN$3,'Monthly CF'!$C$99:$DR$99)</f>
        <v>0</v>
      </c>
      <c r="AO87" s="185">
        <f>SUMIF('Monthly CF'!$C$4:$DR$4,AO$3,'Monthly CF'!$C$99:$DR$99)</f>
        <v>0</v>
      </c>
      <c r="AP87" s="185">
        <f>SUMIF('Monthly CF'!$C$4:$DR$4,AP$3,'Monthly CF'!$C$99:$DR$99)</f>
        <v>0</v>
      </c>
      <c r="AQ87" s="54"/>
    </row>
    <row r="88" ht="15.75" customHeight="1">
      <c r="A88" s="54"/>
      <c r="B88" s="130" t="s">
        <v>345</v>
      </c>
      <c r="C88" s="189">
        <f>SUMIF('Monthly CF'!$C$4:$DR$4,C$3,'Monthly CF'!$C$100:$DR$100)</f>
        <v>0</v>
      </c>
      <c r="D88" s="189">
        <f>SUMIF('Monthly CF'!$C$4:$DR$4,D$3,'Monthly CF'!$C$100:$DR$100)</f>
        <v>0</v>
      </c>
      <c r="E88" s="189">
        <f>SUMIF('Monthly CF'!$C$4:$DR$4,E$3,'Monthly CF'!$C$100:$DR$100)</f>
        <v>0</v>
      </c>
      <c r="F88" s="189">
        <f>SUMIF('Monthly CF'!$C$4:$DR$4,F$3,'Monthly CF'!$C$100:$DR$100)</f>
        <v>0</v>
      </c>
      <c r="G88" s="189">
        <f>SUMIF('Monthly CF'!$C$4:$DR$4,G$3,'Monthly CF'!$C$100:$DR$100)</f>
        <v>0</v>
      </c>
      <c r="H88" s="189">
        <f>SUMIF('Monthly CF'!$C$4:$DR$4,H$3,'Monthly CF'!$C$100:$DR$100)</f>
        <v>0</v>
      </c>
      <c r="I88" s="189">
        <f>SUMIF('Monthly CF'!$C$4:$DR$4,I$3,'Monthly CF'!$C$100:$DR$100)</f>
        <v>0</v>
      </c>
      <c r="J88" s="189">
        <f>SUMIF('Monthly CF'!$C$4:$DR$4,J$3,'Monthly CF'!$C$100:$DR$100)</f>
        <v>0</v>
      </c>
      <c r="K88" s="189">
        <f>SUMIF('Monthly CF'!$C$4:$DR$4,K$3,'Monthly CF'!$C$100:$DR$100)</f>
        <v>0</v>
      </c>
      <c r="L88" s="189">
        <f>SUMIF('Monthly CF'!$C$4:$DR$4,L$3,'Monthly CF'!$C$100:$DR$100)</f>
        <v>0</v>
      </c>
      <c r="M88" s="189">
        <f>SUMIF('Monthly CF'!$C$4:$DR$4,M$3,'Monthly CF'!$C$100:$DR$100)</f>
        <v>0</v>
      </c>
      <c r="N88" s="189">
        <f>SUMIF('Monthly CF'!$C$4:$DR$4,N$3,'Monthly CF'!$C$100:$DR$100)</f>
        <v>0</v>
      </c>
      <c r="O88" s="189">
        <f>SUMIF('Monthly CF'!$C$4:$DR$4,O$3,'Monthly CF'!$C$100:$DR$100)</f>
        <v>0</v>
      </c>
      <c r="P88" s="189">
        <f>SUMIF('Monthly CF'!$C$4:$DR$4,P$3,'Monthly CF'!$C$100:$DR$100)</f>
        <v>0</v>
      </c>
      <c r="Q88" s="189">
        <f>SUMIF('Monthly CF'!$C$4:$DR$4,Q$3,'Monthly CF'!$C$100:$DR$100)</f>
        <v>0</v>
      </c>
      <c r="R88" s="189">
        <f>SUMIF('Monthly CF'!$C$4:$DR$4,R$3,'Monthly CF'!$C$100:$DR$100)</f>
        <v>0</v>
      </c>
      <c r="S88" s="189">
        <f>SUMIF('Monthly CF'!$C$4:$DR$4,S$3,'Monthly CF'!$C$100:$DR$100)</f>
        <v>0</v>
      </c>
      <c r="T88" s="189">
        <f>SUMIF('Monthly CF'!$C$4:$DR$4,T$3,'Monthly CF'!$C$100:$DR$100)</f>
        <v>0</v>
      </c>
      <c r="U88" s="189">
        <f>SUMIF('Monthly CF'!$C$4:$DR$4,U$3,'Monthly CF'!$C$100:$DR$100)</f>
        <v>0</v>
      </c>
      <c r="V88" s="189">
        <f>SUMIF('Monthly CF'!$C$4:$DR$4,V$3,'Monthly CF'!$C$100:$DR$100)</f>
        <v>0</v>
      </c>
      <c r="W88" s="189">
        <f>SUMIF('Monthly CF'!$C$4:$DR$4,W$3,'Monthly CF'!$C$100:$DR$100)</f>
        <v>0</v>
      </c>
      <c r="X88" s="189">
        <f>SUMIF('Monthly CF'!$C$4:$DR$4,X$3,'Monthly CF'!$C$100:$DR$100)</f>
        <v>0</v>
      </c>
      <c r="Y88" s="189">
        <f>SUMIF('Monthly CF'!$C$4:$DR$4,Y$3,'Monthly CF'!$C$100:$DR$100)</f>
        <v>0</v>
      </c>
      <c r="Z88" s="189">
        <f>SUMIF('Monthly CF'!$C$4:$DR$4,Z$3,'Monthly CF'!$C$100:$DR$100)</f>
        <v>0</v>
      </c>
      <c r="AA88" s="189">
        <f>SUMIF('Monthly CF'!$C$4:$DR$4,AA$3,'Monthly CF'!$C$100:$DR$100)</f>
        <v>0</v>
      </c>
      <c r="AB88" s="189">
        <f>SUMIF('Monthly CF'!$C$4:$DR$4,AB$3,'Monthly CF'!$C$100:$DR$100)</f>
        <v>0</v>
      </c>
      <c r="AC88" s="189">
        <f>SUMIF('Monthly CF'!$C$4:$DR$4,AC$3,'Monthly CF'!$C$100:$DR$100)</f>
        <v>0</v>
      </c>
      <c r="AD88" s="189">
        <f>SUMIF('Monthly CF'!$C$4:$DR$4,AD$3,'Monthly CF'!$C$100:$DR$100)</f>
        <v>0</v>
      </c>
      <c r="AE88" s="189">
        <f>SUMIF('Monthly CF'!$C$4:$DR$4,AE$3,'Monthly CF'!$C$100:$DR$100)</f>
        <v>0</v>
      </c>
      <c r="AF88" s="189">
        <f>SUMIF('Monthly CF'!$C$4:$DR$4,AF$3,'Monthly CF'!$C$100:$DR$100)</f>
        <v>0</v>
      </c>
      <c r="AG88" s="189">
        <f>SUMIF('Monthly CF'!$C$4:$DR$4,AG$3,'Monthly CF'!$C$100:$DR$100)</f>
        <v>0</v>
      </c>
      <c r="AH88" s="189">
        <f>SUMIF('Monthly CF'!$C$4:$DR$4,AH$3,'Monthly CF'!$C$100:$DR$100)</f>
        <v>0</v>
      </c>
      <c r="AI88" s="189">
        <f>SUMIF('Monthly CF'!$C$4:$DR$4,AI$3,'Monthly CF'!$C$100:$DR$100)</f>
        <v>0</v>
      </c>
      <c r="AJ88" s="189">
        <f>SUMIF('Monthly CF'!$C$4:$DR$4,AJ$3,'Monthly CF'!$C$100:$DR$100)</f>
        <v>0</v>
      </c>
      <c r="AK88" s="189">
        <f>SUMIF('Monthly CF'!$C$4:$DR$4,AK$3,'Monthly CF'!$C$100:$DR$100)</f>
        <v>0</v>
      </c>
      <c r="AL88" s="189">
        <f>SUMIF('Monthly CF'!$C$4:$DR$4,AL$3,'Monthly CF'!$C$100:$DR$100)</f>
        <v>0</v>
      </c>
      <c r="AM88" s="189">
        <f>SUMIF('Monthly CF'!$C$4:$DR$4,AM$3,'Monthly CF'!$C$100:$DR$100)</f>
        <v>0</v>
      </c>
      <c r="AN88" s="189">
        <f>SUMIF('Monthly CF'!$C$4:$DR$4,AN$3,'Monthly CF'!$C$100:$DR$100)</f>
        <v>0</v>
      </c>
      <c r="AO88" s="189">
        <f>SUMIF('Monthly CF'!$C$4:$DR$4,AO$3,'Monthly CF'!$C$100:$DR$100)</f>
        <v>0</v>
      </c>
      <c r="AP88" s="189">
        <f>SUMIF('Monthly CF'!$C$4:$DR$4,AP$3,'Monthly CF'!$C$100:$DR$100)</f>
        <v>85000</v>
      </c>
      <c r="AQ88" s="54"/>
    </row>
    <row r="89" ht="15.75" customHeight="1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</row>
    <row r="90" ht="15.75" customHeight="1">
      <c r="A90" s="54"/>
      <c r="B90" s="184" t="s">
        <v>355</v>
      </c>
      <c r="C90" s="207">
        <f t="shared" ref="C90:AP90" si="2">IF(ABS(C77)=0,"-",C34/ABS(C77))</f>
        <v>0</v>
      </c>
      <c r="D90" s="207">
        <f t="shared" si="2"/>
        <v>0</v>
      </c>
      <c r="E90" s="207">
        <f t="shared" si="2"/>
        <v>0</v>
      </c>
      <c r="F90" s="207">
        <f t="shared" si="2"/>
        <v>0</v>
      </c>
      <c r="G90" s="207">
        <f t="shared" si="2"/>
        <v>0</v>
      </c>
      <c r="H90" s="207">
        <f t="shared" si="2"/>
        <v>0</v>
      </c>
      <c r="I90" s="207">
        <f t="shared" si="2"/>
        <v>0</v>
      </c>
      <c r="J90" s="207">
        <f t="shared" si="2"/>
        <v>0</v>
      </c>
      <c r="K90" s="207">
        <f t="shared" si="2"/>
        <v>0</v>
      </c>
      <c r="L90" s="207">
        <f t="shared" si="2"/>
        <v>0</v>
      </c>
      <c r="M90" s="207">
        <f t="shared" si="2"/>
        <v>0</v>
      </c>
      <c r="N90" s="207">
        <f t="shared" si="2"/>
        <v>0</v>
      </c>
      <c r="O90" s="207">
        <f t="shared" si="2"/>
        <v>0</v>
      </c>
      <c r="P90" s="207">
        <f t="shared" si="2"/>
        <v>0</v>
      </c>
      <c r="Q90" s="207">
        <f t="shared" si="2"/>
        <v>0</v>
      </c>
      <c r="R90" s="207">
        <f t="shared" si="2"/>
        <v>0</v>
      </c>
      <c r="S90" s="207">
        <f t="shared" si="2"/>
        <v>0</v>
      </c>
      <c r="T90" s="207">
        <f t="shared" si="2"/>
        <v>0</v>
      </c>
      <c r="U90" s="207">
        <f t="shared" si="2"/>
        <v>0</v>
      </c>
      <c r="V90" s="207">
        <f t="shared" si="2"/>
        <v>0</v>
      </c>
      <c r="W90" s="207" t="str">
        <f t="shared" si="2"/>
        <v>-</v>
      </c>
      <c r="X90" s="207" t="str">
        <f t="shared" si="2"/>
        <v>-</v>
      </c>
      <c r="Y90" s="207" t="str">
        <f t="shared" si="2"/>
        <v>-</v>
      </c>
      <c r="Z90" s="207" t="str">
        <f t="shared" si="2"/>
        <v>-</v>
      </c>
      <c r="AA90" s="207" t="str">
        <f t="shared" si="2"/>
        <v>-</v>
      </c>
      <c r="AB90" s="207" t="str">
        <f t="shared" si="2"/>
        <v>-</v>
      </c>
      <c r="AC90" s="207" t="str">
        <f t="shared" si="2"/>
        <v>-</v>
      </c>
      <c r="AD90" s="207" t="str">
        <f t="shared" si="2"/>
        <v>-</v>
      </c>
      <c r="AE90" s="207" t="str">
        <f t="shared" si="2"/>
        <v>-</v>
      </c>
      <c r="AF90" s="207" t="str">
        <f t="shared" si="2"/>
        <v>-</v>
      </c>
      <c r="AG90" s="207" t="str">
        <f t="shared" si="2"/>
        <v>-</v>
      </c>
      <c r="AH90" s="207" t="str">
        <f t="shared" si="2"/>
        <v>-</v>
      </c>
      <c r="AI90" s="207" t="str">
        <f t="shared" si="2"/>
        <v>-</v>
      </c>
      <c r="AJ90" s="207" t="str">
        <f t="shared" si="2"/>
        <v>-</v>
      </c>
      <c r="AK90" s="207" t="str">
        <f t="shared" si="2"/>
        <v>-</v>
      </c>
      <c r="AL90" s="207" t="str">
        <f t="shared" si="2"/>
        <v>-</v>
      </c>
      <c r="AM90" s="207" t="str">
        <f t="shared" si="2"/>
        <v>-</v>
      </c>
      <c r="AN90" s="207" t="str">
        <f t="shared" si="2"/>
        <v>-</v>
      </c>
      <c r="AO90" s="207" t="str">
        <f t="shared" si="2"/>
        <v>-</v>
      </c>
      <c r="AP90" s="207" t="str">
        <f t="shared" si="2"/>
        <v>-</v>
      </c>
      <c r="AQ90" s="54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AQ1"/>
    <mergeCell ref="A2:AQ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3.0"/>
    <col customWidth="1" min="2" max="2" width="44.0"/>
    <col customWidth="1" min="3" max="12" width="14.0"/>
    <col customWidth="1" min="13" max="26" width="8.71"/>
  </cols>
  <sheetData>
    <row r="1" ht="27.75" customHeight="1">
      <c r="A1" s="52" t="s">
        <v>356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3.5" customHeight="1">
      <c r="A2" s="53" t="s">
        <v>357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3" ht="24.0" customHeight="1">
      <c r="A3" s="54"/>
      <c r="B3" s="180" t="s">
        <v>352</v>
      </c>
      <c r="C3" s="208">
        <v>1.0</v>
      </c>
      <c r="D3" s="208">
        <v>2.0</v>
      </c>
      <c r="E3" s="208">
        <v>3.0</v>
      </c>
      <c r="F3" s="208">
        <v>4.0</v>
      </c>
      <c r="G3" s="208">
        <v>5.0</v>
      </c>
      <c r="H3" s="208">
        <v>6.0</v>
      </c>
      <c r="I3" s="208">
        <v>7.0</v>
      </c>
      <c r="J3" s="208">
        <v>8.0</v>
      </c>
      <c r="K3" s="208">
        <v>9.0</v>
      </c>
      <c r="L3" s="208">
        <v>10.0</v>
      </c>
    </row>
    <row r="4" ht="15.75" customHeight="1">
      <c r="A4" s="54"/>
      <c r="B4" s="55" t="s">
        <v>305</v>
      </c>
      <c r="C4" s="2"/>
      <c r="D4" s="2"/>
      <c r="E4" s="2"/>
      <c r="F4" s="2"/>
      <c r="G4" s="2"/>
      <c r="H4" s="2"/>
      <c r="I4" s="2"/>
      <c r="J4" s="2"/>
      <c r="K4" s="2"/>
      <c r="L4" s="3"/>
    </row>
    <row r="5" ht="15.75" customHeight="1">
      <c r="A5" s="54"/>
      <c r="B5" s="56" t="s">
        <v>97</v>
      </c>
      <c r="C5" s="153">
        <f>SUMIF('Monthly CF'!$C$5:$DR$5,C$3,'Monthly CF'!$C$8:$DR$8)</f>
        <v>0</v>
      </c>
      <c r="D5" s="153">
        <f>SUMIF('Monthly CF'!$C$5:$DR$5,D$3,'Monthly CF'!$C$8:$DR$8)</f>
        <v>0</v>
      </c>
      <c r="E5" s="153">
        <f>SUMIF('Monthly CF'!$C$5:$DR$5,E$3,'Monthly CF'!$C$8:$DR$8)</f>
        <v>0</v>
      </c>
      <c r="F5" s="153">
        <f>SUMIF('Monthly CF'!$C$5:$DR$5,F$3,'Monthly CF'!$C$8:$DR$8)</f>
        <v>0</v>
      </c>
      <c r="G5" s="153">
        <f>SUMIF('Monthly CF'!$C$5:$DR$5,G$3,'Monthly CF'!$C$8:$DR$8)</f>
        <v>0</v>
      </c>
      <c r="H5" s="153">
        <f>SUMIF('Monthly CF'!$C$5:$DR$5,H$3,'Monthly CF'!$C$8:$DR$8)</f>
        <v>0</v>
      </c>
      <c r="I5" s="153">
        <f>SUMIF('Monthly CF'!$C$5:$DR$5,I$3,'Monthly CF'!$C$8:$DR$8)</f>
        <v>0</v>
      </c>
      <c r="J5" s="153">
        <f>SUMIF('Monthly CF'!$C$5:$DR$5,J$3,'Monthly CF'!$C$8:$DR$8)</f>
        <v>0</v>
      </c>
      <c r="K5" s="153">
        <f>SUMIF('Monthly CF'!$C$5:$DR$5,K$3,'Monthly CF'!$C$8:$DR$8)</f>
        <v>0</v>
      </c>
      <c r="L5" s="153">
        <f>SUMIF('Monthly CF'!$C$5:$DR$5,L$3,'Monthly CF'!$C$8:$DR$8)</f>
        <v>0</v>
      </c>
    </row>
    <row r="6" ht="15.75" customHeight="1">
      <c r="A6" s="54"/>
      <c r="B6" s="56" t="s">
        <v>306</v>
      </c>
      <c r="C6" s="152">
        <f>SUMIF('Monthly CF'!$C$5:$DR$5,C$3,'Monthly CF'!$C$9:$DR$9)</f>
        <v>0</v>
      </c>
      <c r="D6" s="152">
        <f>SUMIF('Monthly CF'!$C$5:$DR$5,D$3,'Monthly CF'!$C$9:$DR$9)</f>
        <v>0</v>
      </c>
      <c r="E6" s="152">
        <f>SUMIF('Monthly CF'!$C$5:$DR$5,E$3,'Monthly CF'!$C$9:$DR$9)</f>
        <v>0</v>
      </c>
      <c r="F6" s="152">
        <f>SUMIF('Monthly CF'!$C$5:$DR$5,F$3,'Monthly CF'!$C$9:$DR$9)</f>
        <v>0</v>
      </c>
      <c r="G6" s="152">
        <f>SUMIF('Monthly CF'!$C$5:$DR$5,G$3,'Monthly CF'!$C$9:$DR$9)</f>
        <v>0</v>
      </c>
      <c r="H6" s="152">
        <f>SUMIF('Monthly CF'!$C$5:$DR$5,H$3,'Monthly CF'!$C$9:$DR$9)</f>
        <v>0</v>
      </c>
      <c r="I6" s="152">
        <f>SUMIF('Monthly CF'!$C$5:$DR$5,I$3,'Monthly CF'!$C$9:$DR$9)</f>
        <v>0</v>
      </c>
      <c r="J6" s="152">
        <f>SUMIF('Monthly CF'!$C$5:$DR$5,J$3,'Monthly CF'!$C$9:$DR$9)</f>
        <v>0</v>
      </c>
      <c r="K6" s="152">
        <f>SUMIF('Monthly CF'!$C$5:$DR$5,K$3,'Monthly CF'!$C$9:$DR$9)</f>
        <v>0</v>
      </c>
      <c r="L6" s="152">
        <f>SUMIF('Monthly CF'!$C$5:$DR$5,L$3,'Monthly CF'!$C$9:$DR$9)</f>
        <v>0</v>
      </c>
    </row>
    <row r="7" ht="15.75" customHeight="1">
      <c r="A7" s="54"/>
      <c r="B7" s="56" t="s">
        <v>307</v>
      </c>
      <c r="C7" s="153">
        <f>SUMIF('Monthly CF'!$C$5:$DR$5,C$3,'Monthly CF'!$C$10:$DR$10)</f>
        <v>0</v>
      </c>
      <c r="D7" s="153">
        <f>SUMIF('Monthly CF'!$C$5:$DR$5,D$3,'Monthly CF'!$C$10:$DR$10)</f>
        <v>0</v>
      </c>
      <c r="E7" s="153">
        <f>SUMIF('Monthly CF'!$C$5:$DR$5,E$3,'Monthly CF'!$C$10:$DR$10)</f>
        <v>0</v>
      </c>
      <c r="F7" s="153">
        <f>SUMIF('Monthly CF'!$C$5:$DR$5,F$3,'Monthly CF'!$C$10:$DR$10)</f>
        <v>0</v>
      </c>
      <c r="G7" s="153">
        <f>SUMIF('Monthly CF'!$C$5:$DR$5,G$3,'Monthly CF'!$C$10:$DR$10)</f>
        <v>0</v>
      </c>
      <c r="H7" s="153">
        <f>SUMIF('Monthly CF'!$C$5:$DR$5,H$3,'Monthly CF'!$C$10:$DR$10)</f>
        <v>0</v>
      </c>
      <c r="I7" s="153">
        <f>SUMIF('Monthly CF'!$C$5:$DR$5,I$3,'Monthly CF'!$C$10:$DR$10)</f>
        <v>0</v>
      </c>
      <c r="J7" s="153">
        <f>SUMIF('Monthly CF'!$C$5:$DR$5,J$3,'Monthly CF'!$C$10:$DR$10)</f>
        <v>0</v>
      </c>
      <c r="K7" s="153">
        <f>SUMIF('Monthly CF'!$C$5:$DR$5,K$3,'Monthly CF'!$C$10:$DR$10)</f>
        <v>0</v>
      </c>
      <c r="L7" s="153">
        <f>SUMIF('Monthly CF'!$C$5:$DR$5,L$3,'Monthly CF'!$C$10:$DR$10)</f>
        <v>0</v>
      </c>
    </row>
    <row r="8" ht="15.75" customHeight="1">
      <c r="A8" s="54"/>
      <c r="B8" s="108" t="s">
        <v>308</v>
      </c>
      <c r="C8" s="158">
        <f>SUMIF('Monthly CF'!$C$5:$DR$5,C$3,'Monthly CF'!$C$11:$DR$11)</f>
        <v>0</v>
      </c>
      <c r="D8" s="158">
        <f>SUMIF('Monthly CF'!$C$5:$DR$5,D$3,'Monthly CF'!$C$11:$DR$11)</f>
        <v>0</v>
      </c>
      <c r="E8" s="158">
        <f>SUMIF('Monthly CF'!$C$5:$DR$5,E$3,'Monthly CF'!$C$11:$DR$11)</f>
        <v>0</v>
      </c>
      <c r="F8" s="158">
        <f>SUMIF('Monthly CF'!$C$5:$DR$5,F$3,'Monthly CF'!$C$11:$DR$11)</f>
        <v>0</v>
      </c>
      <c r="G8" s="158">
        <f>SUMIF('Monthly CF'!$C$5:$DR$5,G$3,'Monthly CF'!$C$11:$DR$11)</f>
        <v>0</v>
      </c>
      <c r="H8" s="158">
        <f>SUMIF('Monthly CF'!$C$5:$DR$5,H$3,'Monthly CF'!$C$11:$DR$11)</f>
        <v>0</v>
      </c>
      <c r="I8" s="158">
        <f>SUMIF('Monthly CF'!$C$5:$DR$5,I$3,'Monthly CF'!$C$11:$DR$11)</f>
        <v>0</v>
      </c>
      <c r="J8" s="158">
        <f>SUMIF('Monthly CF'!$C$5:$DR$5,J$3,'Monthly CF'!$C$11:$DR$11)</f>
        <v>0</v>
      </c>
      <c r="K8" s="158">
        <f>SUMIF('Monthly CF'!$C$5:$DR$5,K$3,'Monthly CF'!$C$11:$DR$11)</f>
        <v>0</v>
      </c>
      <c r="L8" s="158">
        <f>SUMIF('Monthly CF'!$C$5:$DR$5,L$3,'Monthly CF'!$C$11:$DR$11)</f>
        <v>0</v>
      </c>
    </row>
    <row r="9" ht="15.75" customHeight="1">
      <c r="A9" s="54"/>
      <c r="B9" s="56" t="str">
        <f>Inputs!B23</f>
        <v>  Other Income – Parking</v>
      </c>
      <c r="C9" s="153">
        <f>SUMIF('Monthly CF'!$C$5:$DR$5,C$3,'Monthly CF'!$C$12:$DR$12)</f>
        <v>0</v>
      </c>
      <c r="D9" s="153">
        <f>SUMIF('Monthly CF'!$C$5:$DR$5,D$3,'Monthly CF'!$C$12:$DR$12)</f>
        <v>0</v>
      </c>
      <c r="E9" s="153">
        <f>SUMIF('Monthly CF'!$C$5:$DR$5,E$3,'Monthly CF'!$C$12:$DR$12)</f>
        <v>0</v>
      </c>
      <c r="F9" s="153">
        <f>SUMIF('Monthly CF'!$C$5:$DR$5,F$3,'Monthly CF'!$C$12:$DR$12)</f>
        <v>0</v>
      </c>
      <c r="G9" s="153">
        <f>SUMIF('Monthly CF'!$C$5:$DR$5,G$3,'Monthly CF'!$C$12:$DR$12)</f>
        <v>0</v>
      </c>
      <c r="H9" s="153">
        <f>SUMIF('Monthly CF'!$C$5:$DR$5,H$3,'Monthly CF'!$C$12:$DR$12)</f>
        <v>0</v>
      </c>
      <c r="I9" s="153">
        <f>SUMIF('Monthly CF'!$C$5:$DR$5,I$3,'Monthly CF'!$C$12:$DR$12)</f>
        <v>0</v>
      </c>
      <c r="J9" s="153">
        <f>SUMIF('Monthly CF'!$C$5:$DR$5,J$3,'Monthly CF'!$C$12:$DR$12)</f>
        <v>0</v>
      </c>
      <c r="K9" s="153">
        <f>SUMIF('Monthly CF'!$C$5:$DR$5,K$3,'Monthly CF'!$C$12:$DR$12)</f>
        <v>0</v>
      </c>
      <c r="L9" s="153">
        <f>SUMIF('Monthly CF'!$C$5:$DR$5,L$3,'Monthly CF'!$C$12:$DR$12)</f>
        <v>0</v>
      </c>
    </row>
    <row r="10" ht="15.75" customHeight="1">
      <c r="A10" s="54"/>
      <c r="B10" s="56" t="str">
        <f>Inputs!B24</f>
        <v>  Other Income – Laundry </v>
      </c>
      <c r="C10" s="153">
        <f>SUMIF('Monthly CF'!$C$5:$DR$5,C$3,'Monthly CF'!$C$13:$DR$13)</f>
        <v>0</v>
      </c>
      <c r="D10" s="153">
        <f>SUMIF('Monthly CF'!$C$5:$DR$5,D$3,'Monthly CF'!$C$13:$DR$13)</f>
        <v>0</v>
      </c>
      <c r="E10" s="153">
        <f>SUMIF('Monthly CF'!$C$5:$DR$5,E$3,'Monthly CF'!$C$13:$DR$13)</f>
        <v>0</v>
      </c>
      <c r="F10" s="153">
        <f>SUMIF('Monthly CF'!$C$5:$DR$5,F$3,'Monthly CF'!$C$13:$DR$13)</f>
        <v>0</v>
      </c>
      <c r="G10" s="153">
        <f>SUMIF('Monthly CF'!$C$5:$DR$5,G$3,'Monthly CF'!$C$13:$DR$13)</f>
        <v>0</v>
      </c>
      <c r="H10" s="153">
        <f>SUMIF('Monthly CF'!$C$5:$DR$5,H$3,'Monthly CF'!$C$13:$DR$13)</f>
        <v>0</v>
      </c>
      <c r="I10" s="153">
        <f>SUMIF('Monthly CF'!$C$5:$DR$5,I$3,'Monthly CF'!$C$13:$DR$13)</f>
        <v>0</v>
      </c>
      <c r="J10" s="153">
        <f>SUMIF('Monthly CF'!$C$5:$DR$5,J$3,'Monthly CF'!$C$13:$DR$13)</f>
        <v>0</v>
      </c>
      <c r="K10" s="153">
        <f>SUMIF('Monthly CF'!$C$5:$DR$5,K$3,'Monthly CF'!$C$13:$DR$13)</f>
        <v>0</v>
      </c>
      <c r="L10" s="153">
        <f>SUMIF('Monthly CF'!$C$5:$DR$5,L$3,'Monthly CF'!$C$13:$DR$13)</f>
        <v>0</v>
      </c>
    </row>
    <row r="11" ht="15.75" customHeight="1">
      <c r="A11" s="54"/>
      <c r="B11" s="56" t="str">
        <f>Inputs!B25</f>
        <v>  Other Income – Misc</v>
      </c>
      <c r="C11" s="152">
        <f>SUMIF('Monthly CF'!$C$5:$DR$5,C$3,'Monthly CF'!$C$14:$DR$14)</f>
        <v>0</v>
      </c>
      <c r="D11" s="152">
        <f>SUMIF('Monthly CF'!$C$5:$DR$5,D$3,'Monthly CF'!$C$14:$DR$14)</f>
        <v>0</v>
      </c>
      <c r="E11" s="152">
        <f>SUMIF('Monthly CF'!$C$5:$DR$5,E$3,'Monthly CF'!$C$14:$DR$14)</f>
        <v>0</v>
      </c>
      <c r="F11" s="152">
        <f>SUMIF('Monthly CF'!$C$5:$DR$5,F$3,'Monthly CF'!$C$14:$DR$14)</f>
        <v>0</v>
      </c>
      <c r="G11" s="152">
        <f>SUMIF('Monthly CF'!$C$5:$DR$5,G$3,'Monthly CF'!$C$14:$DR$14)</f>
        <v>0</v>
      </c>
      <c r="H11" s="152">
        <f>SUMIF('Monthly CF'!$C$5:$DR$5,H$3,'Monthly CF'!$C$14:$DR$14)</f>
        <v>0</v>
      </c>
      <c r="I11" s="152">
        <f>SUMIF('Monthly CF'!$C$5:$DR$5,I$3,'Monthly CF'!$C$14:$DR$14)</f>
        <v>0</v>
      </c>
      <c r="J11" s="152">
        <f>SUMIF('Monthly CF'!$C$5:$DR$5,J$3,'Monthly CF'!$C$14:$DR$14)</f>
        <v>0</v>
      </c>
      <c r="K11" s="152">
        <f>SUMIF('Monthly CF'!$C$5:$DR$5,K$3,'Monthly CF'!$C$14:$DR$14)</f>
        <v>0</v>
      </c>
      <c r="L11" s="152">
        <f>SUMIF('Monthly CF'!$C$5:$DR$5,L$3,'Monthly CF'!$C$14:$DR$14)</f>
        <v>0</v>
      </c>
    </row>
    <row r="12" ht="15.75" customHeight="1">
      <c r="A12" s="54"/>
      <c r="B12" s="61" t="str">
        <f>Inputs!B26</f>
        <v>  Other Income 4 </v>
      </c>
      <c r="C12" s="209">
        <f>SUMIF('Monthly CF'!$C$5:$DR$5,C$3,'Monthly CF'!$C$15:$DR$15)</f>
        <v>0</v>
      </c>
      <c r="D12" s="209">
        <f>SUMIF('Monthly CF'!$C$5:$DR$5,D$3,'Monthly CF'!$C$15:$DR$15)</f>
        <v>0</v>
      </c>
      <c r="E12" s="209">
        <f>SUMIF('Monthly CF'!$C$5:$DR$5,E$3,'Monthly CF'!$C$15:$DR$15)</f>
        <v>0</v>
      </c>
      <c r="F12" s="209">
        <f>SUMIF('Monthly CF'!$C$5:$DR$5,F$3,'Monthly CF'!$C$15:$DR$15)</f>
        <v>0</v>
      </c>
      <c r="G12" s="209">
        <f>SUMIF('Monthly CF'!$C$5:$DR$5,G$3,'Monthly CF'!$C$15:$DR$15)</f>
        <v>0</v>
      </c>
      <c r="H12" s="209">
        <f>SUMIF('Monthly CF'!$C$5:$DR$5,H$3,'Monthly CF'!$C$15:$DR$15)</f>
        <v>0</v>
      </c>
      <c r="I12" s="209">
        <f>SUMIF('Monthly CF'!$C$5:$DR$5,I$3,'Monthly CF'!$C$15:$DR$15)</f>
        <v>0</v>
      </c>
      <c r="J12" s="209">
        <f>SUMIF('Monthly CF'!$C$5:$DR$5,J$3,'Monthly CF'!$C$15:$DR$15)</f>
        <v>0</v>
      </c>
      <c r="K12" s="209">
        <f>SUMIF('Monthly CF'!$C$5:$DR$5,K$3,'Monthly CF'!$C$15:$DR$15)</f>
        <v>0</v>
      </c>
      <c r="L12" s="152">
        <f>SUMIF('Monthly CF'!$C$5:$DR$5,L$3,'Monthly CF'!$C$15:$DR$15)</f>
        <v>0</v>
      </c>
    </row>
    <row r="13" ht="15.75" customHeight="1">
      <c r="A13" s="54"/>
      <c r="B13" s="61" t="str">
        <f>Inputs!B27</f>
        <v>  Other Income 5 </v>
      </c>
      <c r="C13" s="210">
        <f>SUMIF('Monthly CF'!$C$5:$DR$5,C$3,'Monthly CF'!$C$16:$DR$16)</f>
        <v>0</v>
      </c>
      <c r="D13" s="210">
        <f>SUMIF('Monthly CF'!$C$5:$DR$5,D$3,'Monthly CF'!$C$16:$DR$16)</f>
        <v>0</v>
      </c>
      <c r="E13" s="210">
        <f>SUMIF('Monthly CF'!$C$5:$DR$5,E$3,'Monthly CF'!$C$16:$DR$16)</f>
        <v>0</v>
      </c>
      <c r="F13" s="210">
        <f>SUMIF('Monthly CF'!$C$5:$DR$5,F$3,'Monthly CF'!$C$16:$DR$16)</f>
        <v>0</v>
      </c>
      <c r="G13" s="210">
        <f>SUMIF('Monthly CF'!$C$5:$DR$5,G$3,'Monthly CF'!$C$16:$DR$16)</f>
        <v>0</v>
      </c>
      <c r="H13" s="210">
        <f>SUMIF('Monthly CF'!$C$5:$DR$5,H$3,'Monthly CF'!$C$16:$DR$16)</f>
        <v>0</v>
      </c>
      <c r="I13" s="210">
        <f>SUMIF('Monthly CF'!$C$5:$DR$5,I$3,'Monthly CF'!$C$16:$DR$16)</f>
        <v>0</v>
      </c>
      <c r="J13" s="210">
        <f>SUMIF('Monthly CF'!$C$5:$DR$5,J$3,'Monthly CF'!$C$16:$DR$16)</f>
        <v>0</v>
      </c>
      <c r="K13" s="210">
        <f>SUMIF('Monthly CF'!$C$5:$DR$5,K$3,'Monthly CF'!$C$16:$DR$16)</f>
        <v>0</v>
      </c>
      <c r="L13" s="153">
        <f>SUMIF('Monthly CF'!$C$5:$DR$5,L$3,'Monthly CF'!$C$16:$DR$16)</f>
        <v>0</v>
      </c>
    </row>
    <row r="14" ht="15.75" customHeight="1">
      <c r="A14" s="54"/>
      <c r="B14" s="161" t="s">
        <v>309</v>
      </c>
      <c r="C14" s="162">
        <f>SUMIF('Monthly CF'!$C$5:$DR$5,C$3,'Monthly CF'!$C$17:$DR$17)</f>
        <v>0</v>
      </c>
      <c r="D14" s="162">
        <f>SUMIF('Monthly CF'!$C$5:$DR$5,D$3,'Monthly CF'!$C$17:$DR$17)</f>
        <v>0</v>
      </c>
      <c r="E14" s="162">
        <f>SUMIF('Monthly CF'!$C$5:$DR$5,E$3,'Monthly CF'!$C$17:$DR$17)</f>
        <v>0</v>
      </c>
      <c r="F14" s="162">
        <f>SUMIF('Monthly CF'!$C$5:$DR$5,F$3,'Monthly CF'!$C$17:$DR$17)</f>
        <v>0</v>
      </c>
      <c r="G14" s="162">
        <f>SUMIF('Monthly CF'!$C$5:$DR$5,G$3,'Monthly CF'!$C$17:$DR$17)</f>
        <v>0</v>
      </c>
      <c r="H14" s="162">
        <f>SUMIF('Monthly CF'!$C$5:$DR$5,H$3,'Monthly CF'!$C$17:$DR$17)</f>
        <v>0</v>
      </c>
      <c r="I14" s="162">
        <f>SUMIF('Monthly CF'!$C$5:$DR$5,I$3,'Monthly CF'!$C$17:$DR$17)</f>
        <v>0</v>
      </c>
      <c r="J14" s="162">
        <f>SUMIF('Monthly CF'!$C$5:$DR$5,J$3,'Monthly CF'!$C$17:$DR$17)</f>
        <v>0</v>
      </c>
      <c r="K14" s="162">
        <f>SUMIF('Monthly CF'!$C$5:$DR$5,K$3,'Monthly CF'!$C$17:$DR$17)</f>
        <v>0</v>
      </c>
      <c r="L14" s="162">
        <f>SUMIF('Monthly CF'!$C$5:$DR$5,L$3,'Monthly CF'!$C$17:$DR$17)</f>
        <v>0</v>
      </c>
    </row>
    <row r="15" ht="15.75" customHeight="1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</row>
    <row r="16" ht="15.75" customHeight="1">
      <c r="A16" s="54"/>
      <c r="B16" s="55" t="s">
        <v>310</v>
      </c>
      <c r="C16" s="2"/>
      <c r="D16" s="2"/>
      <c r="E16" s="2"/>
      <c r="F16" s="2"/>
      <c r="G16" s="2"/>
      <c r="H16" s="2"/>
      <c r="I16" s="2"/>
      <c r="J16" s="2"/>
      <c r="K16" s="2"/>
      <c r="L16" s="3"/>
    </row>
    <row r="17" ht="15.75" customHeight="1">
      <c r="A17" s="54"/>
      <c r="B17" s="56" t="str">
        <f>Inputs!B32</f>
        <v>  Property Taxes</v>
      </c>
      <c r="C17" s="153">
        <f>SUMIF('Monthly CF'!$C$5:$DR$5,C$3,'Monthly CF'!$C$20:$DR$20)</f>
        <v>0</v>
      </c>
      <c r="D17" s="153">
        <f>SUMIF('Monthly CF'!$C$5:$DR$5,D$3,'Monthly CF'!$C$20:$DR$20)</f>
        <v>0</v>
      </c>
      <c r="E17" s="153">
        <f>SUMIF('Monthly CF'!$C$5:$DR$5,E$3,'Monthly CF'!$C$20:$DR$20)</f>
        <v>0</v>
      </c>
      <c r="F17" s="153">
        <f>SUMIF('Monthly CF'!$C$5:$DR$5,F$3,'Monthly CF'!$C$20:$DR$20)</f>
        <v>0</v>
      </c>
      <c r="G17" s="153">
        <f>SUMIF('Monthly CF'!$C$5:$DR$5,G$3,'Monthly CF'!$C$20:$DR$20)</f>
        <v>0</v>
      </c>
      <c r="H17" s="153">
        <f>SUMIF('Monthly CF'!$C$5:$DR$5,H$3,'Monthly CF'!$C$20:$DR$20)</f>
        <v>0</v>
      </c>
      <c r="I17" s="153">
        <f>SUMIF('Monthly CF'!$C$5:$DR$5,I$3,'Monthly CF'!$C$20:$DR$20)</f>
        <v>0</v>
      </c>
      <c r="J17" s="153">
        <f>SUMIF('Monthly CF'!$C$5:$DR$5,J$3,'Monthly CF'!$C$20:$DR$20)</f>
        <v>0</v>
      </c>
      <c r="K17" s="153">
        <f>SUMIF('Monthly CF'!$C$5:$DR$5,K$3,'Monthly CF'!$C$20:$DR$20)</f>
        <v>0</v>
      </c>
      <c r="L17" s="153">
        <f>SUMIF('Monthly CF'!$C$5:$DR$5,L$3,'Monthly CF'!$C$20:$DR$20)</f>
        <v>0</v>
      </c>
    </row>
    <row r="18" ht="15.75" customHeight="1">
      <c r="A18" s="54"/>
      <c r="B18" s="56" t="str">
        <f>Inputs!B33</f>
        <v>  Insurance</v>
      </c>
      <c r="C18" s="153">
        <f>SUMIF('Monthly CF'!$C$5:$DR$5,C$3,'Monthly CF'!$C$21:$DR$21)</f>
        <v>0</v>
      </c>
      <c r="D18" s="153">
        <f>SUMIF('Monthly CF'!$C$5:$DR$5,D$3,'Monthly CF'!$C$21:$DR$21)</f>
        <v>0</v>
      </c>
      <c r="E18" s="153">
        <f>SUMIF('Monthly CF'!$C$5:$DR$5,E$3,'Monthly CF'!$C$21:$DR$21)</f>
        <v>0</v>
      </c>
      <c r="F18" s="153">
        <f>SUMIF('Monthly CF'!$C$5:$DR$5,F$3,'Monthly CF'!$C$21:$DR$21)</f>
        <v>0</v>
      </c>
      <c r="G18" s="153">
        <f>SUMIF('Monthly CF'!$C$5:$DR$5,G$3,'Monthly CF'!$C$21:$DR$21)</f>
        <v>0</v>
      </c>
      <c r="H18" s="153">
        <f>SUMIF('Monthly CF'!$C$5:$DR$5,H$3,'Monthly CF'!$C$21:$DR$21)</f>
        <v>0</v>
      </c>
      <c r="I18" s="153">
        <f>SUMIF('Monthly CF'!$C$5:$DR$5,I$3,'Monthly CF'!$C$21:$DR$21)</f>
        <v>0</v>
      </c>
      <c r="J18" s="153">
        <f>SUMIF('Monthly CF'!$C$5:$DR$5,J$3,'Monthly CF'!$C$21:$DR$21)</f>
        <v>0</v>
      </c>
      <c r="K18" s="153">
        <f>SUMIF('Monthly CF'!$C$5:$DR$5,K$3,'Monthly CF'!$C$21:$DR$21)</f>
        <v>0</v>
      </c>
      <c r="L18" s="153">
        <f>SUMIF('Monthly CF'!$C$5:$DR$5,L$3,'Monthly CF'!$C$21:$DR$21)</f>
        <v>0</v>
      </c>
    </row>
    <row r="19" ht="15.75" customHeight="1">
      <c r="A19" s="54"/>
      <c r="B19" s="56" t="str">
        <f>Inputs!B34</f>
        <v>  Property Management Fee (%EGI)</v>
      </c>
      <c r="C19" s="153">
        <f>SUMIF('Monthly CF'!$C$5:$DR$5,C$3,'Monthly CF'!$C$22:$DR$22)</f>
        <v>0</v>
      </c>
      <c r="D19" s="153">
        <f>SUMIF('Monthly CF'!$C$5:$DR$5,D$3,'Monthly CF'!$C$22:$DR$22)</f>
        <v>0</v>
      </c>
      <c r="E19" s="153">
        <f>SUMIF('Monthly CF'!$C$5:$DR$5,E$3,'Monthly CF'!$C$22:$DR$22)</f>
        <v>0</v>
      </c>
      <c r="F19" s="153">
        <f>SUMIF('Monthly CF'!$C$5:$DR$5,F$3,'Monthly CF'!$C$22:$DR$22)</f>
        <v>0</v>
      </c>
      <c r="G19" s="153">
        <f>SUMIF('Monthly CF'!$C$5:$DR$5,G$3,'Monthly CF'!$C$22:$DR$22)</f>
        <v>0</v>
      </c>
      <c r="H19" s="153">
        <f>SUMIF('Monthly CF'!$C$5:$DR$5,H$3,'Monthly CF'!$C$22:$DR$22)</f>
        <v>0</v>
      </c>
      <c r="I19" s="153">
        <f>SUMIF('Monthly CF'!$C$5:$DR$5,I$3,'Monthly CF'!$C$22:$DR$22)</f>
        <v>0</v>
      </c>
      <c r="J19" s="153">
        <f>SUMIF('Monthly CF'!$C$5:$DR$5,J$3,'Monthly CF'!$C$22:$DR$22)</f>
        <v>0</v>
      </c>
      <c r="K19" s="153">
        <f>SUMIF('Monthly CF'!$C$5:$DR$5,K$3,'Monthly CF'!$C$22:$DR$22)</f>
        <v>0</v>
      </c>
      <c r="L19" s="153">
        <f>SUMIF('Monthly CF'!$C$5:$DR$5,L$3,'Monthly CF'!$C$22:$DR$22)</f>
        <v>0</v>
      </c>
    </row>
    <row r="20" ht="15.75" customHeight="1">
      <c r="A20" s="54"/>
      <c r="B20" s="56" t="str">
        <f>Inputs!B35</f>
        <v>  Repairs &amp; Maintenance</v>
      </c>
      <c r="C20" s="153">
        <f>SUMIF('Monthly CF'!$C$5:$DR$5,C$3,'Monthly CF'!$C$23:$DR$23)</f>
        <v>0</v>
      </c>
      <c r="D20" s="153">
        <f>SUMIF('Monthly CF'!$C$5:$DR$5,D$3,'Monthly CF'!$C$23:$DR$23)</f>
        <v>0</v>
      </c>
      <c r="E20" s="153">
        <f>SUMIF('Monthly CF'!$C$5:$DR$5,E$3,'Monthly CF'!$C$23:$DR$23)</f>
        <v>0</v>
      </c>
      <c r="F20" s="153">
        <f>SUMIF('Monthly CF'!$C$5:$DR$5,F$3,'Monthly CF'!$C$23:$DR$23)</f>
        <v>0</v>
      </c>
      <c r="G20" s="153">
        <f>SUMIF('Monthly CF'!$C$5:$DR$5,G$3,'Monthly CF'!$C$23:$DR$23)</f>
        <v>0</v>
      </c>
      <c r="H20" s="153">
        <f>SUMIF('Monthly CF'!$C$5:$DR$5,H$3,'Monthly CF'!$C$23:$DR$23)</f>
        <v>0</v>
      </c>
      <c r="I20" s="153">
        <f>SUMIF('Monthly CF'!$C$5:$DR$5,I$3,'Monthly CF'!$C$23:$DR$23)</f>
        <v>0</v>
      </c>
      <c r="J20" s="153">
        <f>SUMIF('Monthly CF'!$C$5:$DR$5,J$3,'Monthly CF'!$C$23:$DR$23)</f>
        <v>0</v>
      </c>
      <c r="K20" s="153">
        <f>SUMIF('Monthly CF'!$C$5:$DR$5,K$3,'Monthly CF'!$C$23:$DR$23)</f>
        <v>0</v>
      </c>
      <c r="L20" s="153">
        <f>SUMIF('Monthly CF'!$C$5:$DR$5,L$3,'Monthly CF'!$C$23:$DR$23)</f>
        <v>0</v>
      </c>
    </row>
    <row r="21" ht="15.75" customHeight="1">
      <c r="A21" s="54"/>
      <c r="B21" s="56" t="str">
        <f>Inputs!B36</f>
        <v>  Utilities</v>
      </c>
      <c r="C21" s="153">
        <f>SUMIF('Monthly CF'!$C$5:$DR$5,C$3,'Monthly CF'!$C$24:$DR$24)</f>
        <v>0</v>
      </c>
      <c r="D21" s="153">
        <f>SUMIF('Monthly CF'!$C$5:$DR$5,D$3,'Monthly CF'!$C$24:$DR$24)</f>
        <v>0</v>
      </c>
      <c r="E21" s="153">
        <f>SUMIF('Monthly CF'!$C$5:$DR$5,E$3,'Monthly CF'!$C$24:$DR$24)</f>
        <v>0</v>
      </c>
      <c r="F21" s="153">
        <f>SUMIF('Monthly CF'!$C$5:$DR$5,F$3,'Monthly CF'!$C$24:$DR$24)</f>
        <v>0</v>
      </c>
      <c r="G21" s="153">
        <f>SUMIF('Monthly CF'!$C$5:$DR$5,G$3,'Monthly CF'!$C$24:$DR$24)</f>
        <v>0</v>
      </c>
      <c r="H21" s="153">
        <f>SUMIF('Monthly CF'!$C$5:$DR$5,H$3,'Monthly CF'!$C$24:$DR$24)</f>
        <v>0</v>
      </c>
      <c r="I21" s="153">
        <f>SUMIF('Monthly CF'!$C$5:$DR$5,I$3,'Monthly CF'!$C$24:$DR$24)</f>
        <v>0</v>
      </c>
      <c r="J21" s="153">
        <f>SUMIF('Monthly CF'!$C$5:$DR$5,J$3,'Monthly CF'!$C$24:$DR$24)</f>
        <v>0</v>
      </c>
      <c r="K21" s="153">
        <f>SUMIF('Monthly CF'!$C$5:$DR$5,K$3,'Monthly CF'!$C$24:$DR$24)</f>
        <v>0</v>
      </c>
      <c r="L21" s="153">
        <f>SUMIF('Monthly CF'!$C$5:$DR$5,L$3,'Monthly CF'!$C$24:$DR$24)</f>
        <v>0</v>
      </c>
    </row>
    <row r="22" ht="15.75" customHeight="1">
      <c r="A22" s="54"/>
      <c r="B22" s="56" t="str">
        <f>Inputs!B37</f>
        <v>  Landscaping / Janitorial</v>
      </c>
      <c r="C22" s="153">
        <f>SUMIF('Monthly CF'!$C$5:$DR$5,C$3,'Monthly CF'!$C$25:$DR$25)</f>
        <v>0</v>
      </c>
      <c r="D22" s="153">
        <f>SUMIF('Monthly CF'!$C$5:$DR$5,D$3,'Monthly CF'!$C$25:$DR$25)</f>
        <v>0</v>
      </c>
      <c r="E22" s="153">
        <f>SUMIF('Monthly CF'!$C$5:$DR$5,E$3,'Monthly CF'!$C$25:$DR$25)</f>
        <v>0</v>
      </c>
      <c r="F22" s="153">
        <f>SUMIF('Monthly CF'!$C$5:$DR$5,F$3,'Monthly CF'!$C$25:$DR$25)</f>
        <v>0</v>
      </c>
      <c r="G22" s="153">
        <f>SUMIF('Monthly CF'!$C$5:$DR$5,G$3,'Monthly CF'!$C$25:$DR$25)</f>
        <v>0</v>
      </c>
      <c r="H22" s="153">
        <f>SUMIF('Monthly CF'!$C$5:$DR$5,H$3,'Monthly CF'!$C$25:$DR$25)</f>
        <v>0</v>
      </c>
      <c r="I22" s="153">
        <f>SUMIF('Monthly CF'!$C$5:$DR$5,I$3,'Monthly CF'!$C$25:$DR$25)</f>
        <v>0</v>
      </c>
      <c r="J22" s="153">
        <f>SUMIF('Monthly CF'!$C$5:$DR$5,J$3,'Monthly CF'!$C$25:$DR$25)</f>
        <v>0</v>
      </c>
      <c r="K22" s="153">
        <f>SUMIF('Monthly CF'!$C$5:$DR$5,K$3,'Monthly CF'!$C$25:$DR$25)</f>
        <v>0</v>
      </c>
      <c r="L22" s="153">
        <f>SUMIF('Monthly CF'!$C$5:$DR$5,L$3,'Monthly CF'!$C$25:$DR$25)</f>
        <v>0</v>
      </c>
    </row>
    <row r="23" ht="15.75" customHeight="1">
      <c r="A23" s="54"/>
      <c r="B23" s="56" t="str">
        <f>Inputs!B38</f>
        <v>  Admin &amp; Marketing</v>
      </c>
      <c r="C23" s="153">
        <f>SUMIF('Monthly CF'!$C$5:$DR$5,C$3,'Monthly CF'!$C$26:$DR$26)</f>
        <v>0</v>
      </c>
      <c r="D23" s="153">
        <f>SUMIF('Monthly CF'!$C$5:$DR$5,D$3,'Monthly CF'!$C$26:$DR$26)</f>
        <v>0</v>
      </c>
      <c r="E23" s="153">
        <f>SUMIF('Monthly CF'!$C$5:$DR$5,E$3,'Monthly CF'!$C$26:$DR$26)</f>
        <v>0</v>
      </c>
      <c r="F23" s="153">
        <f>SUMIF('Monthly CF'!$C$5:$DR$5,F$3,'Monthly CF'!$C$26:$DR$26)</f>
        <v>0</v>
      </c>
      <c r="G23" s="153">
        <f>SUMIF('Monthly CF'!$C$5:$DR$5,G$3,'Monthly CF'!$C$26:$DR$26)</f>
        <v>0</v>
      </c>
      <c r="H23" s="153">
        <f>SUMIF('Monthly CF'!$C$5:$DR$5,H$3,'Monthly CF'!$C$26:$DR$26)</f>
        <v>0</v>
      </c>
      <c r="I23" s="153">
        <f>SUMIF('Monthly CF'!$C$5:$DR$5,I$3,'Monthly CF'!$C$26:$DR$26)</f>
        <v>0</v>
      </c>
      <c r="J23" s="153">
        <f>SUMIF('Monthly CF'!$C$5:$DR$5,J$3,'Monthly CF'!$C$26:$DR$26)</f>
        <v>0</v>
      </c>
      <c r="K23" s="153">
        <f>SUMIF('Monthly CF'!$C$5:$DR$5,K$3,'Monthly CF'!$C$26:$DR$26)</f>
        <v>0</v>
      </c>
      <c r="L23" s="153">
        <f>SUMIF('Monthly CF'!$C$5:$DR$5,L$3,'Monthly CF'!$C$26:$DR$26)</f>
        <v>0</v>
      </c>
    </row>
    <row r="24" ht="15.75" customHeight="1">
      <c r="A24" s="54"/>
      <c r="B24" s="56" t="str">
        <f>Inputs!B39</f>
        <v>  Reserves for Replacement</v>
      </c>
      <c r="C24" s="153">
        <f>SUMIF('Monthly CF'!$C$5:$DR$5,C$3,'Monthly CF'!$C$27:$DR$27)</f>
        <v>0</v>
      </c>
      <c r="D24" s="153">
        <f>SUMIF('Monthly CF'!$C$5:$DR$5,D$3,'Monthly CF'!$C$27:$DR$27)</f>
        <v>0</v>
      </c>
      <c r="E24" s="153">
        <f>SUMIF('Monthly CF'!$C$5:$DR$5,E$3,'Monthly CF'!$C$27:$DR$27)</f>
        <v>0</v>
      </c>
      <c r="F24" s="153">
        <f>SUMIF('Monthly CF'!$C$5:$DR$5,F$3,'Monthly CF'!$C$27:$DR$27)</f>
        <v>0</v>
      </c>
      <c r="G24" s="153">
        <f>SUMIF('Monthly CF'!$C$5:$DR$5,G$3,'Monthly CF'!$C$27:$DR$27)</f>
        <v>0</v>
      </c>
      <c r="H24" s="153">
        <f>SUMIF('Monthly CF'!$C$5:$DR$5,H$3,'Monthly CF'!$C$27:$DR$27)</f>
        <v>0</v>
      </c>
      <c r="I24" s="153">
        <f>SUMIF('Monthly CF'!$C$5:$DR$5,I$3,'Monthly CF'!$C$27:$DR$27)</f>
        <v>0</v>
      </c>
      <c r="J24" s="153">
        <f>SUMIF('Monthly CF'!$C$5:$DR$5,J$3,'Monthly CF'!$C$27:$DR$27)</f>
        <v>0</v>
      </c>
      <c r="K24" s="153">
        <f>SUMIF('Monthly CF'!$C$5:$DR$5,K$3,'Monthly CF'!$C$27:$DR$27)</f>
        <v>0</v>
      </c>
      <c r="L24" s="153">
        <f>SUMIF('Monthly CF'!$C$5:$DR$5,L$3,'Monthly CF'!$C$27:$DR$27)</f>
        <v>0</v>
      </c>
    </row>
    <row r="25" ht="15.75" customHeight="1">
      <c r="A25" s="54"/>
      <c r="B25" s="56" t="str">
        <f>Inputs!B40</f>
        <v>  Other Expenses</v>
      </c>
      <c r="C25" s="153">
        <f>SUMIF('Monthly CF'!$C$5:$DR$5,C$3,'Monthly CF'!$C$28:$DR$28)</f>
        <v>0</v>
      </c>
      <c r="D25" s="153">
        <f>SUMIF('Monthly CF'!$C$5:$DR$5,D$3,'Monthly CF'!$C$28:$DR$28)</f>
        <v>0</v>
      </c>
      <c r="E25" s="153">
        <f>SUMIF('Monthly CF'!$C$5:$DR$5,E$3,'Monthly CF'!$C$28:$DR$28)</f>
        <v>0</v>
      </c>
      <c r="F25" s="153">
        <f>SUMIF('Monthly CF'!$C$5:$DR$5,F$3,'Monthly CF'!$C$28:$DR$28)</f>
        <v>0</v>
      </c>
      <c r="G25" s="153">
        <f>SUMIF('Monthly CF'!$C$5:$DR$5,G$3,'Monthly CF'!$C$28:$DR$28)</f>
        <v>0</v>
      </c>
      <c r="H25" s="153">
        <f>SUMIF('Monthly CF'!$C$5:$DR$5,H$3,'Monthly CF'!$C$28:$DR$28)</f>
        <v>0</v>
      </c>
      <c r="I25" s="153">
        <f>SUMIF('Monthly CF'!$C$5:$DR$5,I$3,'Monthly CF'!$C$28:$DR$28)</f>
        <v>0</v>
      </c>
      <c r="J25" s="153">
        <f>SUMIF('Monthly CF'!$C$5:$DR$5,J$3,'Monthly CF'!$C$28:$DR$28)</f>
        <v>0</v>
      </c>
      <c r="K25" s="153">
        <f>SUMIF('Monthly CF'!$C$5:$DR$5,K$3,'Monthly CF'!$C$28:$DR$28)</f>
        <v>0</v>
      </c>
      <c r="L25" s="153">
        <f>SUMIF('Monthly CF'!$C$5:$DR$5,L$3,'Monthly CF'!$C$28:$DR$28)</f>
        <v>0</v>
      </c>
    </row>
    <row r="26" ht="15.75" customHeight="1">
      <c r="A26" s="54"/>
      <c r="B26" s="56" t="str">
        <f>Inputs!B41</f>
        <v>  Pest Control</v>
      </c>
      <c r="C26" s="153">
        <f>SUMIF('Monthly CF'!$C$5:$DR$5,C$3,'Monthly CF'!$C$29:$DR$29)</f>
        <v>0</v>
      </c>
      <c r="D26" s="153">
        <f>SUMIF('Monthly CF'!$C$5:$DR$5,D$3,'Monthly CF'!$C$29:$DR$29)</f>
        <v>0</v>
      </c>
      <c r="E26" s="153">
        <f>SUMIF('Monthly CF'!$C$5:$DR$5,E$3,'Monthly CF'!$C$29:$DR$29)</f>
        <v>0</v>
      </c>
      <c r="F26" s="153">
        <f>SUMIF('Monthly CF'!$C$5:$DR$5,F$3,'Monthly CF'!$C$29:$DR$29)</f>
        <v>0</v>
      </c>
      <c r="G26" s="153">
        <f>SUMIF('Monthly CF'!$C$5:$DR$5,G$3,'Monthly CF'!$C$29:$DR$29)</f>
        <v>0</v>
      </c>
      <c r="H26" s="153">
        <f>SUMIF('Monthly CF'!$C$5:$DR$5,H$3,'Monthly CF'!$C$29:$DR$29)</f>
        <v>0</v>
      </c>
      <c r="I26" s="153">
        <f>SUMIF('Monthly CF'!$C$5:$DR$5,I$3,'Monthly CF'!$C$29:$DR$29)</f>
        <v>0</v>
      </c>
      <c r="J26" s="153">
        <f>SUMIF('Monthly CF'!$C$5:$DR$5,J$3,'Monthly CF'!$C$29:$DR$29)</f>
        <v>0</v>
      </c>
      <c r="K26" s="153">
        <f>SUMIF('Monthly CF'!$C$5:$DR$5,K$3,'Monthly CF'!$C$29:$DR$29)</f>
        <v>0</v>
      </c>
      <c r="L26" s="153">
        <f>SUMIF('Monthly CF'!$C$5:$DR$5,L$3,'Monthly CF'!$C$29:$DR$29)</f>
        <v>0</v>
      </c>
    </row>
    <row r="27" ht="15.75" customHeight="1">
      <c r="A27" s="54"/>
      <c r="B27" s="56" t="str">
        <f>Inputs!B42</f>
        <v>  Security / Access Control</v>
      </c>
      <c r="C27" s="153">
        <f>SUMIF('Monthly CF'!$C$5:$DR$5,C$3,'Monthly CF'!$C$30:$DR$30)</f>
        <v>0</v>
      </c>
      <c r="D27" s="153">
        <f>SUMIF('Monthly CF'!$C$5:$DR$5,D$3,'Monthly CF'!$C$30:$DR$30)</f>
        <v>0</v>
      </c>
      <c r="E27" s="153">
        <f>SUMIF('Monthly CF'!$C$5:$DR$5,E$3,'Monthly CF'!$C$30:$DR$30)</f>
        <v>0</v>
      </c>
      <c r="F27" s="153">
        <f>SUMIF('Monthly CF'!$C$5:$DR$5,F$3,'Monthly CF'!$C$30:$DR$30)</f>
        <v>0</v>
      </c>
      <c r="G27" s="153">
        <f>SUMIF('Monthly CF'!$C$5:$DR$5,G$3,'Monthly CF'!$C$30:$DR$30)</f>
        <v>0</v>
      </c>
      <c r="H27" s="153">
        <f>SUMIF('Monthly CF'!$C$5:$DR$5,H$3,'Monthly CF'!$C$30:$DR$30)</f>
        <v>0</v>
      </c>
      <c r="I27" s="153">
        <f>SUMIF('Monthly CF'!$C$5:$DR$5,I$3,'Monthly CF'!$C$30:$DR$30)</f>
        <v>0</v>
      </c>
      <c r="J27" s="153">
        <f>SUMIF('Monthly CF'!$C$5:$DR$5,J$3,'Monthly CF'!$C$30:$DR$30)</f>
        <v>0</v>
      </c>
      <c r="K27" s="153">
        <f>SUMIF('Monthly CF'!$C$5:$DR$5,K$3,'Monthly CF'!$C$30:$DR$30)</f>
        <v>0</v>
      </c>
      <c r="L27" s="153">
        <f>SUMIF('Monthly CF'!$C$5:$DR$5,L$3,'Monthly CF'!$C$30:$DR$30)</f>
        <v>0</v>
      </c>
    </row>
    <row r="28" ht="15.75" customHeight="1">
      <c r="A28" s="54"/>
      <c r="B28" s="56" t="str">
        <f>Inputs!B43</f>
        <v>  Trash Removal</v>
      </c>
      <c r="C28" s="153">
        <f>SUMIF('Monthly CF'!$C$5:$DR$5,C$3,'Monthly CF'!$C$31:$DR$31)</f>
        <v>0</v>
      </c>
      <c r="D28" s="153">
        <f>SUMIF('Monthly CF'!$C$5:$DR$5,D$3,'Monthly CF'!$C$31:$DR$31)</f>
        <v>0</v>
      </c>
      <c r="E28" s="153">
        <f>SUMIF('Monthly CF'!$C$5:$DR$5,E$3,'Monthly CF'!$C$31:$DR$31)</f>
        <v>0</v>
      </c>
      <c r="F28" s="153">
        <f>SUMIF('Monthly CF'!$C$5:$DR$5,F$3,'Monthly CF'!$C$31:$DR$31)</f>
        <v>0</v>
      </c>
      <c r="G28" s="153">
        <f>SUMIF('Monthly CF'!$C$5:$DR$5,G$3,'Monthly CF'!$C$31:$DR$31)</f>
        <v>0</v>
      </c>
      <c r="H28" s="153">
        <f>SUMIF('Monthly CF'!$C$5:$DR$5,H$3,'Monthly CF'!$C$31:$DR$31)</f>
        <v>0</v>
      </c>
      <c r="I28" s="153">
        <f>SUMIF('Monthly CF'!$C$5:$DR$5,I$3,'Monthly CF'!$C$31:$DR$31)</f>
        <v>0</v>
      </c>
      <c r="J28" s="153">
        <f>SUMIF('Monthly CF'!$C$5:$DR$5,J$3,'Monthly CF'!$C$31:$DR$31)</f>
        <v>0</v>
      </c>
      <c r="K28" s="153">
        <f>SUMIF('Monthly CF'!$C$5:$DR$5,K$3,'Monthly CF'!$C$31:$DR$31)</f>
        <v>0</v>
      </c>
      <c r="L28" s="153">
        <f>SUMIF('Monthly CF'!$C$5:$DR$5,L$3,'Monthly CF'!$C$31:$DR$31)</f>
        <v>0</v>
      </c>
    </row>
    <row r="29" ht="15.75" customHeight="1">
      <c r="A29" s="54"/>
      <c r="B29" s="56" t="str">
        <f>Inputs!B44</f>
        <v>  Legal &amp; Professional</v>
      </c>
      <c r="C29" s="153">
        <f>SUMIF('Monthly CF'!$C$5:$DR$5,C$3,'Monthly CF'!$C$32:$DR$32)</f>
        <v>0</v>
      </c>
      <c r="D29" s="153">
        <f>SUMIF('Monthly CF'!$C$5:$DR$5,D$3,'Monthly CF'!$C$32:$DR$32)</f>
        <v>0</v>
      </c>
      <c r="E29" s="153">
        <f>SUMIF('Monthly CF'!$C$5:$DR$5,E$3,'Monthly CF'!$C$32:$DR$32)</f>
        <v>0</v>
      </c>
      <c r="F29" s="153">
        <f>SUMIF('Monthly CF'!$C$5:$DR$5,F$3,'Monthly CF'!$C$32:$DR$32)</f>
        <v>0</v>
      </c>
      <c r="G29" s="153">
        <f>SUMIF('Monthly CF'!$C$5:$DR$5,G$3,'Monthly CF'!$C$32:$DR$32)</f>
        <v>0</v>
      </c>
      <c r="H29" s="153">
        <f>SUMIF('Monthly CF'!$C$5:$DR$5,H$3,'Monthly CF'!$C$32:$DR$32)</f>
        <v>0</v>
      </c>
      <c r="I29" s="153">
        <f>SUMIF('Monthly CF'!$C$5:$DR$5,I$3,'Monthly CF'!$C$32:$DR$32)</f>
        <v>0</v>
      </c>
      <c r="J29" s="153">
        <f>SUMIF('Monthly CF'!$C$5:$DR$5,J$3,'Monthly CF'!$C$32:$DR$32)</f>
        <v>0</v>
      </c>
      <c r="K29" s="153">
        <f>SUMIF('Monthly CF'!$C$5:$DR$5,K$3,'Monthly CF'!$C$32:$DR$32)</f>
        <v>0</v>
      </c>
      <c r="L29" s="153">
        <f>SUMIF('Monthly CF'!$C$5:$DR$5,L$3,'Monthly CF'!$C$32:$DR$32)</f>
        <v>0</v>
      </c>
    </row>
    <row r="30" ht="15.75" customHeight="1">
      <c r="A30" s="54"/>
      <c r="B30" s="56" t="str">
        <f>Inputs!B45</f>
        <v>  Turnover / Make-Ready</v>
      </c>
      <c r="C30" s="153">
        <f>SUMIF('Monthly CF'!$C$5:$DR$5,C$3,'Monthly CF'!$C$33:$DR$33)</f>
        <v>0</v>
      </c>
      <c r="D30" s="153">
        <f>SUMIF('Monthly CF'!$C$5:$DR$5,D$3,'Monthly CF'!$C$33:$DR$33)</f>
        <v>0</v>
      </c>
      <c r="E30" s="153">
        <f>SUMIF('Monthly CF'!$C$5:$DR$5,E$3,'Monthly CF'!$C$33:$DR$33)</f>
        <v>0</v>
      </c>
      <c r="F30" s="153">
        <f>SUMIF('Monthly CF'!$C$5:$DR$5,F$3,'Monthly CF'!$C$33:$DR$33)</f>
        <v>0</v>
      </c>
      <c r="G30" s="153">
        <f>SUMIF('Monthly CF'!$C$5:$DR$5,G$3,'Monthly CF'!$C$33:$DR$33)</f>
        <v>0</v>
      </c>
      <c r="H30" s="153">
        <f>SUMIF('Monthly CF'!$C$5:$DR$5,H$3,'Monthly CF'!$C$33:$DR$33)</f>
        <v>0</v>
      </c>
      <c r="I30" s="153">
        <f>SUMIF('Monthly CF'!$C$5:$DR$5,I$3,'Monthly CF'!$C$33:$DR$33)</f>
        <v>0</v>
      </c>
      <c r="J30" s="153">
        <f>SUMIF('Monthly CF'!$C$5:$DR$5,J$3,'Monthly CF'!$C$33:$DR$33)</f>
        <v>0</v>
      </c>
      <c r="K30" s="153">
        <f>SUMIF('Monthly CF'!$C$5:$DR$5,K$3,'Monthly CF'!$C$33:$DR$33)</f>
        <v>0</v>
      </c>
      <c r="L30" s="153">
        <f>SUMIF('Monthly CF'!$C$5:$DR$5,L$3,'Monthly CF'!$C$33:$DR$33)</f>
        <v>0</v>
      </c>
    </row>
    <row r="31" ht="15.75" customHeight="1">
      <c r="A31" s="54"/>
      <c r="B31" s="56" t="str">
        <f>Inputs!B46</f>
        <v>  Permits &amp; Licenses</v>
      </c>
      <c r="C31" s="153">
        <f>SUMIF('Monthly CF'!$C$5:$DR$5,C$3,'Monthly CF'!$C$34:$DR$34)</f>
        <v>0</v>
      </c>
      <c r="D31" s="153">
        <f>SUMIF('Monthly CF'!$C$5:$DR$5,D$3,'Monthly CF'!$C$34:$DR$34)</f>
        <v>0</v>
      </c>
      <c r="E31" s="153">
        <f>SUMIF('Monthly CF'!$C$5:$DR$5,E$3,'Monthly CF'!$C$34:$DR$34)</f>
        <v>0</v>
      </c>
      <c r="F31" s="153">
        <f>SUMIF('Monthly CF'!$C$5:$DR$5,F$3,'Monthly CF'!$C$34:$DR$34)</f>
        <v>0</v>
      </c>
      <c r="G31" s="153">
        <f>SUMIF('Monthly CF'!$C$5:$DR$5,G$3,'Monthly CF'!$C$34:$DR$34)</f>
        <v>0</v>
      </c>
      <c r="H31" s="153">
        <f>SUMIF('Monthly CF'!$C$5:$DR$5,H$3,'Monthly CF'!$C$34:$DR$34)</f>
        <v>0</v>
      </c>
      <c r="I31" s="153">
        <f>SUMIF('Monthly CF'!$C$5:$DR$5,I$3,'Monthly CF'!$C$34:$DR$34)</f>
        <v>0</v>
      </c>
      <c r="J31" s="153">
        <f>SUMIF('Monthly CF'!$C$5:$DR$5,J$3,'Monthly CF'!$C$34:$DR$34)</f>
        <v>0</v>
      </c>
      <c r="K31" s="153">
        <f>SUMIF('Monthly CF'!$C$5:$DR$5,K$3,'Monthly CF'!$C$34:$DR$34)</f>
        <v>0</v>
      </c>
      <c r="L31" s="153">
        <f>SUMIF('Monthly CF'!$C$5:$DR$5,L$3,'Monthly CF'!$C$34:$DR$34)</f>
        <v>0</v>
      </c>
    </row>
    <row r="32" ht="15.75" customHeight="1">
      <c r="A32" s="54"/>
      <c r="B32" s="161" t="s">
        <v>311</v>
      </c>
      <c r="C32" s="163">
        <f>SUMIF('Monthly CF'!$C$5:$DR$5,C$3,'Monthly CF'!$C$35:$DR$35)</f>
        <v>0</v>
      </c>
      <c r="D32" s="163">
        <f>SUMIF('Monthly CF'!$C$5:$DR$5,D$3,'Monthly CF'!$C$35:$DR$35)</f>
        <v>0</v>
      </c>
      <c r="E32" s="163">
        <f>SUMIF('Monthly CF'!$C$5:$DR$5,E$3,'Monthly CF'!$C$35:$DR$35)</f>
        <v>0</v>
      </c>
      <c r="F32" s="163">
        <f>SUMIF('Monthly CF'!$C$5:$DR$5,F$3,'Monthly CF'!$C$35:$DR$35)</f>
        <v>0</v>
      </c>
      <c r="G32" s="163">
        <f>SUMIF('Monthly CF'!$C$5:$DR$5,G$3,'Monthly CF'!$C$35:$DR$35)</f>
        <v>0</v>
      </c>
      <c r="H32" s="163">
        <f>SUMIF('Monthly CF'!$C$5:$DR$5,H$3,'Monthly CF'!$C$35:$DR$35)</f>
        <v>0</v>
      </c>
      <c r="I32" s="163">
        <f>SUMIF('Monthly CF'!$C$5:$DR$5,I$3,'Monthly CF'!$C$35:$DR$35)</f>
        <v>0</v>
      </c>
      <c r="J32" s="163">
        <f>SUMIF('Monthly CF'!$C$5:$DR$5,J$3,'Monthly CF'!$C$35:$DR$35)</f>
        <v>0</v>
      </c>
      <c r="K32" s="163">
        <f>SUMIF('Monthly CF'!$C$5:$DR$5,K$3,'Monthly CF'!$C$35:$DR$35)</f>
        <v>0</v>
      </c>
      <c r="L32" s="163">
        <f>SUMIF('Monthly CF'!$C$5:$DR$5,L$3,'Monthly CF'!$C$35:$DR$35)</f>
        <v>0</v>
      </c>
    </row>
    <row r="33" ht="15.75" customHeight="1">
      <c r="A33" s="54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ht="15.75" customHeight="1">
      <c r="A34" s="54"/>
      <c r="B34" s="164" t="s">
        <v>312</v>
      </c>
      <c r="C34" s="165">
        <f>SUMIF('Monthly CF'!$C$5:$DR$5,C$3,'Monthly CF'!$C$37:$DR$37)</f>
        <v>0</v>
      </c>
      <c r="D34" s="165">
        <f>SUMIF('Monthly CF'!$C$5:$DR$5,D$3,'Monthly CF'!$C$37:$DR$37)</f>
        <v>0</v>
      </c>
      <c r="E34" s="165">
        <f>SUMIF('Monthly CF'!$C$5:$DR$5,E$3,'Monthly CF'!$C$37:$DR$37)</f>
        <v>0</v>
      </c>
      <c r="F34" s="165">
        <f>SUMIF('Monthly CF'!$C$5:$DR$5,F$3,'Monthly CF'!$C$37:$DR$37)</f>
        <v>0</v>
      </c>
      <c r="G34" s="165">
        <f>SUMIF('Monthly CF'!$C$5:$DR$5,G$3,'Monthly CF'!$C$37:$DR$37)</f>
        <v>0</v>
      </c>
      <c r="H34" s="165">
        <f>SUMIF('Monthly CF'!$C$5:$DR$5,H$3,'Monthly CF'!$C$37:$DR$37)</f>
        <v>0</v>
      </c>
      <c r="I34" s="165">
        <f>SUMIF('Monthly CF'!$C$5:$DR$5,I$3,'Monthly CF'!$C$37:$DR$37)</f>
        <v>0</v>
      </c>
      <c r="J34" s="165">
        <f>SUMIF('Monthly CF'!$C$5:$DR$5,J$3,'Monthly CF'!$C$37:$DR$37)</f>
        <v>0</v>
      </c>
      <c r="K34" s="165">
        <f>SUMIF('Monthly CF'!$C$5:$DR$5,K$3,'Monthly CF'!$C$37:$DR$37)</f>
        <v>0</v>
      </c>
      <c r="L34" s="165">
        <f>SUMIF('Monthly CF'!$C$5:$DR$5,L$3,'Monthly CF'!$C$37:$DR$37)</f>
        <v>0</v>
      </c>
    </row>
    <row r="35" ht="15.75" customHeight="1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ht="15.75" customHeight="1">
      <c r="A36" s="54"/>
      <c r="B36" s="56" t="s">
        <v>353</v>
      </c>
      <c r="C36" s="153">
        <f>SUMIF('Monthly CF'!$C$5:$DR$5,C$3,'Monthly CF'!$C$40:$DR$40)</f>
        <v>0</v>
      </c>
      <c r="D36" s="153">
        <f>SUMIF('Monthly CF'!$C$5:$DR$5,D$3,'Monthly CF'!$C$40:$DR$40)</f>
        <v>0</v>
      </c>
      <c r="E36" s="153">
        <f>SUMIF('Monthly CF'!$C$5:$DR$5,E$3,'Monthly CF'!$C$40:$DR$40)</f>
        <v>0</v>
      </c>
      <c r="F36" s="153">
        <f>SUMIF('Monthly CF'!$C$5:$DR$5,F$3,'Monthly CF'!$C$40:$DR$40)</f>
        <v>0</v>
      </c>
      <c r="G36" s="153">
        <f>SUMIF('Monthly CF'!$C$5:$DR$5,G$3,'Monthly CF'!$C$40:$DR$40)</f>
        <v>0</v>
      </c>
      <c r="H36" s="153">
        <f>SUMIF('Monthly CF'!$C$5:$DR$5,H$3,'Monthly CF'!$C$40:$DR$40)</f>
        <v>0</v>
      </c>
      <c r="I36" s="153">
        <f>SUMIF('Monthly CF'!$C$5:$DR$5,I$3,'Monthly CF'!$C$40:$DR$40)</f>
        <v>0</v>
      </c>
      <c r="J36" s="153">
        <f>SUMIF('Monthly CF'!$C$5:$DR$5,J$3,'Monthly CF'!$C$40:$DR$40)</f>
        <v>0</v>
      </c>
      <c r="K36" s="153">
        <f>SUMIF('Monthly CF'!$C$5:$DR$5,K$3,'Monthly CF'!$C$40:$DR$40)</f>
        <v>0</v>
      </c>
      <c r="L36" s="153">
        <f>SUMIF('Monthly CF'!$C$5:$DR$5,L$3,'Monthly CF'!$C$40:$DR$40)</f>
        <v>0</v>
      </c>
    </row>
    <row r="37" ht="15.75" customHeight="1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</row>
    <row r="38" ht="15.75" customHeight="1">
      <c r="A38" s="54"/>
      <c r="B38" s="56" t="s">
        <v>354</v>
      </c>
      <c r="C38" s="152">
        <f>SUMIF('Monthly CF'!$C$5:$DR$5,C$3,'Monthly CF'!$C$49:$DR$49)</f>
        <v>-5000</v>
      </c>
      <c r="D38" s="152">
        <f>SUMIF('Monthly CF'!$C$5:$DR$5,D$3,'Monthly CF'!$C$49:$DR$49)</f>
        <v>0</v>
      </c>
      <c r="E38" s="152">
        <f>SUMIF('Monthly CF'!$C$5:$DR$5,E$3,'Monthly CF'!$C$49:$DR$49)</f>
        <v>0</v>
      </c>
      <c r="F38" s="152">
        <f>SUMIF('Monthly CF'!$C$5:$DR$5,F$3,'Monthly CF'!$C$49:$DR$49)</f>
        <v>0</v>
      </c>
      <c r="G38" s="152">
        <f>SUMIF('Monthly CF'!$C$5:$DR$5,G$3,'Monthly CF'!$C$49:$DR$49)</f>
        <v>0</v>
      </c>
      <c r="H38" s="152">
        <f>SUMIF('Monthly CF'!$C$5:$DR$5,H$3,'Monthly CF'!$C$49:$DR$49)</f>
        <v>0</v>
      </c>
      <c r="I38" s="152">
        <f>SUMIF('Monthly CF'!$C$5:$DR$5,I$3,'Monthly CF'!$C$49:$DR$49)</f>
        <v>0</v>
      </c>
      <c r="J38" s="152">
        <f>SUMIF('Monthly CF'!$C$5:$DR$5,J$3,'Monthly CF'!$C$49:$DR$49)</f>
        <v>0</v>
      </c>
      <c r="K38" s="152">
        <f>SUMIF('Monthly CF'!$C$5:$DR$5,K$3,'Monthly CF'!$C$49:$DR$49)</f>
        <v>0</v>
      </c>
      <c r="L38" s="152">
        <f>SUMIF('Monthly CF'!$C$5:$DR$5,L$3,'Monthly CF'!$C$49:$DR$49)</f>
        <v>0</v>
      </c>
    </row>
    <row r="39" ht="15.75" customHeight="1">
      <c r="A39" s="54"/>
      <c r="B39" s="116" t="s">
        <v>317</v>
      </c>
      <c r="C39" s="211"/>
      <c r="D39" s="211"/>
      <c r="E39" s="211"/>
      <c r="F39" s="211"/>
      <c r="G39" s="211"/>
      <c r="H39" s="211"/>
      <c r="I39" s="211"/>
      <c r="J39" s="211"/>
      <c r="K39" s="211"/>
      <c r="L39" s="211"/>
    </row>
    <row r="40" ht="15.75" customHeight="1">
      <c r="A40" s="54"/>
      <c r="B40" s="104" t="s">
        <v>318</v>
      </c>
      <c r="C40" s="115">
        <f>SUMIF('Monthly CF'!$C$5:$DR$5,C$3,'Monthly CF'!$C$52:$DR$52)</f>
        <v>0</v>
      </c>
      <c r="D40" s="115">
        <f>SUMIF('Monthly CF'!$C$5:$DR$5,D$3,'Monthly CF'!$C$52:$DR$52)</f>
        <v>0</v>
      </c>
      <c r="E40" s="115">
        <f>SUMIF('Monthly CF'!$C$5:$DR$5,E$3,'Monthly CF'!$C$52:$DR$52)</f>
        <v>0</v>
      </c>
      <c r="F40" s="115">
        <f>SUMIF('Monthly CF'!$C$5:$DR$5,F$3,'Monthly CF'!$C$52:$DR$52)</f>
        <v>0</v>
      </c>
      <c r="G40" s="115">
        <f>SUMIF('Monthly CF'!$C$5:$DR$5,G$3,'Monthly CF'!$C$52:$DR$52)</f>
        <v>0</v>
      </c>
      <c r="H40" s="115">
        <f>SUMIF('Monthly CF'!$C$5:$DR$5,H$3,'Monthly CF'!$C$52:$DR$52)</f>
        <v>0</v>
      </c>
      <c r="I40" s="115">
        <f>SUMIF('Monthly CF'!$C$5:$DR$5,I$3,'Monthly CF'!$C$52:$DR$52)</f>
        <v>0</v>
      </c>
      <c r="J40" s="115">
        <f>SUMIF('Monthly CF'!$C$5:$DR$5,J$3,'Monthly CF'!$C$52:$DR$52)</f>
        <v>0</v>
      </c>
      <c r="K40" s="115">
        <f>SUMIF('Monthly CF'!$C$5:$DR$5,K$3,'Monthly CF'!$C$52:$DR$52)</f>
        <v>0</v>
      </c>
      <c r="L40" s="115">
        <f>SUMIF('Monthly CF'!$C$5:$DR$5,L$3,'Monthly CF'!$C$52:$DR$52)</f>
        <v>0</v>
      </c>
    </row>
    <row r="41" ht="15.75" customHeight="1">
      <c r="A41" s="54"/>
      <c r="B41" s="104" t="s">
        <v>319</v>
      </c>
      <c r="C41" s="115">
        <f>SUMIF('Monthly CF'!$C$5:$DR$5,C$3,'Monthly CF'!$C$53:$DR$53)</f>
        <v>0</v>
      </c>
      <c r="D41" s="115">
        <f>SUMIF('Monthly CF'!$C$5:$DR$5,D$3,'Monthly CF'!$C$53:$DR$53)</f>
        <v>0</v>
      </c>
      <c r="E41" s="115">
        <f>SUMIF('Monthly CF'!$C$5:$DR$5,E$3,'Monthly CF'!$C$53:$DR$53)</f>
        <v>0</v>
      </c>
      <c r="F41" s="115">
        <f>SUMIF('Monthly CF'!$C$5:$DR$5,F$3,'Monthly CF'!$C$53:$DR$53)</f>
        <v>0</v>
      </c>
      <c r="G41" s="115">
        <f>SUMIF('Monthly CF'!$C$5:$DR$5,G$3,'Monthly CF'!$C$53:$DR$53)</f>
        <v>0</v>
      </c>
      <c r="H41" s="115">
        <f>SUMIF('Monthly CF'!$C$5:$DR$5,H$3,'Monthly CF'!$C$53:$DR$53)</f>
        <v>0</v>
      </c>
      <c r="I41" s="115">
        <f>SUMIF('Monthly CF'!$C$5:$DR$5,I$3,'Monthly CF'!$C$53:$DR$53)</f>
        <v>0</v>
      </c>
      <c r="J41" s="115">
        <f>SUMIF('Monthly CF'!$C$5:$DR$5,J$3,'Monthly CF'!$C$53:$DR$53)</f>
        <v>0</v>
      </c>
      <c r="K41" s="115">
        <f>SUMIF('Monthly CF'!$C$5:$DR$5,K$3,'Monthly CF'!$C$53:$DR$53)</f>
        <v>0</v>
      </c>
      <c r="L41" s="115">
        <f>SUMIF('Monthly CF'!$C$5:$DR$5,L$3,'Monthly CF'!$C$53:$DR$53)</f>
        <v>0</v>
      </c>
    </row>
    <row r="42" ht="15.75" customHeight="1">
      <c r="A42" s="54"/>
      <c r="B42" s="116" t="s">
        <v>320</v>
      </c>
      <c r="C42" s="118">
        <f>SUMIF('Monthly CF'!$C$5:$DR$5,C$3,'Monthly CF'!$C$54:$DR$54)</f>
        <v>0</v>
      </c>
      <c r="D42" s="118">
        <f>SUMIF('Monthly CF'!$C$5:$DR$5,D$3,'Monthly CF'!$C$54:$DR$54)</f>
        <v>0</v>
      </c>
      <c r="E42" s="118">
        <f>SUMIF('Monthly CF'!$C$5:$DR$5,E$3,'Monthly CF'!$C$54:$DR$54)</f>
        <v>0</v>
      </c>
      <c r="F42" s="118">
        <f>SUMIF('Monthly CF'!$C$5:$DR$5,F$3,'Monthly CF'!$C$54:$DR$54)</f>
        <v>0</v>
      </c>
      <c r="G42" s="118">
        <f>SUMIF('Monthly CF'!$C$5:$DR$5,G$3,'Monthly CF'!$C$54:$DR$54)</f>
        <v>0</v>
      </c>
      <c r="H42" s="118">
        <f>SUMIF('Monthly CF'!$C$5:$DR$5,H$3,'Monthly CF'!$C$54:$DR$54)</f>
        <v>0</v>
      </c>
      <c r="I42" s="118">
        <f>SUMIF('Monthly CF'!$C$5:$DR$5,I$3,'Monthly CF'!$C$54:$DR$54)</f>
        <v>0</v>
      </c>
      <c r="J42" s="118">
        <f>SUMIF('Monthly CF'!$C$5:$DR$5,J$3,'Monthly CF'!$C$54:$DR$54)</f>
        <v>0</v>
      </c>
      <c r="K42" s="118">
        <f>SUMIF('Monthly CF'!$C$5:$DR$5,K$3,'Monthly CF'!$C$54:$DR$54)</f>
        <v>0</v>
      </c>
      <c r="L42" s="118">
        <f>SUMIF('Monthly CF'!$C$5:$DR$5,L$3,'Monthly CF'!$C$54:$DR$54)</f>
        <v>0</v>
      </c>
    </row>
    <row r="43" ht="15.75" customHeight="1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</row>
    <row r="44" ht="15.75" customHeight="1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</row>
    <row r="45" ht="15.75" customHeight="1">
      <c r="A45" s="54"/>
      <c r="B45" s="173" t="s">
        <v>321</v>
      </c>
      <c r="C45" s="212">
        <f>SUMIF('Monthly CF'!$C$5:$DR$5,C$3,'Monthly CF'!$C$56:$DR$56)</f>
        <v>-5000</v>
      </c>
      <c r="D45" s="212">
        <f>SUMIF('Monthly CF'!$C$5:$DR$5,D$3,'Monthly CF'!$C$56:$DR$56)</f>
        <v>0</v>
      </c>
      <c r="E45" s="212">
        <f>SUMIF('Monthly CF'!$C$5:$DR$5,E$3,'Monthly CF'!$C$56:$DR$56)</f>
        <v>0</v>
      </c>
      <c r="F45" s="212">
        <f>SUMIF('Monthly CF'!$C$5:$DR$5,F$3,'Monthly CF'!$C$56:$DR$56)</f>
        <v>0</v>
      </c>
      <c r="G45" s="212">
        <f>SUMIF('Monthly CF'!$C$5:$DR$5,G$3,'Monthly CF'!$C$56:$DR$56)</f>
        <v>0</v>
      </c>
      <c r="H45" s="212">
        <f>SUMIF('Monthly CF'!$C$5:$DR$5,H$3,'Monthly CF'!$C$56:$DR$56)</f>
        <v>0</v>
      </c>
      <c r="I45" s="212">
        <f>SUMIF('Monthly CF'!$C$5:$DR$5,I$3,'Monthly CF'!$C$56:$DR$56)</f>
        <v>0</v>
      </c>
      <c r="J45" s="212">
        <f>SUMIF('Monthly CF'!$C$5:$DR$5,J$3,'Monthly CF'!$C$56:$DR$56)</f>
        <v>0</v>
      </c>
      <c r="K45" s="212">
        <f>SUMIF('Monthly CF'!$C$5:$DR$5,K$3,'Monthly CF'!$C$56:$DR$56)</f>
        <v>0</v>
      </c>
      <c r="L45" s="212">
        <f>SUMIF('Monthly CF'!$C$5:$DR$5,L$3,'Monthly CF'!$C$56:$DR$56)</f>
        <v>0</v>
      </c>
    </row>
    <row r="46" ht="15.75" customHeight="1">
      <c r="A46" s="54"/>
      <c r="B46" s="54"/>
      <c r="C46" s="194"/>
      <c r="D46" s="194"/>
      <c r="E46" s="194"/>
      <c r="F46" s="194"/>
      <c r="G46" s="194"/>
      <c r="H46" s="194"/>
      <c r="I46" s="194"/>
      <c r="J46" s="194"/>
      <c r="K46" s="194"/>
      <c r="L46" s="194"/>
    </row>
    <row r="47" ht="15.75" customHeight="1">
      <c r="A47" s="54"/>
      <c r="B47" s="130" t="s">
        <v>322</v>
      </c>
      <c r="C47" s="213"/>
      <c r="D47" s="213"/>
      <c r="E47" s="213"/>
      <c r="F47" s="213"/>
      <c r="G47" s="213"/>
      <c r="H47" s="213"/>
      <c r="I47" s="213"/>
      <c r="J47" s="213"/>
      <c r="K47" s="213"/>
      <c r="L47" s="195"/>
    </row>
    <row r="48" ht="15.75" customHeight="1">
      <c r="A48" s="54"/>
      <c r="B48" s="104" t="s">
        <v>323</v>
      </c>
      <c r="C48" s="196">
        <f t="array" ref="C48">INDEX('Monthly CF'!$C$59:$DR$59,MATCH((C$3-1)*12+1,'Monthly CF'!$C$3:$DR$3,0))</f>
        <v>0</v>
      </c>
      <c r="D48" s="196">
        <f t="array" ref="D48">INDEX('Monthly CF'!$C$59:$DR$59,MATCH((D$3-1)*12+1,'Monthly CF'!$C$3:$DR$3,0))</f>
        <v>0</v>
      </c>
      <c r="E48" s="196">
        <f t="array" ref="E48">INDEX('Monthly CF'!$C$59:$DR$59,MATCH((E$3-1)*12+1,'Monthly CF'!$C$3:$DR$3,0))</f>
        <v>0</v>
      </c>
      <c r="F48" s="196">
        <f t="array" ref="F48">INDEX('Monthly CF'!$C$59:$DR$59,MATCH((F$3-1)*12+1,'Monthly CF'!$C$3:$DR$3,0))</f>
        <v>0</v>
      </c>
      <c r="G48" s="196">
        <f t="array" ref="G48">INDEX('Monthly CF'!$C$59:$DR$59,MATCH((G$3-1)*12+1,'Monthly CF'!$C$3:$DR$3,0))</f>
        <v>0</v>
      </c>
      <c r="H48" s="196">
        <f t="array" ref="H48">INDEX('Monthly CF'!$C$59:$DR$59,MATCH((H$3-1)*12+1,'Monthly CF'!$C$3:$DR$3,0))</f>
        <v>0</v>
      </c>
      <c r="I48" s="196">
        <f t="array" ref="I48">INDEX('Monthly CF'!$C$59:$DR$59,MATCH((I$3-1)*12+1,'Monthly CF'!$C$3:$DR$3,0))</f>
        <v>0</v>
      </c>
      <c r="J48" s="196">
        <f t="array" ref="J48">INDEX('Monthly CF'!$C$59:$DR$59,MATCH((J$3-1)*12+1,'Monthly CF'!$C$3:$DR$3,0))</f>
        <v>0</v>
      </c>
      <c r="K48" s="196">
        <f t="array" ref="K48">INDEX('Monthly CF'!$C$59:$DR$59,MATCH((K$3-1)*12+1,'Monthly CF'!$C$3:$DR$3,0))</f>
        <v>0</v>
      </c>
      <c r="L48" s="196">
        <f t="array" ref="L48">INDEX('Monthly CF'!$C$59:$DR$59,MATCH((L$3-1)*12+1,'Monthly CF'!$C$3:$DR$3,0))</f>
        <v>0</v>
      </c>
    </row>
    <row r="49" ht="15.75" customHeight="1">
      <c r="A49" s="54"/>
      <c r="B49" s="104" t="s">
        <v>324</v>
      </c>
      <c r="C49" s="196">
        <f>SUMIF('Monthly CF'!$C$5:$DR$5,C$3,'Monthly CF'!$C$60:$DR$60)</f>
        <v>0</v>
      </c>
      <c r="D49" s="196">
        <f>SUMIF('Monthly CF'!$C$5:$DR$5,D$3,'Monthly CF'!$C$60:$DR$60)</f>
        <v>0</v>
      </c>
      <c r="E49" s="196">
        <f>SUMIF('Monthly CF'!$C$5:$DR$5,E$3,'Monthly CF'!$C$60:$DR$60)</f>
        <v>0</v>
      </c>
      <c r="F49" s="196">
        <f>SUMIF('Monthly CF'!$C$5:$DR$5,F$3,'Monthly CF'!$C$60:$DR$60)</f>
        <v>0</v>
      </c>
      <c r="G49" s="196">
        <f>SUMIF('Monthly CF'!$C$5:$DR$5,G$3,'Monthly CF'!$C$60:$DR$60)</f>
        <v>0</v>
      </c>
      <c r="H49" s="196">
        <f>SUMIF('Monthly CF'!$C$5:$DR$5,H$3,'Monthly CF'!$C$60:$DR$60)</f>
        <v>0</v>
      </c>
      <c r="I49" s="196">
        <f>SUMIF('Monthly CF'!$C$5:$DR$5,I$3,'Monthly CF'!$C$60:$DR$60)</f>
        <v>0</v>
      </c>
      <c r="J49" s="196">
        <f>SUMIF('Monthly CF'!$C$5:$DR$5,J$3,'Monthly CF'!$C$60:$DR$60)</f>
        <v>0</v>
      </c>
      <c r="K49" s="196">
        <f>SUMIF('Monthly CF'!$C$5:$DR$5,K$3,'Monthly CF'!$C$60:$DR$60)</f>
        <v>0</v>
      </c>
      <c r="L49" s="196">
        <f>SUMIF('Monthly CF'!$C$5:$DR$5,L$3,'Monthly CF'!$C$60:$DR$60)</f>
        <v>0</v>
      </c>
    </row>
    <row r="50" ht="15.75" customHeight="1">
      <c r="A50" s="54"/>
      <c r="B50" s="104" t="s">
        <v>325</v>
      </c>
      <c r="C50" s="196">
        <f>SUMIF('Monthly CF'!$C$5:$DR$5,C$3,'Monthly CF'!$C$61:$DR$61)</f>
        <v>0</v>
      </c>
      <c r="D50" s="196">
        <f>SUMIF('Monthly CF'!$C$5:$DR$5,D$3,'Monthly CF'!$C$61:$DR$61)</f>
        <v>0</v>
      </c>
      <c r="E50" s="196">
        <f>SUMIF('Monthly CF'!$C$5:$DR$5,E$3,'Monthly CF'!$C$61:$DR$61)</f>
        <v>0</v>
      </c>
      <c r="F50" s="196">
        <f>SUMIF('Monthly CF'!$C$5:$DR$5,F$3,'Monthly CF'!$C$61:$DR$61)</f>
        <v>0</v>
      </c>
      <c r="G50" s="196">
        <f>SUMIF('Monthly CF'!$C$5:$DR$5,G$3,'Monthly CF'!$C$61:$DR$61)</f>
        <v>0</v>
      </c>
      <c r="H50" s="196">
        <f>SUMIF('Monthly CF'!$C$5:$DR$5,H$3,'Monthly CF'!$C$61:$DR$61)</f>
        <v>0</v>
      </c>
      <c r="I50" s="196">
        <f>SUMIF('Monthly CF'!$C$5:$DR$5,I$3,'Monthly CF'!$C$61:$DR$61)</f>
        <v>0</v>
      </c>
      <c r="J50" s="196">
        <f>SUMIF('Monthly CF'!$C$5:$DR$5,J$3,'Monthly CF'!$C$61:$DR$61)</f>
        <v>0</v>
      </c>
      <c r="K50" s="196">
        <f>SUMIF('Monthly CF'!$C$5:$DR$5,K$3,'Monthly CF'!$C$61:$DR$61)</f>
        <v>0</v>
      </c>
      <c r="L50" s="196">
        <f>SUMIF('Monthly CF'!$C$5:$DR$5,L$3,'Monthly CF'!$C$61:$DR$61)</f>
        <v>0</v>
      </c>
    </row>
    <row r="51" ht="15.75" customHeight="1">
      <c r="A51" s="54"/>
      <c r="B51" s="104" t="s">
        <v>326</v>
      </c>
      <c r="C51" s="196">
        <f>SUMIF('Monthly CF'!$C$5:$DR$5,C$3,'Monthly CF'!$C$62:$DR$62)</f>
        <v>0</v>
      </c>
      <c r="D51" s="196">
        <f>SUMIF('Monthly CF'!$C$5:$DR$5,D$3,'Monthly CF'!$C$62:$DR$62)</f>
        <v>0</v>
      </c>
      <c r="E51" s="196">
        <f>SUMIF('Monthly CF'!$C$5:$DR$5,E$3,'Monthly CF'!$C$62:$DR$62)</f>
        <v>0</v>
      </c>
      <c r="F51" s="196">
        <f>SUMIF('Monthly CF'!$C$5:$DR$5,F$3,'Monthly CF'!$C$62:$DR$62)</f>
        <v>0</v>
      </c>
      <c r="G51" s="196">
        <f>SUMIF('Monthly CF'!$C$5:$DR$5,G$3,'Monthly CF'!$C$62:$DR$62)</f>
        <v>0</v>
      </c>
      <c r="H51" s="196">
        <f>SUMIF('Monthly CF'!$C$5:$DR$5,H$3,'Monthly CF'!$C$62:$DR$62)</f>
        <v>0</v>
      </c>
      <c r="I51" s="196">
        <f>SUMIF('Monthly CF'!$C$5:$DR$5,I$3,'Monthly CF'!$C$62:$DR$62)</f>
        <v>0</v>
      </c>
      <c r="J51" s="196">
        <f>SUMIF('Monthly CF'!$C$5:$DR$5,J$3,'Monthly CF'!$C$62:$DR$62)</f>
        <v>0</v>
      </c>
      <c r="K51" s="196">
        <f>SUMIF('Monthly CF'!$C$5:$DR$5,K$3,'Monthly CF'!$C$62:$DR$62)</f>
        <v>0</v>
      </c>
      <c r="L51" s="196">
        <f>SUMIF('Monthly CF'!$C$5:$DR$5,L$3,'Monthly CF'!$C$62:$DR$62)</f>
        <v>0</v>
      </c>
    </row>
    <row r="52" ht="15.75" customHeight="1">
      <c r="A52" s="54"/>
      <c r="B52" s="104" t="s">
        <v>327</v>
      </c>
      <c r="C52" s="196">
        <f>SUMIF('Monthly CF'!$C$5:$DR$5,C$3,'Monthly CF'!$C$63:$DR$63)</f>
        <v>0</v>
      </c>
      <c r="D52" s="196">
        <f>SUMIF('Monthly CF'!$C$5:$DR$5,D$3,'Monthly CF'!$C$63:$DR$63)</f>
        <v>0</v>
      </c>
      <c r="E52" s="196">
        <f>SUMIF('Monthly CF'!$C$5:$DR$5,E$3,'Monthly CF'!$C$63:$DR$63)</f>
        <v>0</v>
      </c>
      <c r="F52" s="196">
        <f>SUMIF('Monthly CF'!$C$5:$DR$5,F$3,'Monthly CF'!$C$63:$DR$63)</f>
        <v>0</v>
      </c>
      <c r="G52" s="196">
        <f>SUMIF('Monthly CF'!$C$5:$DR$5,G$3,'Monthly CF'!$C$63:$DR$63)</f>
        <v>0</v>
      </c>
      <c r="H52" s="196">
        <f>SUMIF('Monthly CF'!$C$5:$DR$5,H$3,'Monthly CF'!$C$63:$DR$63)</f>
        <v>0</v>
      </c>
      <c r="I52" s="196">
        <f>SUMIF('Monthly CF'!$C$5:$DR$5,I$3,'Monthly CF'!$C$63:$DR$63)</f>
        <v>0</v>
      </c>
      <c r="J52" s="196">
        <f>SUMIF('Monthly CF'!$C$5:$DR$5,J$3,'Monthly CF'!$C$63:$DR$63)</f>
        <v>0</v>
      </c>
      <c r="K52" s="196">
        <f>SUMIF('Monthly CF'!$C$5:$DR$5,K$3,'Monthly CF'!$C$63:$DR$63)</f>
        <v>0</v>
      </c>
      <c r="L52" s="196">
        <f>SUMIF('Monthly CF'!$C$5:$DR$5,L$3,'Monthly CF'!$C$63:$DR$63)</f>
        <v>0</v>
      </c>
    </row>
    <row r="53" ht="15.75" customHeight="1">
      <c r="A53" s="54"/>
      <c r="B53" s="127" t="s">
        <v>328</v>
      </c>
      <c r="C53" s="197">
        <f t="array" ref="C53">INDEX('Monthly CF'!$C$64:$DR$64,MATCH(C$3*12,'Monthly CF'!$C$3:$DR$3,0))</f>
        <v>0</v>
      </c>
      <c r="D53" s="197">
        <f t="array" ref="D53">INDEX('Monthly CF'!$C$64:$DR$64,MATCH(D$3*12,'Monthly CF'!$C$3:$DR$3,0))</f>
        <v>0</v>
      </c>
      <c r="E53" s="197">
        <f t="array" ref="E53">INDEX('Monthly CF'!$C$64:$DR$64,MATCH(E$3*12,'Monthly CF'!$C$3:$DR$3,0))</f>
        <v>0</v>
      </c>
      <c r="F53" s="197">
        <f t="array" ref="F53">INDEX('Monthly CF'!$C$64:$DR$64,MATCH(F$3*12,'Monthly CF'!$C$3:$DR$3,0))</f>
        <v>0</v>
      </c>
      <c r="G53" s="197">
        <f t="array" ref="G53">INDEX('Monthly CF'!$C$64:$DR$64,MATCH(G$3*12,'Monthly CF'!$C$3:$DR$3,0))</f>
        <v>0</v>
      </c>
      <c r="H53" s="197">
        <f t="array" ref="H53">INDEX('Monthly CF'!$C$64:$DR$64,MATCH(H$3*12,'Monthly CF'!$C$3:$DR$3,0))</f>
        <v>0</v>
      </c>
      <c r="I53" s="197">
        <f t="array" ref="I53">INDEX('Monthly CF'!$C$64:$DR$64,MATCH(I$3*12,'Monthly CF'!$C$3:$DR$3,0))</f>
        <v>0</v>
      </c>
      <c r="J53" s="197">
        <f t="array" ref="J53">INDEX('Monthly CF'!$C$64:$DR$64,MATCH(J$3*12,'Monthly CF'!$C$3:$DR$3,0))</f>
        <v>0</v>
      </c>
      <c r="K53" s="197">
        <f t="array" ref="K53">INDEX('Monthly CF'!$C$64:$DR$64,MATCH(K$3*12,'Monthly CF'!$C$3:$DR$3,0))</f>
        <v>0</v>
      </c>
      <c r="L53" s="197">
        <f t="array" ref="L53">INDEX('Monthly CF'!$C$64:$DR$64,MATCH(L$3*12,'Monthly CF'!$C$3:$DR$3,0))</f>
        <v>0</v>
      </c>
    </row>
    <row r="54" ht="15.75" customHeight="1">
      <c r="A54" s="54"/>
      <c r="B54" s="104" t="s">
        <v>329</v>
      </c>
      <c r="C54" s="198">
        <f>SUMIF('Monthly CF'!$C$5:$DR$5,C$3,'Monthly CF'!$C$65:$DR$65)</f>
        <v>0</v>
      </c>
      <c r="D54" s="198">
        <f>SUMIF('Monthly CF'!$C$5:$DR$5,D$3,'Monthly CF'!$C$65:$DR$65)</f>
        <v>0</v>
      </c>
      <c r="E54" s="198">
        <f>SUMIF('Monthly CF'!$C$5:$DR$5,E$3,'Monthly CF'!$C$65:$DR$65)</f>
        <v>0</v>
      </c>
      <c r="F54" s="198">
        <f>SUMIF('Monthly CF'!$C$5:$DR$5,F$3,'Monthly CF'!$C$65:$DR$65)</f>
        <v>0</v>
      </c>
      <c r="G54" s="198">
        <f>SUMIF('Monthly CF'!$C$5:$DR$5,G$3,'Monthly CF'!$C$65:$DR$65)</f>
        <v>0</v>
      </c>
      <c r="H54" s="198">
        <f>SUMIF('Monthly CF'!$C$5:$DR$5,H$3,'Monthly CF'!$C$65:$DR$65)</f>
        <v>0</v>
      </c>
      <c r="I54" s="198">
        <f>SUMIF('Monthly CF'!$C$5:$DR$5,I$3,'Monthly CF'!$C$65:$DR$65)</f>
        <v>0</v>
      </c>
      <c r="J54" s="198">
        <f>SUMIF('Monthly CF'!$C$5:$DR$5,J$3,'Monthly CF'!$C$65:$DR$65)</f>
        <v>0</v>
      </c>
      <c r="K54" s="198">
        <f>SUMIF('Monthly CF'!$C$5:$DR$5,K$3,'Monthly CF'!$C$65:$DR$65)</f>
        <v>0</v>
      </c>
      <c r="L54" s="198">
        <f>SUMIF('Monthly CF'!$C$5:$DR$5,L$3,'Monthly CF'!$C$65:$DR$65)</f>
        <v>0</v>
      </c>
    </row>
    <row r="55" ht="15.75" customHeight="1">
      <c r="A55" s="54"/>
      <c r="B55" s="54"/>
      <c r="C55" s="194"/>
      <c r="D55" s="194"/>
      <c r="E55" s="194"/>
      <c r="F55" s="194"/>
      <c r="G55" s="194"/>
      <c r="H55" s="194"/>
      <c r="I55" s="194"/>
      <c r="J55" s="194"/>
      <c r="K55" s="194"/>
      <c r="L55" s="194"/>
    </row>
    <row r="56" ht="15.75" customHeight="1">
      <c r="A56" s="54"/>
      <c r="B56" s="130" t="s">
        <v>330</v>
      </c>
      <c r="C56" s="213"/>
      <c r="D56" s="213"/>
      <c r="E56" s="213"/>
      <c r="F56" s="213"/>
      <c r="G56" s="213"/>
      <c r="H56" s="213"/>
      <c r="I56" s="213"/>
      <c r="J56" s="213"/>
      <c r="K56" s="213"/>
      <c r="L56" s="195"/>
    </row>
    <row r="57" ht="15.75" customHeight="1">
      <c r="A57" s="54"/>
      <c r="B57" s="104" t="s">
        <v>323</v>
      </c>
      <c r="C57" s="196">
        <f t="array" ref="C57">INDEX('Monthly CF'!$C$68:$DR$68,MATCH((C$3-1)*12+1,'Monthly CF'!$C$3:$DR$3,0))</f>
        <v>0</v>
      </c>
      <c r="D57" s="196">
        <f t="array" ref="D57">INDEX('Monthly CF'!$C$68:$DR$68,MATCH((D$3-1)*12+1,'Monthly CF'!$C$3:$DR$3,0))</f>
        <v>735854.0653</v>
      </c>
      <c r="E57" s="196">
        <f t="array" ref="E57">INDEX('Monthly CF'!$C$68:$DR$68,MATCH((E$3-1)*12+1,'Monthly CF'!$C$3:$DR$3,0))</f>
        <v>719666.031</v>
      </c>
      <c r="F57" s="196">
        <f t="array" ref="F57">INDEX('Monthly CF'!$C$68:$DR$68,MATCH((F$3-1)*12+1,'Monthly CF'!$C$3:$DR$3,0))</f>
        <v>702649.7862</v>
      </c>
      <c r="G57" s="196">
        <f t="array" ref="G57">INDEX('Monthly CF'!$C$68:$DR$68,MATCH((G$3-1)*12+1,'Monthly CF'!$C$3:$DR$3,0))</f>
        <v>684762.958</v>
      </c>
      <c r="H57" s="196">
        <f t="array" ref="H57">INDEX('Monthly CF'!$C$68:$DR$68,MATCH((H$3-1)*12+1,'Monthly CF'!$C$3:$DR$3,0))</f>
        <v>0</v>
      </c>
      <c r="I57" s="196">
        <f t="array" ref="I57">INDEX('Monthly CF'!$C$68:$DR$68,MATCH((I$3-1)*12+1,'Monthly CF'!$C$3:$DR$3,0))</f>
        <v>0</v>
      </c>
      <c r="J57" s="196">
        <f t="array" ref="J57">INDEX('Monthly CF'!$C$68:$DR$68,MATCH((J$3-1)*12+1,'Monthly CF'!$C$3:$DR$3,0))</f>
        <v>0</v>
      </c>
      <c r="K57" s="196">
        <f t="array" ref="K57">INDEX('Monthly CF'!$C$68:$DR$68,MATCH((K$3-1)*12+1,'Monthly CF'!$C$3:$DR$3,0))</f>
        <v>0</v>
      </c>
      <c r="L57" s="196">
        <f t="array" ref="L57">INDEX('Monthly CF'!$C$68:$DR$68,MATCH((L$3-1)*12+1,'Monthly CF'!$C$3:$DR$3,0))</f>
        <v>0</v>
      </c>
    </row>
    <row r="58" ht="15.75" customHeight="1">
      <c r="A58" s="54"/>
      <c r="B58" s="104" t="s">
        <v>324</v>
      </c>
      <c r="C58" s="196">
        <f>SUMIF('Monthly CF'!$C$5:$DR$5,C$3,'Monthly CF'!$C$69:$DR$69)</f>
        <v>750000</v>
      </c>
      <c r="D58" s="196">
        <f>SUMIF('Monthly CF'!$C$5:$DR$5,D$3,'Monthly CF'!$C$69:$DR$69)</f>
        <v>0</v>
      </c>
      <c r="E58" s="196">
        <f>SUMIF('Monthly CF'!$C$5:$DR$5,E$3,'Monthly CF'!$C$69:$DR$69)</f>
        <v>0</v>
      </c>
      <c r="F58" s="196">
        <f>SUMIF('Monthly CF'!$C$5:$DR$5,F$3,'Monthly CF'!$C$69:$DR$69)</f>
        <v>0</v>
      </c>
      <c r="G58" s="196">
        <f>SUMIF('Monthly CF'!$C$5:$DR$5,G$3,'Monthly CF'!$C$69:$DR$69)</f>
        <v>0</v>
      </c>
      <c r="H58" s="196">
        <f>SUMIF('Monthly CF'!$C$5:$DR$5,H$3,'Monthly CF'!$C$69:$DR$69)</f>
        <v>0</v>
      </c>
      <c r="I58" s="196">
        <f>SUMIF('Monthly CF'!$C$5:$DR$5,I$3,'Monthly CF'!$C$69:$DR$69)</f>
        <v>0</v>
      </c>
      <c r="J58" s="196">
        <f>SUMIF('Monthly CF'!$C$5:$DR$5,J$3,'Monthly CF'!$C$69:$DR$69)</f>
        <v>0</v>
      </c>
      <c r="K58" s="196">
        <f>SUMIF('Monthly CF'!$C$5:$DR$5,K$3,'Monthly CF'!$C$69:$DR$69)</f>
        <v>0</v>
      </c>
      <c r="L58" s="196">
        <f>SUMIF('Monthly CF'!$C$5:$DR$5,L$3,'Monthly CF'!$C$69:$DR$69)</f>
        <v>0</v>
      </c>
    </row>
    <row r="59" ht="15.75" customHeight="1">
      <c r="A59" s="54"/>
      <c r="B59" s="104" t="s">
        <v>325</v>
      </c>
      <c r="C59" s="196">
        <f>SUMIF('Monthly CF'!$C$5:$DR$5,C$3,'Monthly CF'!$C$70:$DR$70)</f>
        <v>-34082.74373</v>
      </c>
      <c r="D59" s="196">
        <f>SUMIF('Monthly CF'!$C$5:$DR$5,D$3,'Monthly CF'!$C$70:$DR$70)</f>
        <v>-36425.06947</v>
      </c>
      <c r="E59" s="196">
        <f>SUMIF('Monthly CF'!$C$5:$DR$5,E$3,'Monthly CF'!$C$70:$DR$70)</f>
        <v>-35596.85891</v>
      </c>
      <c r="F59" s="196">
        <f>SUMIF('Monthly CF'!$C$5:$DR$5,F$3,'Monthly CF'!$C$70:$DR$70)</f>
        <v>-34726.27553</v>
      </c>
      <c r="G59" s="196">
        <f>SUMIF('Monthly CF'!$C$5:$DR$5,G$3,'Monthly CF'!$C$70:$DR$70)</f>
        <v>-33811.15146</v>
      </c>
      <c r="H59" s="196">
        <f>SUMIF('Monthly CF'!$C$5:$DR$5,H$3,'Monthly CF'!$C$70:$DR$70)</f>
        <v>0</v>
      </c>
      <c r="I59" s="196">
        <f>SUMIF('Monthly CF'!$C$5:$DR$5,I$3,'Monthly CF'!$C$70:$DR$70)</f>
        <v>0</v>
      </c>
      <c r="J59" s="196">
        <f>SUMIF('Monthly CF'!$C$5:$DR$5,J$3,'Monthly CF'!$C$70:$DR$70)</f>
        <v>0</v>
      </c>
      <c r="K59" s="196">
        <f>SUMIF('Monthly CF'!$C$5:$DR$5,K$3,'Monthly CF'!$C$70:$DR$70)</f>
        <v>0</v>
      </c>
      <c r="L59" s="196">
        <f>SUMIF('Monthly CF'!$C$5:$DR$5,L$3,'Monthly CF'!$C$70:$DR$70)</f>
        <v>0</v>
      </c>
    </row>
    <row r="60" ht="15.75" customHeight="1">
      <c r="A60" s="54"/>
      <c r="B60" s="104" t="s">
        <v>326</v>
      </c>
      <c r="C60" s="196">
        <f>SUMIF('Monthly CF'!$C$5:$DR$5,C$3,'Monthly CF'!$C$71:$DR$71)</f>
        <v>14145.93469</v>
      </c>
      <c r="D60" s="196">
        <f>SUMIF('Monthly CF'!$C$5:$DR$5,D$3,'Monthly CF'!$C$71:$DR$71)</f>
        <v>16188.03427</v>
      </c>
      <c r="E60" s="196">
        <f>SUMIF('Monthly CF'!$C$5:$DR$5,E$3,'Monthly CF'!$C$71:$DR$71)</f>
        <v>17016.24482</v>
      </c>
      <c r="F60" s="196">
        <f>SUMIF('Monthly CF'!$C$5:$DR$5,F$3,'Monthly CF'!$C$71:$DR$71)</f>
        <v>17886.8282</v>
      </c>
      <c r="G60" s="196">
        <f>SUMIF('Monthly CF'!$C$5:$DR$5,G$3,'Monthly CF'!$C$71:$DR$71)</f>
        <v>18801.95228</v>
      </c>
      <c r="H60" s="196">
        <f>SUMIF('Monthly CF'!$C$5:$DR$5,H$3,'Monthly CF'!$C$71:$DR$71)</f>
        <v>0</v>
      </c>
      <c r="I60" s="196">
        <f>SUMIF('Monthly CF'!$C$5:$DR$5,I$3,'Monthly CF'!$C$71:$DR$71)</f>
        <v>0</v>
      </c>
      <c r="J60" s="196">
        <f>SUMIF('Monthly CF'!$C$5:$DR$5,J$3,'Monthly CF'!$C$71:$DR$71)</f>
        <v>0</v>
      </c>
      <c r="K60" s="196">
        <f>SUMIF('Monthly CF'!$C$5:$DR$5,K$3,'Monthly CF'!$C$71:$DR$71)</f>
        <v>0</v>
      </c>
      <c r="L60" s="196">
        <f>SUMIF('Monthly CF'!$C$5:$DR$5,L$3,'Monthly CF'!$C$71:$DR$71)</f>
        <v>0</v>
      </c>
    </row>
    <row r="61" ht="15.75" customHeight="1">
      <c r="A61" s="54"/>
      <c r="B61" s="104" t="s">
        <v>331</v>
      </c>
      <c r="C61" s="196">
        <f>SUMIF('Monthly CF'!$C$5:$DR$5,C$3,'Monthly CF'!$C$72:$DR$72)</f>
        <v>0</v>
      </c>
      <c r="D61" s="196">
        <f>SUMIF('Monthly CF'!$C$5:$DR$5,D$3,'Monthly CF'!$C$72:$DR$72)</f>
        <v>0</v>
      </c>
      <c r="E61" s="196">
        <f>SUMIF('Monthly CF'!$C$5:$DR$5,E$3,'Monthly CF'!$C$72:$DR$72)</f>
        <v>0</v>
      </c>
      <c r="F61" s="196">
        <f>SUMIF('Monthly CF'!$C$5:$DR$5,F$3,'Monthly CF'!$C$72:$DR$72)</f>
        <v>0</v>
      </c>
      <c r="G61" s="196">
        <f>SUMIF('Monthly CF'!$C$5:$DR$5,G$3,'Monthly CF'!$C$72:$DR$72)</f>
        <v>-665961.0057</v>
      </c>
      <c r="H61" s="196">
        <f>SUMIF('Monthly CF'!$C$5:$DR$5,H$3,'Monthly CF'!$C$72:$DR$72)</f>
        <v>0</v>
      </c>
      <c r="I61" s="196">
        <f>SUMIF('Monthly CF'!$C$5:$DR$5,I$3,'Monthly CF'!$C$72:$DR$72)</f>
        <v>0</v>
      </c>
      <c r="J61" s="196">
        <f>SUMIF('Monthly CF'!$C$5:$DR$5,J$3,'Monthly CF'!$C$72:$DR$72)</f>
        <v>0</v>
      </c>
      <c r="K61" s="196">
        <f>SUMIF('Monthly CF'!$C$5:$DR$5,K$3,'Monthly CF'!$C$72:$DR$72)</f>
        <v>0</v>
      </c>
      <c r="L61" s="196">
        <f>SUMIF('Monthly CF'!$C$5:$DR$5,L$3,'Monthly CF'!$C$72:$DR$72)</f>
        <v>0</v>
      </c>
    </row>
    <row r="62" ht="15.75" customHeight="1">
      <c r="A62" s="54"/>
      <c r="B62" s="127" t="s">
        <v>328</v>
      </c>
      <c r="C62" s="197">
        <f t="array" ref="C62">INDEX('Monthly CF'!$C$73:$DR$73,MATCH(C$3*12,'Monthly CF'!$C$3:$DR$3,0))</f>
        <v>735854.0653</v>
      </c>
      <c r="D62" s="197">
        <f t="array" ref="D62">INDEX('Monthly CF'!$C$73:$DR$73,MATCH(D$3*12,'Monthly CF'!$C$3:$DR$3,0))</f>
        <v>719666.031</v>
      </c>
      <c r="E62" s="197">
        <f t="array" ref="E62">INDEX('Monthly CF'!$C$73:$DR$73,MATCH(E$3*12,'Monthly CF'!$C$3:$DR$3,0))</f>
        <v>702649.7862</v>
      </c>
      <c r="F62" s="197">
        <f t="array" ref="F62">INDEX('Monthly CF'!$C$73:$DR$73,MATCH(F$3*12,'Monthly CF'!$C$3:$DR$3,0))</f>
        <v>684762.958</v>
      </c>
      <c r="G62" s="197">
        <f t="array" ref="G62">INDEX('Monthly CF'!$C$73:$DR$73,MATCH(G$3*12,'Monthly CF'!$C$3:$DR$3,0))</f>
        <v>0</v>
      </c>
      <c r="H62" s="197">
        <f t="array" ref="H62">INDEX('Monthly CF'!$C$73:$DR$73,MATCH(H$3*12,'Monthly CF'!$C$3:$DR$3,0))</f>
        <v>0</v>
      </c>
      <c r="I62" s="197">
        <f t="array" ref="I62">INDEX('Monthly CF'!$C$73:$DR$73,MATCH(I$3*12,'Monthly CF'!$C$3:$DR$3,0))</f>
        <v>0</v>
      </c>
      <c r="J62" s="197">
        <f t="array" ref="J62">INDEX('Monthly CF'!$C$73:$DR$73,MATCH(J$3*12,'Monthly CF'!$C$3:$DR$3,0))</f>
        <v>0</v>
      </c>
      <c r="K62" s="197">
        <f t="array" ref="K62">INDEX('Monthly CF'!$C$73:$DR$73,MATCH(K$3*12,'Monthly CF'!$C$3:$DR$3,0))</f>
        <v>0</v>
      </c>
      <c r="L62" s="197">
        <f t="array" ref="L62">INDEX('Monthly CF'!$C$73:$DR$73,MATCH(L$3*12,'Monthly CF'!$C$3:$DR$3,0))</f>
        <v>0</v>
      </c>
    </row>
    <row r="63" ht="15.75" customHeight="1">
      <c r="A63" s="54"/>
      <c r="B63" s="104" t="s">
        <v>332</v>
      </c>
      <c r="C63" s="198">
        <f>SUMIF('Monthly CF'!$C$5:$DR$5,C$3,'Monthly CF'!$C$74:$DR$74)</f>
        <v>-48228.67842</v>
      </c>
      <c r="D63" s="198">
        <f>SUMIF('Monthly CF'!$C$5:$DR$5,D$3,'Monthly CF'!$C$74:$DR$74)</f>
        <v>-52613.10374</v>
      </c>
      <c r="E63" s="198">
        <f>SUMIF('Monthly CF'!$C$5:$DR$5,E$3,'Monthly CF'!$C$74:$DR$74)</f>
        <v>-52613.10374</v>
      </c>
      <c r="F63" s="198">
        <f>SUMIF('Monthly CF'!$C$5:$DR$5,F$3,'Monthly CF'!$C$74:$DR$74)</f>
        <v>-52613.10374</v>
      </c>
      <c r="G63" s="198">
        <f>SUMIF('Monthly CF'!$C$5:$DR$5,G$3,'Monthly CF'!$C$74:$DR$74)</f>
        <v>-718574.1095</v>
      </c>
      <c r="H63" s="198">
        <f>SUMIF('Monthly CF'!$C$5:$DR$5,H$3,'Monthly CF'!$C$74:$DR$74)</f>
        <v>0</v>
      </c>
      <c r="I63" s="198">
        <f>SUMIF('Monthly CF'!$C$5:$DR$5,I$3,'Monthly CF'!$C$74:$DR$74)</f>
        <v>0</v>
      </c>
      <c r="J63" s="198">
        <f>SUMIF('Monthly CF'!$C$5:$DR$5,J$3,'Monthly CF'!$C$74:$DR$74)</f>
        <v>0</v>
      </c>
      <c r="K63" s="198">
        <f>SUMIF('Monthly CF'!$C$5:$DR$5,K$3,'Monthly CF'!$C$74:$DR$74)</f>
        <v>0</v>
      </c>
      <c r="L63" s="198">
        <f>SUMIF('Monthly CF'!$C$5:$DR$5,L$3,'Monthly CF'!$C$74:$DR$74)</f>
        <v>0</v>
      </c>
    </row>
    <row r="64" ht="15.75" customHeight="1">
      <c r="A64" s="54"/>
      <c r="B64" s="54"/>
      <c r="C64" s="194"/>
      <c r="D64" s="194"/>
      <c r="E64" s="194"/>
      <c r="F64" s="194"/>
      <c r="G64" s="194"/>
      <c r="H64" s="194"/>
      <c r="I64" s="194"/>
      <c r="J64" s="194"/>
      <c r="K64" s="194"/>
      <c r="L64" s="194"/>
    </row>
    <row r="65" ht="15.75" customHeight="1">
      <c r="A65" s="54"/>
      <c r="B65" s="130" t="s">
        <v>333</v>
      </c>
      <c r="C65" s="213"/>
      <c r="D65" s="213"/>
      <c r="E65" s="213"/>
      <c r="F65" s="213"/>
      <c r="G65" s="213"/>
      <c r="H65" s="213"/>
      <c r="I65" s="213"/>
      <c r="J65" s="213"/>
      <c r="K65" s="213"/>
      <c r="L65" s="195"/>
    </row>
    <row r="66" ht="15.75" customHeight="1">
      <c r="A66" s="54"/>
      <c r="B66" s="104" t="s">
        <v>323</v>
      </c>
      <c r="C66" s="196">
        <f t="array" ref="C66">INDEX('Monthly CF'!$C$77:$DR$77,MATCH((C$3-1)*12+1,'Monthly CF'!$C$3:$DR$3,0))</f>
        <v>0</v>
      </c>
      <c r="D66" s="196">
        <f t="array" ref="D66">INDEX('Monthly CF'!$C$77:$DR$77,MATCH((D$3-1)*12+1,'Monthly CF'!$C$3:$DR$3,0))</f>
        <v>0</v>
      </c>
      <c r="E66" s="196">
        <f t="array" ref="E66">INDEX('Monthly CF'!$C$77:$DR$77,MATCH((E$3-1)*12+1,'Monthly CF'!$C$3:$DR$3,0))</f>
        <v>0</v>
      </c>
      <c r="F66" s="196">
        <f t="array" ref="F66">INDEX('Monthly CF'!$C$77:$DR$77,MATCH((F$3-1)*12+1,'Monthly CF'!$C$3:$DR$3,0))</f>
        <v>0</v>
      </c>
      <c r="G66" s="196">
        <f t="array" ref="G66">INDEX('Monthly CF'!$C$77:$DR$77,MATCH((G$3-1)*12+1,'Monthly CF'!$C$3:$DR$3,0))</f>
        <v>0</v>
      </c>
      <c r="H66" s="196">
        <f t="array" ref="H66">INDEX('Monthly CF'!$C$77:$DR$77,MATCH((H$3-1)*12+1,'Monthly CF'!$C$3:$DR$3,0))</f>
        <v>0</v>
      </c>
      <c r="I66" s="196">
        <f t="array" ref="I66">INDEX('Monthly CF'!$C$77:$DR$77,MATCH((I$3-1)*12+1,'Monthly CF'!$C$3:$DR$3,0))</f>
        <v>0</v>
      </c>
      <c r="J66" s="196">
        <f t="array" ref="J66">INDEX('Monthly CF'!$C$77:$DR$77,MATCH((J$3-1)*12+1,'Monthly CF'!$C$3:$DR$3,0))</f>
        <v>0</v>
      </c>
      <c r="K66" s="196">
        <f t="array" ref="K66">INDEX('Monthly CF'!$C$77:$DR$77,MATCH((K$3-1)*12+1,'Monthly CF'!$C$3:$DR$3,0))</f>
        <v>0</v>
      </c>
      <c r="L66" s="196">
        <f t="array" ref="L66">INDEX('Monthly CF'!$C$77:$DR$77,MATCH((L$3-1)*12+1,'Monthly CF'!$C$3:$DR$3,0))</f>
        <v>0</v>
      </c>
    </row>
    <row r="67" ht="15.75" customHeight="1">
      <c r="A67" s="54"/>
      <c r="B67" s="104" t="s">
        <v>324</v>
      </c>
      <c r="C67" s="196">
        <f>SUMIF('Monthly CF'!$C$5:$DR$5,C$3,'Monthly CF'!$C$78:$DR$78)</f>
        <v>0</v>
      </c>
      <c r="D67" s="196">
        <f>SUMIF('Monthly CF'!$C$5:$DR$5,D$3,'Monthly CF'!$C$78:$DR$78)</f>
        <v>0</v>
      </c>
      <c r="E67" s="196">
        <f>SUMIF('Monthly CF'!$C$5:$DR$5,E$3,'Monthly CF'!$C$78:$DR$78)</f>
        <v>0</v>
      </c>
      <c r="F67" s="196">
        <f>SUMIF('Monthly CF'!$C$5:$DR$5,F$3,'Monthly CF'!$C$78:$DR$78)</f>
        <v>0</v>
      </c>
      <c r="G67" s="196">
        <f>SUMIF('Monthly CF'!$C$5:$DR$5,G$3,'Monthly CF'!$C$78:$DR$78)</f>
        <v>0</v>
      </c>
      <c r="H67" s="196">
        <f>SUMIF('Monthly CF'!$C$5:$DR$5,H$3,'Monthly CF'!$C$78:$DR$78)</f>
        <v>0</v>
      </c>
      <c r="I67" s="196">
        <f>SUMIF('Monthly CF'!$C$5:$DR$5,I$3,'Monthly CF'!$C$78:$DR$78)</f>
        <v>0</v>
      </c>
      <c r="J67" s="196">
        <f>SUMIF('Monthly CF'!$C$5:$DR$5,J$3,'Monthly CF'!$C$78:$DR$78)</f>
        <v>0</v>
      </c>
      <c r="K67" s="196">
        <f>SUMIF('Monthly CF'!$C$5:$DR$5,K$3,'Monthly CF'!$C$78:$DR$78)</f>
        <v>0</v>
      </c>
      <c r="L67" s="196">
        <f>SUMIF('Monthly CF'!$C$5:$DR$5,L$3,'Monthly CF'!$C$78:$DR$78)</f>
        <v>0</v>
      </c>
    </row>
    <row r="68" ht="15.75" customHeight="1">
      <c r="A68" s="54"/>
      <c r="B68" s="104" t="s">
        <v>325</v>
      </c>
      <c r="C68" s="196">
        <f>SUMIF('Monthly CF'!$C$5:$DR$5,C$3,'Monthly CF'!$C$79:$DR$79)</f>
        <v>0</v>
      </c>
      <c r="D68" s="196">
        <f>SUMIF('Monthly CF'!$C$5:$DR$5,D$3,'Monthly CF'!$C$79:$DR$79)</f>
        <v>0</v>
      </c>
      <c r="E68" s="196">
        <f>SUMIF('Monthly CF'!$C$5:$DR$5,E$3,'Monthly CF'!$C$79:$DR$79)</f>
        <v>0</v>
      </c>
      <c r="F68" s="196">
        <f>SUMIF('Monthly CF'!$C$5:$DR$5,F$3,'Monthly CF'!$C$79:$DR$79)</f>
        <v>0</v>
      </c>
      <c r="G68" s="196">
        <f>SUMIF('Monthly CF'!$C$5:$DR$5,G$3,'Monthly CF'!$C$79:$DR$79)</f>
        <v>0</v>
      </c>
      <c r="H68" s="196">
        <f>SUMIF('Monthly CF'!$C$5:$DR$5,H$3,'Monthly CF'!$C$79:$DR$79)</f>
        <v>0</v>
      </c>
      <c r="I68" s="196">
        <f>SUMIF('Monthly CF'!$C$5:$DR$5,I$3,'Monthly CF'!$C$79:$DR$79)</f>
        <v>0</v>
      </c>
      <c r="J68" s="196">
        <f>SUMIF('Monthly CF'!$C$5:$DR$5,J$3,'Monthly CF'!$C$79:$DR$79)</f>
        <v>0</v>
      </c>
      <c r="K68" s="196">
        <f>SUMIF('Monthly CF'!$C$5:$DR$5,K$3,'Monthly CF'!$C$79:$DR$79)</f>
        <v>0</v>
      </c>
      <c r="L68" s="196">
        <f>SUMIF('Monthly CF'!$C$5:$DR$5,L$3,'Monthly CF'!$C$79:$DR$79)</f>
        <v>0</v>
      </c>
    </row>
    <row r="69" ht="15.75" customHeight="1">
      <c r="A69" s="54"/>
      <c r="B69" s="104" t="s">
        <v>326</v>
      </c>
      <c r="C69" s="196">
        <f>SUMIF('Monthly CF'!$C$5:$DR$5,C$3,'Monthly CF'!$C$80:$DR$80)</f>
        <v>0</v>
      </c>
      <c r="D69" s="196">
        <f>SUMIF('Monthly CF'!$C$5:$DR$5,D$3,'Monthly CF'!$C$80:$DR$80)</f>
        <v>0</v>
      </c>
      <c r="E69" s="196">
        <f>SUMIF('Monthly CF'!$C$5:$DR$5,E$3,'Monthly CF'!$C$80:$DR$80)</f>
        <v>0</v>
      </c>
      <c r="F69" s="196">
        <f>SUMIF('Monthly CF'!$C$5:$DR$5,F$3,'Monthly CF'!$C$80:$DR$80)</f>
        <v>0</v>
      </c>
      <c r="G69" s="196">
        <f>SUMIF('Monthly CF'!$C$5:$DR$5,G$3,'Monthly CF'!$C$80:$DR$80)</f>
        <v>0</v>
      </c>
      <c r="H69" s="196">
        <f>SUMIF('Monthly CF'!$C$5:$DR$5,H$3,'Monthly CF'!$C$80:$DR$80)</f>
        <v>0</v>
      </c>
      <c r="I69" s="196">
        <f>SUMIF('Monthly CF'!$C$5:$DR$5,I$3,'Monthly CF'!$C$80:$DR$80)</f>
        <v>0</v>
      </c>
      <c r="J69" s="196">
        <f>SUMIF('Monthly CF'!$C$5:$DR$5,J$3,'Monthly CF'!$C$80:$DR$80)</f>
        <v>0</v>
      </c>
      <c r="K69" s="196">
        <f>SUMIF('Monthly CF'!$C$5:$DR$5,K$3,'Monthly CF'!$C$80:$DR$80)</f>
        <v>0</v>
      </c>
      <c r="L69" s="196">
        <f>SUMIF('Monthly CF'!$C$5:$DR$5,L$3,'Monthly CF'!$C$80:$DR$80)</f>
        <v>0</v>
      </c>
    </row>
    <row r="70" ht="15.75" customHeight="1">
      <c r="A70" s="54"/>
      <c r="B70" s="61" t="s">
        <v>327</v>
      </c>
      <c r="C70" s="214">
        <f>SUMIF('Monthly CF'!$C$5:$DR$5,C$3,'Monthly CF'!$C$81:$DR$81)</f>
        <v>0</v>
      </c>
      <c r="D70" s="214">
        <f>SUMIF('Monthly CF'!$C$5:$DR$5,D$3,'Monthly CF'!$C$81:$DR$81)</f>
        <v>0</v>
      </c>
      <c r="E70" s="214">
        <f>SUMIF('Monthly CF'!$C$5:$DR$5,E$3,'Monthly CF'!$C$81:$DR$81)</f>
        <v>0</v>
      </c>
      <c r="F70" s="214">
        <f>SUMIF('Monthly CF'!$C$5:$DR$5,F$3,'Monthly CF'!$C$81:$DR$81)</f>
        <v>0</v>
      </c>
      <c r="G70" s="214">
        <f>SUMIF('Monthly CF'!$C$5:$DR$5,G$3,'Monthly CF'!$C$81:$DR$81)</f>
        <v>0</v>
      </c>
      <c r="H70" s="214">
        <f>SUMIF('Monthly CF'!$C$5:$DR$5,H$3,'Monthly CF'!$C$81:$DR$81)</f>
        <v>0</v>
      </c>
      <c r="I70" s="214">
        <f>SUMIF('Monthly CF'!$C$5:$DR$5,I$3,'Monthly CF'!$C$81:$DR$81)</f>
        <v>0</v>
      </c>
      <c r="J70" s="214">
        <f>SUMIF('Monthly CF'!$C$5:$DR$5,J$3,'Monthly CF'!$C$81:$DR$81)</f>
        <v>0</v>
      </c>
      <c r="K70" s="214">
        <f>SUMIF('Monthly CF'!$C$5:$DR$5,K$3,'Monthly CF'!$C$81:$DR$81)</f>
        <v>0</v>
      </c>
      <c r="L70" s="214">
        <f>SUMIF('Monthly CF'!$C$5:$DR$5,L$3,'Monthly CF'!$C$81:$DR$81)</f>
        <v>0</v>
      </c>
    </row>
    <row r="71" ht="15.75" customHeight="1">
      <c r="A71" s="54"/>
      <c r="B71" s="108" t="s">
        <v>328</v>
      </c>
      <c r="C71" s="215">
        <f t="array" ref="C71">INDEX('Monthly CF'!$C$82:$DR$82,MATCH(C$3*12,'Monthly CF'!$C$3:$DR$3,0))</f>
        <v>0</v>
      </c>
      <c r="D71" s="215">
        <f t="array" ref="D71">INDEX('Monthly CF'!$C$82:$DR$82,MATCH(D$3*12,'Monthly CF'!$C$3:$DR$3,0))</f>
        <v>0</v>
      </c>
      <c r="E71" s="215">
        <f t="array" ref="E71">INDEX('Monthly CF'!$C$82:$DR$82,MATCH(E$3*12,'Monthly CF'!$C$3:$DR$3,0))</f>
        <v>0</v>
      </c>
      <c r="F71" s="215">
        <f t="array" ref="F71">INDEX('Monthly CF'!$C$82:$DR$82,MATCH(F$3*12,'Monthly CF'!$C$3:$DR$3,0))</f>
        <v>0</v>
      </c>
      <c r="G71" s="215">
        <f t="array" ref="G71">INDEX('Monthly CF'!$C$82:$DR$82,MATCH(G$3*12,'Monthly CF'!$C$3:$DR$3,0))</f>
        <v>0</v>
      </c>
      <c r="H71" s="215">
        <f t="array" ref="H71">INDEX('Monthly CF'!$C$82:$DR$82,MATCH(H$3*12,'Monthly CF'!$C$3:$DR$3,0))</f>
        <v>0</v>
      </c>
      <c r="I71" s="215">
        <f t="array" ref="I71">INDEX('Monthly CF'!$C$82:$DR$82,MATCH(I$3*12,'Monthly CF'!$C$3:$DR$3,0))</f>
        <v>0</v>
      </c>
      <c r="J71" s="215">
        <f t="array" ref="J71">INDEX('Monthly CF'!$C$82:$DR$82,MATCH(J$3*12,'Monthly CF'!$C$3:$DR$3,0))</f>
        <v>0</v>
      </c>
      <c r="K71" s="215">
        <f t="array" ref="K71">INDEX('Monthly CF'!$C$82:$DR$82,MATCH(K$3*12,'Monthly CF'!$C$3:$DR$3,0))</f>
        <v>0</v>
      </c>
      <c r="L71" s="215">
        <f t="array" ref="L71">INDEX('Monthly CF'!$C$82:$DR$82,MATCH(L$3*12,'Monthly CF'!$C$3:$DR$3,0))</f>
        <v>0</v>
      </c>
    </row>
    <row r="72" ht="15.75" customHeight="1">
      <c r="A72" s="54"/>
      <c r="B72" s="61" t="s">
        <v>334</v>
      </c>
      <c r="C72" s="216">
        <f>SUMIF('Monthly CF'!$C$5:$DR$5,C$3,'Monthly CF'!$C$83:$DR$83)</f>
        <v>0</v>
      </c>
      <c r="D72" s="216">
        <f>SUMIF('Monthly CF'!$C$5:$DR$5,D$3,'Monthly CF'!$C$83:$DR$83)</f>
        <v>0</v>
      </c>
      <c r="E72" s="216">
        <f>SUMIF('Monthly CF'!$C$5:$DR$5,E$3,'Monthly CF'!$C$83:$DR$83)</f>
        <v>0</v>
      </c>
      <c r="F72" s="216">
        <f>SUMIF('Monthly CF'!$C$5:$DR$5,F$3,'Monthly CF'!$C$83:$DR$83)</f>
        <v>0</v>
      </c>
      <c r="G72" s="216">
        <f>SUMIF('Monthly CF'!$C$5:$DR$5,G$3,'Monthly CF'!$C$83:$DR$83)</f>
        <v>0</v>
      </c>
      <c r="H72" s="216">
        <f>SUMIF('Monthly CF'!$C$5:$DR$5,H$3,'Monthly CF'!$C$83:$DR$83)</f>
        <v>0</v>
      </c>
      <c r="I72" s="216">
        <f>SUMIF('Monthly CF'!$C$5:$DR$5,I$3,'Monthly CF'!$C$83:$DR$83)</f>
        <v>0</v>
      </c>
      <c r="J72" s="216">
        <f>SUMIF('Monthly CF'!$C$5:$DR$5,J$3,'Monthly CF'!$C$83:$DR$83)</f>
        <v>0</v>
      </c>
      <c r="K72" s="216">
        <f>SUMIF('Monthly CF'!$C$5:$DR$5,K$3,'Monthly CF'!$C$83:$DR$83)</f>
        <v>0</v>
      </c>
      <c r="L72" s="216">
        <f>SUMIF('Monthly CF'!$C$5:$DR$5,L$3,'Monthly CF'!$C$83:$DR$83)</f>
        <v>0</v>
      </c>
    </row>
    <row r="73" ht="15.75" customHeight="1">
      <c r="A73" s="54"/>
      <c r="B73" s="56"/>
      <c r="C73" s="217"/>
      <c r="D73" s="217"/>
      <c r="E73" s="217"/>
      <c r="F73" s="217"/>
      <c r="G73" s="217"/>
      <c r="H73" s="217"/>
      <c r="I73" s="217"/>
      <c r="J73" s="217"/>
      <c r="K73" s="217"/>
      <c r="L73" s="217"/>
    </row>
    <row r="74" ht="15.75" customHeight="1">
      <c r="A74" s="54"/>
      <c r="B74" s="61" t="s">
        <v>174</v>
      </c>
      <c r="C74" s="214">
        <f>SUMIF('Monthly CF'!$C$5:$DR$5,C$3,'Monthly CF'!$C$85:$DR$85)</f>
        <v>-745000</v>
      </c>
      <c r="D74" s="214">
        <f>SUMIF('Monthly CF'!$C$5:$DR$5,D$3,'Monthly CF'!$C$85:$DR$85)</f>
        <v>0</v>
      </c>
      <c r="E74" s="214">
        <f>SUMIF('Monthly CF'!$C$5:$DR$5,E$3,'Monthly CF'!$C$85:$DR$85)</f>
        <v>0</v>
      </c>
      <c r="F74" s="214">
        <f>SUMIF('Monthly CF'!$C$5:$DR$5,F$3,'Monthly CF'!$C$85:$DR$85)</f>
        <v>0</v>
      </c>
      <c r="G74" s="214">
        <f>SUMIF('Monthly CF'!$C$5:$DR$5,G$3,'Monthly CF'!$C$85:$DR$85)</f>
        <v>0</v>
      </c>
      <c r="H74" s="214">
        <f>SUMIF('Monthly CF'!$C$5:$DR$5,H$3,'Monthly CF'!$C$85:$DR$85)</f>
        <v>0</v>
      </c>
      <c r="I74" s="214">
        <f>SUMIF('Monthly CF'!$C$5:$DR$5,I$3,'Monthly CF'!$C$85:$DR$85)</f>
        <v>0</v>
      </c>
      <c r="J74" s="214">
        <f>SUMIF('Monthly CF'!$C$5:$DR$5,J$3,'Monthly CF'!$C$85:$DR$85)</f>
        <v>0</v>
      </c>
      <c r="K74" s="214">
        <f>SUMIF('Monthly CF'!$C$5:$DR$5,K$3,'Monthly CF'!$C$85:$DR$85)</f>
        <v>0</v>
      </c>
      <c r="L74" s="214">
        <f>SUMIF('Monthly CF'!$C$5:$DR$5,L$3,'Monthly CF'!$C$85:$DR$85)</f>
        <v>0</v>
      </c>
    </row>
    <row r="75" ht="15.75" customHeight="1">
      <c r="A75" s="54"/>
      <c r="B75" s="61" t="s">
        <v>336</v>
      </c>
      <c r="C75" s="214">
        <f>SUMIF('Monthly CF'!$C$5:$DR$5,C$3,'Monthly CF'!$C$86:$DR$86)</f>
        <v>0</v>
      </c>
      <c r="D75" s="214">
        <f>SUMIF('Monthly CF'!$C$5:$DR$5,D$3,'Monthly CF'!$C$86:$DR$86)</f>
        <v>0</v>
      </c>
      <c r="E75" s="214">
        <f>SUMIF('Monthly CF'!$C$5:$DR$5,E$3,'Monthly CF'!$C$86:$DR$86)</f>
        <v>0</v>
      </c>
      <c r="F75" s="214">
        <f>SUMIF('Monthly CF'!$C$5:$DR$5,F$3,'Monthly CF'!$C$86:$DR$86)</f>
        <v>0</v>
      </c>
      <c r="G75" s="214">
        <f>SUMIF('Monthly CF'!$C$5:$DR$5,G$3,'Monthly CF'!$C$86:$DR$86)</f>
        <v>0</v>
      </c>
      <c r="H75" s="214">
        <f>SUMIF('Monthly CF'!$C$5:$DR$5,H$3,'Monthly CF'!$C$86:$DR$86)</f>
        <v>0</v>
      </c>
      <c r="I75" s="214">
        <f>SUMIF('Monthly CF'!$C$5:$DR$5,I$3,'Monthly CF'!$C$86:$DR$86)</f>
        <v>0</v>
      </c>
      <c r="J75" s="214">
        <f>SUMIF('Monthly CF'!$C$5:$DR$5,J$3,'Monthly CF'!$C$86:$DR$86)</f>
        <v>0</v>
      </c>
      <c r="K75" s="214">
        <f>SUMIF('Monthly CF'!$C$5:$DR$5,K$3,'Monthly CF'!$C$86:$DR$86)</f>
        <v>0</v>
      </c>
      <c r="L75" s="214">
        <f>SUMIF('Monthly CF'!$C$5:$DR$5,L$3,'Monthly CF'!$C$86:$DR$86)</f>
        <v>0</v>
      </c>
    </row>
    <row r="76" ht="15.75" customHeight="1">
      <c r="A76" s="54"/>
      <c r="B76" s="61" t="s">
        <v>337</v>
      </c>
      <c r="C76" s="214">
        <f>SUMIF('Monthly CF'!$C$5:$DR$5,C$3,'Monthly CF'!$C$87:$DR$87)</f>
        <v>750000</v>
      </c>
      <c r="D76" s="214">
        <f>SUMIF('Monthly CF'!$C$5:$DR$5,D$3,'Monthly CF'!$C$87:$DR$87)</f>
        <v>0</v>
      </c>
      <c r="E76" s="214">
        <f>SUMIF('Monthly CF'!$C$5:$DR$5,E$3,'Monthly CF'!$C$87:$DR$87)</f>
        <v>0</v>
      </c>
      <c r="F76" s="214">
        <f>SUMIF('Monthly CF'!$C$5:$DR$5,F$3,'Monthly CF'!$C$87:$DR$87)</f>
        <v>0</v>
      </c>
      <c r="G76" s="214">
        <f>SUMIF('Monthly CF'!$C$5:$DR$5,G$3,'Monthly CF'!$C$87:$DR$87)</f>
        <v>0</v>
      </c>
      <c r="H76" s="214">
        <f>SUMIF('Monthly CF'!$C$5:$DR$5,H$3,'Monthly CF'!$C$87:$DR$87)</f>
        <v>0</v>
      </c>
      <c r="I76" s="214">
        <f>SUMIF('Monthly CF'!$C$5:$DR$5,I$3,'Monthly CF'!$C$87:$DR$87)</f>
        <v>0</v>
      </c>
      <c r="J76" s="214">
        <f>SUMIF('Monthly CF'!$C$5:$DR$5,J$3,'Monthly CF'!$C$87:$DR$87)</f>
        <v>0</v>
      </c>
      <c r="K76" s="214">
        <f>SUMIF('Monthly CF'!$C$5:$DR$5,K$3,'Monthly CF'!$C$87:$DR$87)</f>
        <v>0</v>
      </c>
      <c r="L76" s="214">
        <f>SUMIF('Monthly CF'!$C$5:$DR$5,L$3,'Monthly CF'!$C$87:$DR$87)</f>
        <v>0</v>
      </c>
    </row>
    <row r="77" ht="15.75" customHeight="1">
      <c r="A77" s="54"/>
      <c r="B77" s="161" t="s">
        <v>338</v>
      </c>
      <c r="C77" s="218">
        <f>SUMIF('Monthly CF'!$C$5:$DR$5,C$3,'Monthly CF'!$C$89:$DR$89)</f>
        <v>-48228.67842</v>
      </c>
      <c r="D77" s="218">
        <f>SUMIF('Monthly CF'!$C$5:$DR$5,D$3,'Monthly CF'!$C$89:$DR$89)</f>
        <v>-52613.10374</v>
      </c>
      <c r="E77" s="218">
        <f>SUMIF('Monthly CF'!$C$5:$DR$5,E$3,'Monthly CF'!$C$89:$DR$89)</f>
        <v>-52613.10374</v>
      </c>
      <c r="F77" s="218">
        <f>SUMIF('Monthly CF'!$C$5:$DR$5,F$3,'Monthly CF'!$C$89:$DR$89)</f>
        <v>-52613.10374</v>
      </c>
      <c r="G77" s="218">
        <f>SUMIF('Monthly CF'!$C$5:$DR$5,G$3,'Monthly CF'!$C$89:$DR$89)</f>
        <v>-718574.1095</v>
      </c>
      <c r="H77" s="218">
        <f>SUMIF('Monthly CF'!$C$5:$DR$5,H$3,'Monthly CF'!$C$89:$DR$89)</f>
        <v>0</v>
      </c>
      <c r="I77" s="218">
        <f>SUMIF('Monthly CF'!$C$5:$DR$5,I$3,'Monthly CF'!$C$89:$DR$89)</f>
        <v>0</v>
      </c>
      <c r="J77" s="218">
        <f>SUMIF('Monthly CF'!$C$5:$DR$5,J$3,'Monthly CF'!$C$89:$DR$89)</f>
        <v>0</v>
      </c>
      <c r="K77" s="218">
        <f>SUMIF('Monthly CF'!$C$5:$DR$5,K$3,'Monthly CF'!$C$89:$DR$89)</f>
        <v>0</v>
      </c>
      <c r="L77" s="218">
        <f>SUMIF('Monthly CF'!$C$5:$DR$5,L$3,'Monthly CF'!$C$89:$DR$89)</f>
        <v>0</v>
      </c>
    </row>
    <row r="78" ht="15.75" customHeight="1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</row>
    <row r="79" ht="19.5" customHeight="1">
      <c r="A79" s="54"/>
      <c r="B79" s="164" t="s">
        <v>339</v>
      </c>
      <c r="C79" s="165">
        <f>SUMIF('Monthly CF'!$C$5:$DR$5,C$3,'Monthly CF'!$C$91:$DR$91)</f>
        <v>-48228.67842</v>
      </c>
      <c r="D79" s="165">
        <f>SUMIF('Monthly CF'!$C$5:$DR$5,D$3,'Monthly CF'!$C$91:$DR$91)</f>
        <v>-52613.10374</v>
      </c>
      <c r="E79" s="165">
        <f>SUMIF('Monthly CF'!$C$5:$DR$5,E$3,'Monthly CF'!$C$91:$DR$91)</f>
        <v>-52613.10374</v>
      </c>
      <c r="F79" s="165">
        <f>SUMIF('Monthly CF'!$C$5:$DR$5,F$3,'Monthly CF'!$C$91:$DR$91)</f>
        <v>-52613.10374</v>
      </c>
      <c r="G79" s="165">
        <f>SUMIF('Monthly CF'!$C$5:$DR$5,G$3,'Monthly CF'!$C$91:$DR$91)</f>
        <v>-718574.1095</v>
      </c>
      <c r="H79" s="165">
        <f>SUMIF('Monthly CF'!$C$5:$DR$5,H$3,'Monthly CF'!$C$91:$DR$91)</f>
        <v>0</v>
      </c>
      <c r="I79" s="165">
        <f>SUMIF('Monthly CF'!$C$5:$DR$5,I$3,'Monthly CF'!$C$91:$DR$91)</f>
        <v>0</v>
      </c>
      <c r="J79" s="165">
        <f>SUMIF('Monthly CF'!$C$5:$DR$5,J$3,'Monthly CF'!$C$91:$DR$91)</f>
        <v>0</v>
      </c>
      <c r="K79" s="165">
        <f>SUMIF('Monthly CF'!$C$5:$DR$5,K$3,'Monthly CF'!$C$91:$DR$91)</f>
        <v>0</v>
      </c>
      <c r="L79" s="165">
        <f>SUMIF('Monthly CF'!$C$5:$DR$5,L$3,'Monthly CF'!$C$91:$DR$91)</f>
        <v>0</v>
      </c>
    </row>
    <row r="80" ht="19.5" customHeight="1">
      <c r="A80" s="54"/>
      <c r="B80" s="219" t="s">
        <v>340</v>
      </c>
      <c r="C80" s="220">
        <f t="shared" ref="C80:L80" si="1">SUM($C$79:C79)</f>
        <v>-48228.67842</v>
      </c>
      <c r="D80" s="220">
        <f t="shared" si="1"/>
        <v>-100841.7822</v>
      </c>
      <c r="E80" s="220">
        <f t="shared" si="1"/>
        <v>-153454.8859</v>
      </c>
      <c r="F80" s="220">
        <f t="shared" si="1"/>
        <v>-206067.9896</v>
      </c>
      <c r="G80" s="220">
        <f t="shared" si="1"/>
        <v>-924642.0991</v>
      </c>
      <c r="H80" s="220">
        <f t="shared" si="1"/>
        <v>-924642.0991</v>
      </c>
      <c r="I80" s="220">
        <f t="shared" si="1"/>
        <v>-924642.0991</v>
      </c>
      <c r="J80" s="220">
        <f t="shared" si="1"/>
        <v>-924642.0991</v>
      </c>
      <c r="K80" s="220">
        <f t="shared" si="1"/>
        <v>-924642.0991</v>
      </c>
      <c r="L80" s="220">
        <f t="shared" si="1"/>
        <v>-924642.0991</v>
      </c>
    </row>
    <row r="81" ht="15.75" customHeight="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</row>
    <row r="82" ht="15.75" customHeight="1">
      <c r="A82" s="54"/>
      <c r="B82" s="56" t="s">
        <v>358</v>
      </c>
      <c r="C82" s="153">
        <f>SUMIF('Monthly CF'!$C$5:$DR$5,C$3,'Monthly CF'!$C$95:$DR$95)</f>
        <v>0</v>
      </c>
      <c r="D82" s="153">
        <f>SUMIF('Monthly CF'!$C$5:$DR$5,D$3,'Monthly CF'!$C$95:$DR$95)</f>
        <v>0</v>
      </c>
      <c r="E82" s="153">
        <f>SUMIF('Monthly CF'!$C$5:$DR$5,E$3,'Monthly CF'!$C$95:$DR$95)</f>
        <v>0</v>
      </c>
      <c r="F82" s="153">
        <f>SUMIF('Monthly CF'!$C$5:$DR$5,F$3,'Monthly CF'!$C$95:$DR$95)</f>
        <v>0</v>
      </c>
      <c r="G82" s="153">
        <f>SUMIF('Monthly CF'!$C$5:$DR$5,G$3,'Monthly CF'!$C$95:$DR$95)</f>
        <v>0</v>
      </c>
      <c r="H82" s="153">
        <f>SUMIF('Monthly CF'!$C$5:$DR$5,H$3,'Monthly CF'!$C$95:$DR$95)</f>
        <v>0</v>
      </c>
      <c r="I82" s="153">
        <f>SUMIF('Monthly CF'!$C$5:$DR$5,I$3,'Monthly CF'!$C$95:$DR$95)</f>
        <v>0</v>
      </c>
      <c r="J82" s="153">
        <f>SUMIF('Monthly CF'!$C$5:$DR$5,J$3,'Monthly CF'!$C$95:$DR$95)</f>
        <v>0</v>
      </c>
      <c r="K82" s="153">
        <f>SUMIF('Monthly CF'!$C$5:$DR$5,K$3,'Monthly CF'!$C$95:$DR$95)</f>
        <v>0</v>
      </c>
      <c r="L82" s="153">
        <f>SUMIF('Monthly CF'!$C$5:$DR$5,L$3,'Monthly CF'!$C$95:$DR$95)</f>
        <v>0</v>
      </c>
    </row>
    <row r="83" ht="15.75" customHeight="1">
      <c r="A83" s="54"/>
      <c r="B83" s="108" t="s">
        <v>343</v>
      </c>
      <c r="C83" s="175">
        <f>SUMIF('Monthly CF'!$C$5:$DR$5,C$3,'Monthly CF'!$C$96:$DR$96)</f>
        <v>0</v>
      </c>
      <c r="D83" s="175">
        <f>SUMIF('Monthly CF'!$C$5:$DR$5,D$3,'Monthly CF'!$C$96:$DR$96)</f>
        <v>0</v>
      </c>
      <c r="E83" s="175">
        <f>SUMIF('Monthly CF'!$C$5:$DR$5,E$3,'Monthly CF'!$C$96:$DR$96)</f>
        <v>0</v>
      </c>
      <c r="F83" s="175">
        <f>SUMIF('Monthly CF'!$C$5:$DR$5,F$3,'Monthly CF'!$C$96:$DR$96)</f>
        <v>0</v>
      </c>
      <c r="G83" s="175">
        <f>SUMIF('Monthly CF'!$C$5:$DR$5,G$3,'Monthly CF'!$C$96:$DR$96)</f>
        <v>0</v>
      </c>
      <c r="H83" s="175">
        <f>SUMIF('Monthly CF'!$C$5:$DR$5,H$3,'Monthly CF'!$C$96:$DR$96)</f>
        <v>0</v>
      </c>
      <c r="I83" s="175">
        <f>SUMIF('Monthly CF'!$C$5:$DR$5,I$3,'Monthly CF'!$C$96:$DR$96)</f>
        <v>0</v>
      </c>
      <c r="J83" s="175">
        <f>SUMIF('Monthly CF'!$C$5:$DR$5,J$3,'Monthly CF'!$C$96:$DR$96)</f>
        <v>0</v>
      </c>
      <c r="K83" s="175">
        <f>SUMIF('Monthly CF'!$C$5:$DR$5,K$3,'Monthly CF'!$C$96:$DR$96)</f>
        <v>0</v>
      </c>
      <c r="L83" s="175">
        <f>SUMIF('Monthly CF'!$C$5:$DR$5,L$3,'Monthly CF'!$C$96:$DR$96)</f>
        <v>0</v>
      </c>
    </row>
    <row r="84" ht="15.75" customHeight="1">
      <c r="A84" s="54"/>
      <c r="B84" s="56" t="str">
        <f>"  Capital Partner ("&amp;TEXT(Inputs!C107,"0.0%")&amp;")"</f>
        <v>  Capital Partner (-11.4%)</v>
      </c>
      <c r="C84" s="153">
        <f>SUMIF('Monthly CF'!$C$5:$DR$5,C$3,'Monthly CF'!$C$97:$DR$97)</f>
        <v>0</v>
      </c>
      <c r="D84" s="153">
        <f>SUMIF('Monthly CF'!$C$5:$DR$5,D$3,'Monthly CF'!$C$97:$DR$97)</f>
        <v>0</v>
      </c>
      <c r="E84" s="153">
        <f>SUMIF('Monthly CF'!$C$5:$DR$5,E$3,'Monthly CF'!$C$97:$DR$97)</f>
        <v>0</v>
      </c>
      <c r="F84" s="153">
        <f>SUMIF('Monthly CF'!$C$5:$DR$5,F$3,'Monthly CF'!$C$97:$DR$97)</f>
        <v>0</v>
      </c>
      <c r="G84" s="153">
        <f>SUMIF('Monthly CF'!$C$5:$DR$5,G$3,'Monthly CF'!$C$97:$DR$97)</f>
        <v>0</v>
      </c>
      <c r="H84" s="153">
        <f>SUMIF('Monthly CF'!$C$5:$DR$5,H$3,'Monthly CF'!$C$97:$DR$97)</f>
        <v>0</v>
      </c>
      <c r="I84" s="153">
        <f>SUMIF('Monthly CF'!$C$5:$DR$5,I$3,'Monthly CF'!$C$97:$DR$97)</f>
        <v>0</v>
      </c>
      <c r="J84" s="153">
        <f>SUMIF('Monthly CF'!$C$5:$DR$5,J$3,'Monthly CF'!$C$97:$DR$97)</f>
        <v>0</v>
      </c>
      <c r="K84" s="153">
        <f>SUMIF('Monthly CF'!$C$5:$DR$5,K$3,'Monthly CF'!$C$97:$DR$97)</f>
        <v>0</v>
      </c>
      <c r="L84" s="153">
        <f>SUMIF('Monthly CF'!$C$5:$DR$5,L$3,'Monthly CF'!$C$97:$DR$97)</f>
        <v>0</v>
      </c>
    </row>
    <row r="85" ht="15.75" customHeight="1">
      <c r="A85" s="54"/>
      <c r="B85" s="221" t="s">
        <v>344</v>
      </c>
      <c r="C85" s="222">
        <f>SUMIF('Monthly CF'!$C$5:$DR$5,C$3,'Monthly CF'!$C$98:$DR$98)</f>
        <v>0</v>
      </c>
      <c r="D85" s="222">
        <f>SUMIF('Monthly CF'!$C$5:$DR$5,D$3,'Monthly CF'!$C$98:$DR$98)</f>
        <v>0</v>
      </c>
      <c r="E85" s="222">
        <f>SUMIF('Monthly CF'!$C$5:$DR$5,E$3,'Monthly CF'!$C$98:$DR$98)</f>
        <v>0</v>
      </c>
      <c r="F85" s="222">
        <f>SUMIF('Monthly CF'!$C$5:$DR$5,F$3,'Monthly CF'!$C$98:$DR$98)</f>
        <v>0</v>
      </c>
      <c r="G85" s="222">
        <f>SUMIF('Monthly CF'!$C$5:$DR$5,G$3,'Monthly CF'!$C$98:$DR$98)</f>
        <v>0</v>
      </c>
      <c r="H85" s="222">
        <f>SUMIF('Monthly CF'!$C$5:$DR$5,H$3,'Monthly CF'!$C$98:$DR$98)</f>
        <v>0</v>
      </c>
      <c r="I85" s="222">
        <f>SUMIF('Monthly CF'!$C$5:$DR$5,I$3,'Monthly CF'!$C$98:$DR$98)</f>
        <v>0</v>
      </c>
      <c r="J85" s="222">
        <f>SUMIF('Monthly CF'!$C$5:$DR$5,J$3,'Monthly CF'!$C$98:$DR$98)</f>
        <v>0</v>
      </c>
      <c r="K85" s="222">
        <f>SUMIF('Monthly CF'!$C$5:$DR$5,K$3,'Monthly CF'!$C$98:$DR$98)</f>
        <v>0</v>
      </c>
      <c r="L85" s="222">
        <f>SUMIF('Monthly CF'!$C$5:$DR$5,L$3,'Monthly CF'!$C$98:$DR$98)</f>
        <v>85000</v>
      </c>
    </row>
    <row r="86" ht="15.75" customHeight="1">
      <c r="A86" s="54"/>
      <c r="B86" s="56" t="str">
        <f>"  Manager ("&amp;TEXT(Inputs!C108,"0.0%")&amp;")"</f>
        <v>  Manager (111.4%)</v>
      </c>
      <c r="C86" s="153">
        <f>SUMIF('Monthly CF'!$C$5:$DR$5,C$3,'Monthly CF'!$C$99:$DR$99)</f>
        <v>0</v>
      </c>
      <c r="D86" s="153">
        <f>SUMIF('Monthly CF'!$C$5:$DR$5,D$3,'Monthly CF'!$C$99:$DR$99)</f>
        <v>0</v>
      </c>
      <c r="E86" s="153">
        <f>SUMIF('Monthly CF'!$C$5:$DR$5,E$3,'Monthly CF'!$C$99:$DR$99)</f>
        <v>0</v>
      </c>
      <c r="F86" s="153">
        <f>SUMIF('Monthly CF'!$C$5:$DR$5,F$3,'Monthly CF'!$C$99:$DR$99)</f>
        <v>0</v>
      </c>
      <c r="G86" s="153">
        <f>SUMIF('Monthly CF'!$C$5:$DR$5,G$3,'Monthly CF'!$C$99:$DR$99)</f>
        <v>0</v>
      </c>
      <c r="H86" s="153">
        <f>SUMIF('Monthly CF'!$C$5:$DR$5,H$3,'Monthly CF'!$C$99:$DR$99)</f>
        <v>0</v>
      </c>
      <c r="I86" s="153">
        <f>SUMIF('Monthly CF'!$C$5:$DR$5,I$3,'Monthly CF'!$C$99:$DR$99)</f>
        <v>0</v>
      </c>
      <c r="J86" s="153">
        <f>SUMIF('Monthly CF'!$C$5:$DR$5,J$3,'Monthly CF'!$C$99:$DR$99)</f>
        <v>0</v>
      </c>
      <c r="K86" s="153">
        <f>SUMIF('Monthly CF'!$C$5:$DR$5,K$3,'Monthly CF'!$C$99:$DR$99)</f>
        <v>0</v>
      </c>
      <c r="L86" s="153">
        <f>SUMIF('Monthly CF'!$C$5:$DR$5,L$3,'Monthly CF'!$C$99:$DR$99)</f>
        <v>0</v>
      </c>
    </row>
    <row r="87" ht="15.75" customHeight="1">
      <c r="A87" s="54"/>
      <c r="B87" s="161" t="s">
        <v>345</v>
      </c>
      <c r="C87" s="163">
        <f>SUMIF('Monthly CF'!$C$5:$DR$5,C$3,'Monthly CF'!$C$100:$DR$100)</f>
        <v>0</v>
      </c>
      <c r="D87" s="163">
        <f>SUMIF('Monthly CF'!$C$5:$DR$5,D$3,'Monthly CF'!$C$100:$DR$100)</f>
        <v>0</v>
      </c>
      <c r="E87" s="163">
        <f>SUMIF('Monthly CF'!$C$5:$DR$5,E$3,'Monthly CF'!$C$100:$DR$100)</f>
        <v>0</v>
      </c>
      <c r="F87" s="163">
        <f>SUMIF('Monthly CF'!$C$5:$DR$5,F$3,'Monthly CF'!$C$100:$DR$100)</f>
        <v>0</v>
      </c>
      <c r="G87" s="163">
        <f>SUMIF('Monthly CF'!$C$5:$DR$5,G$3,'Monthly CF'!$C$100:$DR$100)</f>
        <v>0</v>
      </c>
      <c r="H87" s="163">
        <f>SUMIF('Monthly CF'!$C$5:$DR$5,H$3,'Monthly CF'!$C$100:$DR$100)</f>
        <v>0</v>
      </c>
      <c r="I87" s="163">
        <f>SUMIF('Monthly CF'!$C$5:$DR$5,I$3,'Monthly CF'!$C$100:$DR$100)</f>
        <v>0</v>
      </c>
      <c r="J87" s="163">
        <f>SUMIF('Monthly CF'!$C$5:$DR$5,J$3,'Monthly CF'!$C$100:$DR$100)</f>
        <v>0</v>
      </c>
      <c r="K87" s="163">
        <f>SUMIF('Monthly CF'!$C$5:$DR$5,K$3,'Monthly CF'!$C$100:$DR$100)</f>
        <v>0</v>
      </c>
      <c r="L87" s="163">
        <f>SUMIF('Monthly CF'!$C$5:$DR$5,L$3,'Monthly CF'!$C$100:$DR$100)</f>
        <v>85000</v>
      </c>
    </row>
    <row r="88" ht="15.75" customHeight="1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</row>
    <row r="89" ht="15.75" customHeight="1">
      <c r="A89" s="54"/>
      <c r="B89" s="56" t="s">
        <v>355</v>
      </c>
      <c r="C89" s="223">
        <f t="array" ref="C89">IF(ABS(SUMPRODUCT(('Monthly CF'!$C$5:$DR$5=1)*'Monthly CF'!$C$89:$DR$89))=0,"-",SUMPRODUCT(('Monthly CF'!$C$5:$DR$5=1)*'Monthly CF'!$C$37:$DR$37)/ABS(SUMPRODUCT(('Monthly CF'!$C$5:$DR$5=1)*'Monthly CF'!$C$89:$DR$89)))</f>
        <v>0</v>
      </c>
      <c r="D89" s="223">
        <f t="array" ref="D89">IF(ABS(SUMPRODUCT(('Monthly CF'!$C$5:$DR$5=2)*'Monthly CF'!$C$89:$DR$89))=0,"-",SUMPRODUCT(('Monthly CF'!$C$5:$DR$5=2)*'Monthly CF'!$C$37:$DR$37)/ABS(SUMPRODUCT(('Monthly CF'!$C$5:$DR$5=2)*'Monthly CF'!$C$89:$DR$89)))</f>
        <v>0</v>
      </c>
      <c r="E89" s="223">
        <f t="array" ref="E89">IF(ABS(SUMPRODUCT(('Monthly CF'!$C$5:$DR$5=3)*'Monthly CF'!$C$89:$DR$89))=0,"-",SUMPRODUCT(('Monthly CF'!$C$5:$DR$5=3)*'Monthly CF'!$C$37:$DR$37)/ABS(SUMPRODUCT(('Monthly CF'!$C$5:$DR$5=3)*'Monthly CF'!$C$89:$DR$89)))</f>
        <v>0</v>
      </c>
      <c r="F89" s="223">
        <f t="array" ref="F89">IF(ABS(SUMPRODUCT(('Monthly CF'!$C$5:$DR$5=4)*'Monthly CF'!$C$89:$DR$89))=0,"-",SUMPRODUCT(('Monthly CF'!$C$5:$DR$5=4)*'Monthly CF'!$C$37:$DR$37)/ABS(SUMPRODUCT(('Monthly CF'!$C$5:$DR$5=4)*'Monthly CF'!$C$89:$DR$89)))</f>
        <v>0</v>
      </c>
      <c r="G89" s="223">
        <f t="array" ref="G89">IF(ABS(SUMPRODUCT(('Monthly CF'!$C$5:$DR$5=5)*'Monthly CF'!$C$89:$DR$89))=0,"-",SUMPRODUCT(('Monthly CF'!$C$5:$DR$5=5)*'Monthly CF'!$C$37:$DR$37)/ABS(SUMPRODUCT(('Monthly CF'!$C$5:$DR$5=5)*'Monthly CF'!$C$89:$DR$89)))</f>
        <v>0</v>
      </c>
      <c r="H89" s="223" t="str">
        <f t="array" ref="H89">IF(ABS(SUMPRODUCT(('Monthly CF'!$C$5:$DR$5=6)*'Monthly CF'!$C$89:$DR$89))=0,"-",SUMPRODUCT(('Monthly CF'!$C$5:$DR$5=6)*'Monthly CF'!$C$37:$DR$37)/ABS(SUMPRODUCT(('Monthly CF'!$C$5:$DR$5=6)*'Monthly CF'!$C$89:$DR$89)))</f>
        <v>-</v>
      </c>
      <c r="I89" s="223" t="str">
        <f t="array" ref="I89">IF(ABS(SUMPRODUCT(('Monthly CF'!$C$5:$DR$5=7)*'Monthly CF'!$C$89:$DR$89))=0,"-",SUMPRODUCT(('Monthly CF'!$C$5:$DR$5=7)*'Monthly CF'!$C$37:$DR$37)/ABS(SUMPRODUCT(('Monthly CF'!$C$5:$DR$5=7)*'Monthly CF'!$C$89:$DR$89)))</f>
        <v>-</v>
      </c>
      <c r="J89" s="223" t="str">
        <f t="array" ref="J89">IF(ABS(SUMPRODUCT(('Monthly CF'!$C$5:$DR$5=8)*'Monthly CF'!$C$89:$DR$89))=0,"-",SUMPRODUCT(('Monthly CF'!$C$5:$DR$5=8)*'Monthly CF'!$C$37:$DR$37)/ABS(SUMPRODUCT(('Monthly CF'!$C$5:$DR$5=8)*'Monthly CF'!$C$89:$DR$89)))</f>
        <v>-</v>
      </c>
      <c r="K89" s="223" t="str">
        <f t="array" ref="K89">IF(ABS(SUMPRODUCT(('Monthly CF'!$C$5:$DR$5=9)*'Monthly CF'!$C$89:$DR$89))=0,"-",SUMPRODUCT(('Monthly CF'!$C$5:$DR$5=9)*'Monthly CF'!$C$37:$DR$37)/ABS(SUMPRODUCT(('Monthly CF'!$C$5:$DR$5=9)*'Monthly CF'!$C$89:$DR$89)))</f>
        <v>-</v>
      </c>
      <c r="L89" s="223" t="str">
        <f t="array" ref="L89">IF(ABS(SUMPRODUCT(('Monthly CF'!$C$5:$DR$5=10)*'Monthly CF'!$C$89:$DR$89))=0,"-",SUMPRODUCT(('Monthly CF'!$C$5:$DR$5=10)*'Monthly CF'!$C$37:$DR$37)/ABS(SUMPRODUCT(('Monthly CF'!$C$5:$DR$5=10)*'Monthly CF'!$C$89:$DR$89)))</f>
        <v>-</v>
      </c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L1"/>
    <mergeCell ref="A2:L2"/>
    <mergeCell ref="B4:L4"/>
    <mergeCell ref="B16:L16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.57"/>
    <col customWidth="1" min="2" max="2" width="42.86"/>
    <col customWidth="1" min="3" max="3" width="17.14"/>
    <col customWidth="1" min="4" max="13" width="16.14"/>
    <col customWidth="1" min="14" max="14" width="17.14"/>
    <col customWidth="1" min="15" max="26" width="8.71"/>
  </cols>
  <sheetData>
    <row r="1">
      <c r="A1" s="224" t="s">
        <v>359</v>
      </c>
    </row>
    <row r="2">
      <c r="A2" s="225" t="s">
        <v>360</v>
      </c>
    </row>
    <row r="3">
      <c r="A3" s="54"/>
      <c r="B3" s="226"/>
      <c r="C3" s="226" t="s">
        <v>361</v>
      </c>
      <c r="D3" s="226" t="s">
        <v>42</v>
      </c>
      <c r="E3" s="226" t="s">
        <v>43</v>
      </c>
      <c r="F3" s="226" t="s">
        <v>44</v>
      </c>
      <c r="G3" s="226" t="s">
        <v>45</v>
      </c>
      <c r="H3" s="226" t="s">
        <v>46</v>
      </c>
      <c r="I3" s="226" t="s">
        <v>47</v>
      </c>
      <c r="J3" s="226" t="s">
        <v>48</v>
      </c>
      <c r="K3" s="226" t="s">
        <v>49</v>
      </c>
      <c r="L3" s="226" t="s">
        <v>50</v>
      </c>
      <c r="M3" s="226" t="s">
        <v>51</v>
      </c>
      <c r="N3" s="226" t="s">
        <v>362</v>
      </c>
    </row>
    <row r="4">
      <c r="A4" s="54"/>
      <c r="B4" s="5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</row>
    <row r="5">
      <c r="A5" s="54"/>
      <c r="B5" s="182" t="s">
        <v>363</v>
      </c>
      <c r="C5" s="227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9"/>
    </row>
    <row r="6">
      <c r="A6" s="54"/>
      <c r="B6" s="230" t="s">
        <v>364</v>
      </c>
      <c r="C6" s="231">
        <f>-Inputs!C104</f>
        <v>745000</v>
      </c>
      <c r="D6" s="232">
        <v>0.0</v>
      </c>
      <c r="E6" s="232">
        <v>0.0</v>
      </c>
      <c r="F6" s="232">
        <v>0.0</v>
      </c>
      <c r="G6" s="232">
        <v>0.0</v>
      </c>
      <c r="H6" s="232">
        <v>0.0</v>
      </c>
      <c r="I6" s="232">
        <v>0.0</v>
      </c>
      <c r="J6" s="232">
        <v>0.0</v>
      </c>
      <c r="K6" s="232">
        <v>0.0</v>
      </c>
      <c r="L6" s="232">
        <v>0.0</v>
      </c>
      <c r="M6" s="232">
        <v>0.0</v>
      </c>
      <c r="N6" s="232">
        <f t="shared" ref="N6:N9" si="1">SUM(C6:M6)</f>
        <v>745000</v>
      </c>
    </row>
    <row r="7">
      <c r="A7" s="54"/>
      <c r="B7" s="230" t="s">
        <v>365</v>
      </c>
      <c r="C7" s="233">
        <v>0.0</v>
      </c>
      <c r="D7" s="234">
        <f>'Annual CF'!C79</f>
        <v>-48228.67842</v>
      </c>
      <c r="E7" s="234">
        <f>'Annual CF'!D79</f>
        <v>-52613.10374</v>
      </c>
      <c r="F7" s="234">
        <f>'Annual CF'!E79</f>
        <v>-52613.10374</v>
      </c>
      <c r="G7" s="234">
        <f>'Annual CF'!F79</f>
        <v>-52613.10374</v>
      </c>
      <c r="H7" s="234">
        <f>'Annual CF'!G79</f>
        <v>-718574.1095</v>
      </c>
      <c r="I7" s="234">
        <f>'Annual CF'!H79</f>
        <v>0</v>
      </c>
      <c r="J7" s="234">
        <f>'Annual CF'!I79</f>
        <v>0</v>
      </c>
      <c r="K7" s="234">
        <f>'Annual CF'!J79</f>
        <v>0</v>
      </c>
      <c r="L7" s="234">
        <f>'Annual CF'!K79</f>
        <v>0</v>
      </c>
      <c r="M7" s="234">
        <f>'Annual CF'!L79</f>
        <v>0</v>
      </c>
      <c r="N7" s="234">
        <f t="shared" si="1"/>
        <v>-924642.0991</v>
      </c>
    </row>
    <row r="8">
      <c r="A8" s="54"/>
      <c r="B8" s="230" t="s">
        <v>366</v>
      </c>
      <c r="C8" s="233">
        <v>0.0</v>
      </c>
      <c r="D8" s="234">
        <v>0.0</v>
      </c>
      <c r="E8" s="234">
        <v>0.0</v>
      </c>
      <c r="F8" s="234">
        <v>0.0</v>
      </c>
      <c r="G8" s="234">
        <v>0.0</v>
      </c>
      <c r="H8" s="234">
        <v>0.0</v>
      </c>
      <c r="I8" s="234">
        <v>0.0</v>
      </c>
      <c r="J8" s="234">
        <v>0.0</v>
      </c>
      <c r="K8" s="234">
        <v>0.0</v>
      </c>
      <c r="L8" s="234">
        <v>0.0</v>
      </c>
      <c r="M8" s="234">
        <v>0.0</v>
      </c>
      <c r="N8" s="234">
        <f t="shared" si="1"/>
        <v>0</v>
      </c>
    </row>
    <row r="9">
      <c r="A9" s="54"/>
      <c r="B9" s="235" t="s">
        <v>367</v>
      </c>
      <c r="C9" s="236">
        <f t="shared" ref="C9:M9" si="2">C6+C7+C8</f>
        <v>745000</v>
      </c>
      <c r="D9" s="237">
        <f t="shared" si="2"/>
        <v>-48228.67842</v>
      </c>
      <c r="E9" s="237">
        <f t="shared" si="2"/>
        <v>-52613.10374</v>
      </c>
      <c r="F9" s="237">
        <f t="shared" si="2"/>
        <v>-52613.10374</v>
      </c>
      <c r="G9" s="237">
        <f t="shared" si="2"/>
        <v>-52613.10374</v>
      </c>
      <c r="H9" s="237">
        <f t="shared" si="2"/>
        <v>-718574.1095</v>
      </c>
      <c r="I9" s="237">
        <f t="shared" si="2"/>
        <v>0</v>
      </c>
      <c r="J9" s="237">
        <f t="shared" si="2"/>
        <v>0</v>
      </c>
      <c r="K9" s="237">
        <f t="shared" si="2"/>
        <v>0</v>
      </c>
      <c r="L9" s="237">
        <f t="shared" si="2"/>
        <v>0</v>
      </c>
      <c r="M9" s="237">
        <f t="shared" si="2"/>
        <v>0</v>
      </c>
      <c r="N9" s="237">
        <f t="shared" si="1"/>
        <v>-179642.0991</v>
      </c>
    </row>
    <row r="10">
      <c r="A10" s="54"/>
      <c r="B10" s="54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</row>
    <row r="11">
      <c r="A11" s="54"/>
      <c r="B11" s="182" t="s">
        <v>368</v>
      </c>
      <c r="C11" s="227"/>
      <c r="D11" s="228"/>
      <c r="E11" s="228"/>
      <c r="F11" s="228"/>
      <c r="G11" s="228"/>
      <c r="H11" s="228"/>
      <c r="I11" s="228"/>
      <c r="J11" s="228"/>
      <c r="K11" s="228"/>
      <c r="L11" s="228"/>
      <c r="M11" s="228"/>
      <c r="N11" s="229"/>
    </row>
    <row r="12">
      <c r="A12" s="54"/>
      <c r="B12" s="230" t="s">
        <v>369</v>
      </c>
      <c r="C12" s="231">
        <f>-Inputs!C105</f>
        <v>-85000</v>
      </c>
      <c r="D12" s="232">
        <v>0.0</v>
      </c>
      <c r="E12" s="232">
        <v>0.0</v>
      </c>
      <c r="F12" s="232">
        <v>0.0</v>
      </c>
      <c r="G12" s="232">
        <v>0.0</v>
      </c>
      <c r="H12" s="232">
        <v>0.0</v>
      </c>
      <c r="I12" s="232">
        <v>0.0</v>
      </c>
      <c r="J12" s="232">
        <v>0.0</v>
      </c>
      <c r="K12" s="232">
        <v>0.0</v>
      </c>
      <c r="L12" s="232">
        <v>0.0</v>
      </c>
      <c r="M12" s="232">
        <v>0.0</v>
      </c>
      <c r="N12" s="232">
        <f t="shared" ref="N12:N14" si="3">SUM(C12:M12)</f>
        <v>-85000</v>
      </c>
    </row>
    <row r="13">
      <c r="A13" s="54"/>
      <c r="B13" s="230" t="s">
        <v>370</v>
      </c>
      <c r="C13" s="233">
        <f>-Inputs!C106</f>
        <v>830000</v>
      </c>
      <c r="D13" s="234">
        <v>0.0</v>
      </c>
      <c r="E13" s="234">
        <v>0.0</v>
      </c>
      <c r="F13" s="234">
        <v>0.0</v>
      </c>
      <c r="G13" s="234">
        <v>0.0</v>
      </c>
      <c r="H13" s="234">
        <v>0.0</v>
      </c>
      <c r="I13" s="234">
        <v>0.0</v>
      </c>
      <c r="J13" s="234">
        <v>0.0</v>
      </c>
      <c r="K13" s="234">
        <v>0.0</v>
      </c>
      <c r="L13" s="234">
        <v>0.0</v>
      </c>
      <c r="M13" s="234">
        <v>0.0</v>
      </c>
      <c r="N13" s="234">
        <f t="shared" si="3"/>
        <v>830000</v>
      </c>
    </row>
    <row r="14">
      <c r="A14" s="54"/>
      <c r="B14" s="235" t="s">
        <v>371</v>
      </c>
      <c r="C14" s="236">
        <f t="shared" ref="C14:M14" si="4">C12+C13</f>
        <v>745000</v>
      </c>
      <c r="D14" s="237">
        <f t="shared" si="4"/>
        <v>0</v>
      </c>
      <c r="E14" s="237">
        <f t="shared" si="4"/>
        <v>0</v>
      </c>
      <c r="F14" s="237">
        <f t="shared" si="4"/>
        <v>0</v>
      </c>
      <c r="G14" s="237">
        <f t="shared" si="4"/>
        <v>0</v>
      </c>
      <c r="H14" s="237">
        <f t="shared" si="4"/>
        <v>0</v>
      </c>
      <c r="I14" s="237">
        <f t="shared" si="4"/>
        <v>0</v>
      </c>
      <c r="J14" s="237">
        <f t="shared" si="4"/>
        <v>0</v>
      </c>
      <c r="K14" s="237">
        <f t="shared" si="4"/>
        <v>0</v>
      </c>
      <c r="L14" s="237">
        <f t="shared" si="4"/>
        <v>0</v>
      </c>
      <c r="M14" s="237">
        <f t="shared" si="4"/>
        <v>0</v>
      </c>
      <c r="N14" s="237">
        <f t="shared" si="3"/>
        <v>745000</v>
      </c>
    </row>
    <row r="15">
      <c r="A15" s="54"/>
      <c r="B15" s="230" t="s">
        <v>372</v>
      </c>
      <c r="C15" s="238">
        <f>Inputs!C107</f>
        <v>-0.1140939597</v>
      </c>
      <c r="D15" s="239"/>
      <c r="E15" s="239"/>
      <c r="F15" s="239"/>
      <c r="G15" s="239"/>
      <c r="H15" s="239"/>
      <c r="I15" s="239"/>
      <c r="J15" s="239"/>
      <c r="K15" s="239"/>
      <c r="L15" s="239"/>
      <c r="M15" s="239"/>
      <c r="N15" s="240"/>
    </row>
    <row r="16">
      <c r="A16" s="54"/>
      <c r="B16" s="230" t="s">
        <v>373</v>
      </c>
      <c r="C16" s="238">
        <f>Inputs!C108</f>
        <v>1.11409396</v>
      </c>
      <c r="D16" s="239"/>
      <c r="E16" s="239"/>
      <c r="F16" s="239"/>
      <c r="G16" s="239"/>
      <c r="H16" s="239"/>
      <c r="I16" s="239"/>
      <c r="J16" s="239"/>
      <c r="K16" s="239"/>
      <c r="L16" s="239"/>
      <c r="M16" s="239"/>
      <c r="N16" s="240"/>
    </row>
    <row r="17">
      <c r="A17" s="54"/>
      <c r="B17" s="54"/>
      <c r="C17" s="194"/>
      <c r="D17" s="194"/>
      <c r="E17" s="194"/>
      <c r="F17" s="194"/>
      <c r="G17" s="194"/>
      <c r="H17" s="194"/>
      <c r="I17" s="194"/>
      <c r="J17" s="194"/>
      <c r="K17" s="194"/>
      <c r="L17" s="194"/>
      <c r="M17" s="194"/>
      <c r="N17" s="194"/>
    </row>
    <row r="18">
      <c r="A18" s="54"/>
      <c r="B18" s="182" t="s">
        <v>374</v>
      </c>
      <c r="C18" s="227"/>
      <c r="D18" s="228"/>
      <c r="E18" s="228"/>
      <c r="F18" s="228"/>
      <c r="G18" s="228"/>
      <c r="H18" s="228"/>
      <c r="I18" s="228"/>
      <c r="J18" s="228"/>
      <c r="K18" s="228"/>
      <c r="L18" s="228"/>
      <c r="M18" s="228"/>
      <c r="N18" s="229"/>
    </row>
    <row r="19">
      <c r="A19" s="54"/>
      <c r="B19" s="241" t="s">
        <v>375</v>
      </c>
      <c r="C19" s="242">
        <f t="shared" ref="C19:M19" si="5">MAX(C9,0)</f>
        <v>745000</v>
      </c>
      <c r="D19" s="243">
        <f t="shared" si="5"/>
        <v>0</v>
      </c>
      <c r="E19" s="243">
        <f t="shared" si="5"/>
        <v>0</v>
      </c>
      <c r="F19" s="243">
        <f t="shared" si="5"/>
        <v>0</v>
      </c>
      <c r="G19" s="243">
        <f t="shared" si="5"/>
        <v>0</v>
      </c>
      <c r="H19" s="243">
        <f t="shared" si="5"/>
        <v>0</v>
      </c>
      <c r="I19" s="243">
        <f t="shared" si="5"/>
        <v>0</v>
      </c>
      <c r="J19" s="243">
        <f t="shared" si="5"/>
        <v>0</v>
      </c>
      <c r="K19" s="243">
        <f t="shared" si="5"/>
        <v>0</v>
      </c>
      <c r="L19" s="243">
        <f t="shared" si="5"/>
        <v>0</v>
      </c>
      <c r="M19" s="243">
        <f t="shared" si="5"/>
        <v>0</v>
      </c>
      <c r="N19" s="243">
        <f>SUM(C19:M19)</f>
        <v>745000</v>
      </c>
    </row>
    <row r="20">
      <c r="A20" s="54"/>
      <c r="B20" s="54"/>
      <c r="C20" s="194"/>
      <c r="D20" s="194"/>
      <c r="E20" s="194"/>
      <c r="F20" s="194"/>
      <c r="G20" s="194"/>
      <c r="H20" s="194"/>
      <c r="I20" s="194"/>
      <c r="J20" s="194"/>
      <c r="K20" s="194"/>
      <c r="L20" s="194"/>
      <c r="M20" s="194"/>
      <c r="N20" s="194"/>
    </row>
    <row r="21" ht="15.75" customHeight="1">
      <c r="A21" s="54"/>
      <c r="B21" s="241" t="str">
        <f>"Tier 1: Return of Capital ("&amp;TEXT(Inputs!$C$129,"0%")&amp;" to LP)"</f>
        <v>Tier 1: Return of Capital (100% to LP)</v>
      </c>
      <c r="C21" s="244"/>
      <c r="D21" s="245"/>
      <c r="E21" s="245"/>
      <c r="F21" s="245"/>
      <c r="G21" s="245"/>
      <c r="H21" s="245"/>
      <c r="I21" s="245"/>
      <c r="J21" s="245"/>
      <c r="K21" s="245"/>
      <c r="L21" s="245"/>
      <c r="M21" s="245"/>
      <c r="N21" s="246"/>
    </row>
    <row r="22" ht="15.75" customHeight="1">
      <c r="A22" s="54"/>
      <c r="B22" s="230" t="s">
        <v>376</v>
      </c>
      <c r="C22" s="231">
        <f>-C12</f>
        <v>85000</v>
      </c>
      <c r="D22" s="232">
        <f t="shared" ref="D22:M22" si="6">C24</f>
        <v>85000</v>
      </c>
      <c r="E22" s="232">
        <f t="shared" si="6"/>
        <v>85000</v>
      </c>
      <c r="F22" s="232">
        <f t="shared" si="6"/>
        <v>85000</v>
      </c>
      <c r="G22" s="232">
        <f t="shared" si="6"/>
        <v>85000</v>
      </c>
      <c r="H22" s="232">
        <f t="shared" si="6"/>
        <v>85000</v>
      </c>
      <c r="I22" s="232">
        <f t="shared" si="6"/>
        <v>85000</v>
      </c>
      <c r="J22" s="232">
        <f t="shared" si="6"/>
        <v>85000</v>
      </c>
      <c r="K22" s="232">
        <f t="shared" si="6"/>
        <v>85000</v>
      </c>
      <c r="L22" s="232">
        <f t="shared" si="6"/>
        <v>85000</v>
      </c>
      <c r="M22" s="232">
        <f t="shared" si="6"/>
        <v>85000</v>
      </c>
      <c r="N22" s="232"/>
    </row>
    <row r="23" ht="15.75" customHeight="1">
      <c r="A23" s="54"/>
      <c r="B23" s="230" t="s">
        <v>377</v>
      </c>
      <c r="C23" s="233">
        <v>0.0</v>
      </c>
      <c r="D23" s="234">
        <f t="shared" ref="D23:M23" si="7">MIN(D19,D22)</f>
        <v>0</v>
      </c>
      <c r="E23" s="234">
        <f t="shared" si="7"/>
        <v>0</v>
      </c>
      <c r="F23" s="234">
        <f t="shared" si="7"/>
        <v>0</v>
      </c>
      <c r="G23" s="234">
        <f t="shared" si="7"/>
        <v>0</v>
      </c>
      <c r="H23" s="234">
        <f t="shared" si="7"/>
        <v>0</v>
      </c>
      <c r="I23" s="234">
        <f t="shared" si="7"/>
        <v>0</v>
      </c>
      <c r="J23" s="234">
        <f t="shared" si="7"/>
        <v>0</v>
      </c>
      <c r="K23" s="234">
        <f t="shared" si="7"/>
        <v>0</v>
      </c>
      <c r="L23" s="234">
        <f t="shared" si="7"/>
        <v>0</v>
      </c>
      <c r="M23" s="234">
        <f t="shared" si="7"/>
        <v>0</v>
      </c>
      <c r="N23" s="234">
        <f>SUM(C23:M23)</f>
        <v>0</v>
      </c>
    </row>
    <row r="24" ht="15.75" customHeight="1">
      <c r="A24" s="54"/>
      <c r="B24" s="230" t="s">
        <v>378</v>
      </c>
      <c r="C24" s="233">
        <f t="shared" ref="C24:M24" si="8">C22-C23</f>
        <v>85000</v>
      </c>
      <c r="D24" s="234">
        <f t="shared" si="8"/>
        <v>85000</v>
      </c>
      <c r="E24" s="234">
        <f t="shared" si="8"/>
        <v>85000</v>
      </c>
      <c r="F24" s="234">
        <f t="shared" si="8"/>
        <v>85000</v>
      </c>
      <c r="G24" s="234">
        <f t="shared" si="8"/>
        <v>85000</v>
      </c>
      <c r="H24" s="234">
        <f t="shared" si="8"/>
        <v>85000</v>
      </c>
      <c r="I24" s="234">
        <f t="shared" si="8"/>
        <v>85000</v>
      </c>
      <c r="J24" s="234">
        <f t="shared" si="8"/>
        <v>85000</v>
      </c>
      <c r="K24" s="234">
        <f t="shared" si="8"/>
        <v>85000</v>
      </c>
      <c r="L24" s="234">
        <f t="shared" si="8"/>
        <v>85000</v>
      </c>
      <c r="M24" s="234">
        <f t="shared" si="8"/>
        <v>85000</v>
      </c>
      <c r="N24" s="234"/>
    </row>
    <row r="25" ht="15.75" customHeight="1">
      <c r="A25" s="54"/>
      <c r="B25" s="230" t="s">
        <v>379</v>
      </c>
      <c r="C25" s="233">
        <v>0.0</v>
      </c>
      <c r="D25" s="234">
        <f t="shared" ref="D25:M25" si="9">D19-D23</f>
        <v>0</v>
      </c>
      <c r="E25" s="234">
        <f t="shared" si="9"/>
        <v>0</v>
      </c>
      <c r="F25" s="234">
        <f t="shared" si="9"/>
        <v>0</v>
      </c>
      <c r="G25" s="234">
        <f t="shared" si="9"/>
        <v>0</v>
      </c>
      <c r="H25" s="234">
        <f t="shared" si="9"/>
        <v>0</v>
      </c>
      <c r="I25" s="234">
        <f t="shared" si="9"/>
        <v>0</v>
      </c>
      <c r="J25" s="234">
        <f t="shared" si="9"/>
        <v>0</v>
      </c>
      <c r="K25" s="234">
        <f t="shared" si="9"/>
        <v>0</v>
      </c>
      <c r="L25" s="234">
        <f t="shared" si="9"/>
        <v>0</v>
      </c>
      <c r="M25" s="234">
        <f t="shared" si="9"/>
        <v>0</v>
      </c>
      <c r="N25" s="234">
        <f>SUM(C25:M25)</f>
        <v>0</v>
      </c>
    </row>
    <row r="26" ht="15.75" customHeight="1">
      <c r="A26" s="54"/>
      <c r="B26" s="5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</row>
    <row r="27" ht="15.75" customHeight="1">
      <c r="A27" s="54"/>
      <c r="B27" s="241" t="str">
        <f>"Tier 2: Preferred Return ("&amp;TEXT(Inputs!$C$130,"0%")&amp;" to LP)"</f>
        <v>Tier 2: Preferred Return (100% to LP)</v>
      </c>
      <c r="C27" s="244"/>
      <c r="D27" s="245"/>
      <c r="E27" s="245"/>
      <c r="F27" s="245"/>
      <c r="G27" s="245"/>
      <c r="H27" s="245"/>
      <c r="I27" s="245"/>
      <c r="J27" s="245"/>
      <c r="K27" s="245"/>
      <c r="L27" s="245"/>
      <c r="M27" s="245"/>
      <c r="N27" s="246"/>
    </row>
    <row r="28" ht="15.75" customHeight="1">
      <c r="A28" s="54"/>
      <c r="B28" s="230" t="s">
        <v>380</v>
      </c>
      <c r="C28" s="231">
        <v>0.0</v>
      </c>
      <c r="D28" s="232">
        <f t="shared" ref="D28:M28" si="10">C31</f>
        <v>6800</v>
      </c>
      <c r="E28" s="232">
        <f t="shared" si="10"/>
        <v>13600</v>
      </c>
      <c r="F28" s="232">
        <f t="shared" si="10"/>
        <v>20400</v>
      </c>
      <c r="G28" s="232">
        <f t="shared" si="10"/>
        <v>27200</v>
      </c>
      <c r="H28" s="232">
        <f t="shared" si="10"/>
        <v>34000</v>
      </c>
      <c r="I28" s="232">
        <f t="shared" si="10"/>
        <v>40800</v>
      </c>
      <c r="J28" s="232">
        <f t="shared" si="10"/>
        <v>47600</v>
      </c>
      <c r="K28" s="232">
        <f t="shared" si="10"/>
        <v>54400</v>
      </c>
      <c r="L28" s="232">
        <f t="shared" si="10"/>
        <v>61200</v>
      </c>
      <c r="M28" s="232">
        <f t="shared" si="10"/>
        <v>68000</v>
      </c>
      <c r="N28" s="232"/>
    </row>
    <row r="29" ht="15.75" customHeight="1">
      <c r="A29" s="54"/>
      <c r="B29" s="230" t="s">
        <v>381</v>
      </c>
      <c r="C29" s="233">
        <f>C22*Inputs!$C$123</f>
        <v>6800</v>
      </c>
      <c r="D29" s="234">
        <f>D22*Inputs!$C$123</f>
        <v>6800</v>
      </c>
      <c r="E29" s="234">
        <f>E22*Inputs!$C$123</f>
        <v>6800</v>
      </c>
      <c r="F29" s="234">
        <f>F22*Inputs!$C$123</f>
        <v>6800</v>
      </c>
      <c r="G29" s="234">
        <f>G22*Inputs!$C$123</f>
        <v>6800</v>
      </c>
      <c r="H29" s="234">
        <f>H22*Inputs!$C$123</f>
        <v>6800</v>
      </c>
      <c r="I29" s="234">
        <f>I22*Inputs!$C$123</f>
        <v>6800</v>
      </c>
      <c r="J29" s="234">
        <f>J22*Inputs!$C$123</f>
        <v>6800</v>
      </c>
      <c r="K29" s="234">
        <f>K22*Inputs!$C$123</f>
        <v>6800</v>
      </c>
      <c r="L29" s="234">
        <f>L22*Inputs!$C$123</f>
        <v>6800</v>
      </c>
      <c r="M29" s="234">
        <f>M22*Inputs!$C$123</f>
        <v>6800</v>
      </c>
      <c r="N29" s="234"/>
    </row>
    <row r="30" ht="15.75" customHeight="1">
      <c r="A30" s="54"/>
      <c r="B30" s="230" t="s">
        <v>382</v>
      </c>
      <c r="C30" s="233">
        <v>0.0</v>
      </c>
      <c r="D30" s="234">
        <f t="shared" ref="D30:M30" si="11">MIN(D25,D28+D29)</f>
        <v>0</v>
      </c>
      <c r="E30" s="234">
        <f t="shared" si="11"/>
        <v>0</v>
      </c>
      <c r="F30" s="234">
        <f t="shared" si="11"/>
        <v>0</v>
      </c>
      <c r="G30" s="234">
        <f t="shared" si="11"/>
        <v>0</v>
      </c>
      <c r="H30" s="234">
        <f t="shared" si="11"/>
        <v>0</v>
      </c>
      <c r="I30" s="234">
        <f t="shared" si="11"/>
        <v>0</v>
      </c>
      <c r="J30" s="234">
        <f t="shared" si="11"/>
        <v>0</v>
      </c>
      <c r="K30" s="234">
        <f t="shared" si="11"/>
        <v>0</v>
      </c>
      <c r="L30" s="234">
        <f t="shared" si="11"/>
        <v>0</v>
      </c>
      <c r="M30" s="234">
        <f t="shared" si="11"/>
        <v>0</v>
      </c>
      <c r="N30" s="234">
        <f>SUM(C30:M30)</f>
        <v>0</v>
      </c>
    </row>
    <row r="31" ht="15.75" customHeight="1">
      <c r="A31" s="54"/>
      <c r="B31" s="230" t="s">
        <v>383</v>
      </c>
      <c r="C31" s="233">
        <f t="shared" ref="C31:M31" si="12">C28+C29-C30</f>
        <v>6800</v>
      </c>
      <c r="D31" s="234">
        <f t="shared" si="12"/>
        <v>13600</v>
      </c>
      <c r="E31" s="234">
        <f t="shared" si="12"/>
        <v>20400</v>
      </c>
      <c r="F31" s="234">
        <f t="shared" si="12"/>
        <v>27200</v>
      </c>
      <c r="G31" s="234">
        <f t="shared" si="12"/>
        <v>34000</v>
      </c>
      <c r="H31" s="234">
        <f t="shared" si="12"/>
        <v>40800</v>
      </c>
      <c r="I31" s="234">
        <f t="shared" si="12"/>
        <v>47600</v>
      </c>
      <c r="J31" s="234">
        <f t="shared" si="12"/>
        <v>54400</v>
      </c>
      <c r="K31" s="234">
        <f t="shared" si="12"/>
        <v>61200</v>
      </c>
      <c r="L31" s="234">
        <f t="shared" si="12"/>
        <v>68000</v>
      </c>
      <c r="M31" s="234">
        <f t="shared" si="12"/>
        <v>74800</v>
      </c>
      <c r="N31" s="234"/>
    </row>
    <row r="32" ht="15.75" customHeight="1">
      <c r="A32" s="54"/>
      <c r="B32" s="230" t="s">
        <v>384</v>
      </c>
      <c r="C32" s="233">
        <v>0.0</v>
      </c>
      <c r="D32" s="234">
        <f t="shared" ref="D32:M32" si="13">D25-D30</f>
        <v>0</v>
      </c>
      <c r="E32" s="234">
        <f t="shared" si="13"/>
        <v>0</v>
      </c>
      <c r="F32" s="234">
        <f t="shared" si="13"/>
        <v>0</v>
      </c>
      <c r="G32" s="234">
        <f t="shared" si="13"/>
        <v>0</v>
      </c>
      <c r="H32" s="234">
        <f t="shared" si="13"/>
        <v>0</v>
      </c>
      <c r="I32" s="234">
        <f t="shared" si="13"/>
        <v>0</v>
      </c>
      <c r="J32" s="234">
        <f t="shared" si="13"/>
        <v>0</v>
      </c>
      <c r="K32" s="234">
        <f t="shared" si="13"/>
        <v>0</v>
      </c>
      <c r="L32" s="234">
        <f t="shared" si="13"/>
        <v>0</v>
      </c>
      <c r="M32" s="234">
        <f t="shared" si="13"/>
        <v>0</v>
      </c>
      <c r="N32" s="234">
        <f>SUM(C32:M32)</f>
        <v>0</v>
      </c>
    </row>
    <row r="33" ht="15.75" customHeight="1">
      <c r="A33" s="54"/>
      <c r="B33" s="5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</row>
    <row r="34" ht="15.75" customHeight="1">
      <c r="A34" s="54"/>
      <c r="B34" s="241" t="str">
        <f>"Tier 3: GP Catch-Up ("&amp;TEXT(Inputs!$C$131,"0%")&amp;"/"&amp;TEXT(Inputs!$D$131,"0%")&amp;")"</f>
        <v>Tier 3: GP Catch-Up (50%/50%)</v>
      </c>
      <c r="C34" s="244"/>
      <c r="D34" s="245"/>
      <c r="E34" s="245"/>
      <c r="F34" s="245"/>
      <c r="G34" s="245"/>
      <c r="H34" s="245"/>
      <c r="I34" s="245"/>
      <c r="J34" s="245"/>
      <c r="K34" s="245"/>
      <c r="L34" s="245"/>
      <c r="M34" s="245"/>
      <c r="N34" s="246"/>
    </row>
    <row r="35" ht="15.75" customHeight="1">
      <c r="A35" s="54"/>
      <c r="B35" s="230" t="s">
        <v>385</v>
      </c>
      <c r="C35" s="231">
        <v>0.0</v>
      </c>
      <c r="D35" s="232">
        <f>MIN(D32,D30*Inputs!$C$125/(1-Inputs!$C$125))</f>
        <v>0</v>
      </c>
      <c r="E35" s="232">
        <f>MIN(E32,E30*Inputs!$C$125/(1-Inputs!$C$125))</f>
        <v>0</v>
      </c>
      <c r="F35" s="232">
        <f>MIN(F32,F30*Inputs!$C$125/(1-Inputs!$C$125))</f>
        <v>0</v>
      </c>
      <c r="G35" s="232">
        <f>MIN(G32,G30*Inputs!$C$125/(1-Inputs!$C$125))</f>
        <v>0</v>
      </c>
      <c r="H35" s="232">
        <f>MIN(H32,H30*Inputs!$C$125/(1-Inputs!$C$125))</f>
        <v>0</v>
      </c>
      <c r="I35" s="232">
        <f>MIN(I32,I30*Inputs!$C$125/(1-Inputs!$C$125))</f>
        <v>0</v>
      </c>
      <c r="J35" s="232">
        <f>MIN(J32,J30*Inputs!$C$125/(1-Inputs!$C$125))</f>
        <v>0</v>
      </c>
      <c r="K35" s="232">
        <f>MIN(K32,K30*Inputs!$C$125/(1-Inputs!$C$125))</f>
        <v>0</v>
      </c>
      <c r="L35" s="232">
        <f>MIN(L32,L30*Inputs!$C$125/(1-Inputs!$C$125))</f>
        <v>0</v>
      </c>
      <c r="M35" s="232">
        <f>MIN(M32,M30*Inputs!$C$125/(1-Inputs!$C$125))</f>
        <v>0</v>
      </c>
      <c r="N35" s="232">
        <f t="shared" ref="N35:N38" si="14">SUM(C35:M35)</f>
        <v>0</v>
      </c>
    </row>
    <row r="36" ht="15.75" customHeight="1">
      <c r="A36" s="54"/>
      <c r="B36" s="230" t="s">
        <v>386</v>
      </c>
      <c r="C36" s="233">
        <v>0.0</v>
      </c>
      <c r="D36" s="234">
        <f>D35*(1-Inputs!$C$124)</f>
        <v>0</v>
      </c>
      <c r="E36" s="234">
        <f>E35*(1-Inputs!$C$124)</f>
        <v>0</v>
      </c>
      <c r="F36" s="234">
        <f>F35*(1-Inputs!$C$124)</f>
        <v>0</v>
      </c>
      <c r="G36" s="234">
        <f>G35*(1-Inputs!$C$124)</f>
        <v>0</v>
      </c>
      <c r="H36" s="234">
        <f>H35*(1-Inputs!$C$124)</f>
        <v>0</v>
      </c>
      <c r="I36" s="234">
        <f>I35*(1-Inputs!$C$124)</f>
        <v>0</v>
      </c>
      <c r="J36" s="234">
        <f>J35*(1-Inputs!$C$124)</f>
        <v>0</v>
      </c>
      <c r="K36" s="234">
        <f>K35*(1-Inputs!$C$124)</f>
        <v>0</v>
      </c>
      <c r="L36" s="234">
        <f>L35*(1-Inputs!$C$124)</f>
        <v>0</v>
      </c>
      <c r="M36" s="234">
        <f>M35*(1-Inputs!$C$124)</f>
        <v>0</v>
      </c>
      <c r="N36" s="234">
        <f t="shared" si="14"/>
        <v>0</v>
      </c>
    </row>
    <row r="37" ht="15.75" customHeight="1">
      <c r="A37" s="54"/>
      <c r="B37" s="230" t="s">
        <v>387</v>
      </c>
      <c r="C37" s="233">
        <v>0.0</v>
      </c>
      <c r="D37" s="234">
        <f>D35*Inputs!$C$124</f>
        <v>0</v>
      </c>
      <c r="E37" s="234">
        <f>E35*Inputs!$C$124</f>
        <v>0</v>
      </c>
      <c r="F37" s="234">
        <f>F35*Inputs!$C$124</f>
        <v>0</v>
      </c>
      <c r="G37" s="234">
        <f>G35*Inputs!$C$124</f>
        <v>0</v>
      </c>
      <c r="H37" s="234">
        <f>H35*Inputs!$C$124</f>
        <v>0</v>
      </c>
      <c r="I37" s="234">
        <f>I35*Inputs!$C$124</f>
        <v>0</v>
      </c>
      <c r="J37" s="234">
        <f>J35*Inputs!$C$124</f>
        <v>0</v>
      </c>
      <c r="K37" s="234">
        <f>K35*Inputs!$C$124</f>
        <v>0</v>
      </c>
      <c r="L37" s="234">
        <f>L35*Inputs!$C$124</f>
        <v>0</v>
      </c>
      <c r="M37" s="234">
        <f>M35*Inputs!$C$124</f>
        <v>0</v>
      </c>
      <c r="N37" s="234">
        <f t="shared" si="14"/>
        <v>0</v>
      </c>
    </row>
    <row r="38" ht="15.75" customHeight="1">
      <c r="A38" s="54"/>
      <c r="B38" s="230" t="s">
        <v>388</v>
      </c>
      <c r="C38" s="233">
        <v>0.0</v>
      </c>
      <c r="D38" s="234">
        <f t="shared" ref="D38:M38" si="15">D32-D35</f>
        <v>0</v>
      </c>
      <c r="E38" s="234">
        <f t="shared" si="15"/>
        <v>0</v>
      </c>
      <c r="F38" s="234">
        <f t="shared" si="15"/>
        <v>0</v>
      </c>
      <c r="G38" s="234">
        <f t="shared" si="15"/>
        <v>0</v>
      </c>
      <c r="H38" s="234">
        <f t="shared" si="15"/>
        <v>0</v>
      </c>
      <c r="I38" s="234">
        <f t="shared" si="15"/>
        <v>0</v>
      </c>
      <c r="J38" s="234">
        <f t="shared" si="15"/>
        <v>0</v>
      </c>
      <c r="K38" s="234">
        <f t="shared" si="15"/>
        <v>0</v>
      </c>
      <c r="L38" s="234">
        <f t="shared" si="15"/>
        <v>0</v>
      </c>
      <c r="M38" s="234">
        <f t="shared" si="15"/>
        <v>0</v>
      </c>
      <c r="N38" s="234">
        <f t="shared" si="14"/>
        <v>0</v>
      </c>
    </row>
    <row r="39" ht="15.75" customHeight="1">
      <c r="A39" s="54"/>
      <c r="B39" s="5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</row>
    <row r="40" ht="15.75" customHeight="1">
      <c r="A40" s="54"/>
      <c r="B40" s="241" t="str">
        <f>"Tier 4: Residual Split (below "&amp;TEXT(Inputs!$C$126,"0%")&amp;" IRR)"</f>
        <v>Tier 4: Residual Split (below 15% IRR)</v>
      </c>
      <c r="C40" s="244"/>
      <c r="D40" s="245"/>
      <c r="E40" s="245"/>
      <c r="F40" s="245"/>
      <c r="G40" s="245"/>
      <c r="H40" s="245"/>
      <c r="I40" s="245"/>
      <c r="J40" s="245"/>
      <c r="K40" s="245"/>
      <c r="L40" s="245"/>
      <c r="M40" s="245"/>
      <c r="N40" s="246"/>
    </row>
    <row r="41" ht="15.75" customHeight="1">
      <c r="A41" s="54"/>
      <c r="B41" s="230" t="str">
        <f>"  Tier 4 to LP ("&amp;TEXT(Inputs!$C$132,"0%")&amp;")"</f>
        <v>  Tier 4 to LP (70%)</v>
      </c>
      <c r="C41" s="231">
        <v>0.0</v>
      </c>
      <c r="D41" s="232">
        <f>IF(IFERROR(IRR(C$57),0)&lt;Inputs!$C$126,D38*Inputs!$C$132,0)</f>
        <v>0</v>
      </c>
      <c r="E41" s="232">
        <f>IF(IFERROR(IRR(C$57:D$57),0)&lt;Inputs!$C$126,E38*Inputs!$C$132,0)</f>
        <v>0</v>
      </c>
      <c r="F41" s="232">
        <f>IF(IFERROR(IRR(C$57:E$57),0)&lt;Inputs!$C$126,F38*Inputs!$C$132,0)</f>
        <v>0</v>
      </c>
      <c r="G41" s="232">
        <f>IF(IFERROR(IRR(C$57:F$57),0)&lt;Inputs!$C$126,G38*Inputs!$C$132,0)</f>
        <v>0</v>
      </c>
      <c r="H41" s="232">
        <f>IF(IFERROR(IRR(C$57:G$57),0)&lt;Inputs!$C$126,H38*Inputs!$C$132,0)</f>
        <v>0</v>
      </c>
      <c r="I41" s="232">
        <f>IF(IFERROR(IRR(C$57:H$57),0)&lt;Inputs!$C$126,I38*Inputs!$C$132,0)</f>
        <v>0</v>
      </c>
      <c r="J41" s="232">
        <f>IF(IFERROR(IRR(C$57:I$57),0)&lt;Inputs!$C$126,J38*Inputs!$C$132,0)</f>
        <v>0</v>
      </c>
      <c r="K41" s="232">
        <f>IF(IFERROR(IRR(C$57:J$57),0)&lt;Inputs!$C$126,K38*Inputs!$C$132,0)</f>
        <v>0</v>
      </c>
      <c r="L41" s="232">
        <f>IF(IFERROR(IRR(C$57:K$57),0)&lt;Inputs!$C$126,L38*Inputs!$C$132,0)</f>
        <v>0</v>
      </c>
      <c r="M41" s="232">
        <f>IF(IFERROR(IRR(C$57:L$57),0)&lt;Inputs!$C$126,M38*Inputs!$C$132,0)</f>
        <v>0</v>
      </c>
      <c r="N41" s="232">
        <f t="shared" ref="N41:N43" si="16">SUM(C41:M41)</f>
        <v>0</v>
      </c>
    </row>
    <row r="42" ht="15.75" customHeight="1">
      <c r="A42" s="54"/>
      <c r="B42" s="230" t="str">
        <f>"  Tier 4 to GP ("&amp;TEXT(Inputs!$D$132,"0%")&amp;")"</f>
        <v>  Tier 4 to GP (30%)</v>
      </c>
      <c r="C42" s="233">
        <v>0.0</v>
      </c>
      <c r="D42" s="234">
        <f>IF(IFERROR(IRR(C$57),0)&lt;Inputs!$C$126,D38*Inputs!$D$132,0)</f>
        <v>0</v>
      </c>
      <c r="E42" s="234">
        <f>IF(IFERROR(IRR(C$57:D$57),0)&lt;Inputs!$C$126,E38*Inputs!$D$132,0)</f>
        <v>0</v>
      </c>
      <c r="F42" s="234">
        <f>IF(IFERROR(IRR(C$57:E$57),0)&lt;Inputs!$C$126,F38*Inputs!$D$132,0)</f>
        <v>0</v>
      </c>
      <c r="G42" s="234">
        <f>IF(IFERROR(IRR(C$57:F$57),0)&lt;Inputs!$C$126,G38*Inputs!$D$132,0)</f>
        <v>0</v>
      </c>
      <c r="H42" s="234">
        <f>IF(IFERROR(IRR(C$57:G$57),0)&lt;Inputs!$C$126,H38*Inputs!$D$132,0)</f>
        <v>0</v>
      </c>
      <c r="I42" s="234">
        <f>IF(IFERROR(IRR(C$57:H$57),0)&lt;Inputs!$C$126,I38*Inputs!$D$132,0)</f>
        <v>0</v>
      </c>
      <c r="J42" s="234">
        <f>IF(IFERROR(IRR(C$57:I$57),0)&lt;Inputs!$C$126,J38*Inputs!$D$132,0)</f>
        <v>0</v>
      </c>
      <c r="K42" s="234">
        <f>IF(IFERROR(IRR(C$57:J$57),0)&lt;Inputs!$C$126,K38*Inputs!$D$132,0)</f>
        <v>0</v>
      </c>
      <c r="L42" s="234">
        <f>IF(IFERROR(IRR(C$57:K$57),0)&lt;Inputs!$C$126,L38*Inputs!$D$132,0)</f>
        <v>0</v>
      </c>
      <c r="M42" s="234">
        <f>IF(IFERROR(IRR(C$57:L$57),0)&lt;Inputs!$C$126,M38*Inputs!$D$132,0)</f>
        <v>0</v>
      </c>
      <c r="N42" s="234">
        <f t="shared" si="16"/>
        <v>0</v>
      </c>
    </row>
    <row r="43" ht="15.75" customHeight="1">
      <c r="A43" s="54"/>
      <c r="B43" s="230" t="s">
        <v>389</v>
      </c>
      <c r="C43" s="233">
        <v>0.0</v>
      </c>
      <c r="D43" s="234">
        <f t="shared" ref="D43:M43" si="17">D38-D41-D42</f>
        <v>0</v>
      </c>
      <c r="E43" s="234">
        <f t="shared" si="17"/>
        <v>0</v>
      </c>
      <c r="F43" s="234">
        <f t="shared" si="17"/>
        <v>0</v>
      </c>
      <c r="G43" s="234">
        <f t="shared" si="17"/>
        <v>0</v>
      </c>
      <c r="H43" s="234">
        <f t="shared" si="17"/>
        <v>0</v>
      </c>
      <c r="I43" s="234">
        <f t="shared" si="17"/>
        <v>0</v>
      </c>
      <c r="J43" s="234">
        <f t="shared" si="17"/>
        <v>0</v>
      </c>
      <c r="K43" s="234">
        <f t="shared" si="17"/>
        <v>0</v>
      </c>
      <c r="L43" s="234">
        <f t="shared" si="17"/>
        <v>0</v>
      </c>
      <c r="M43" s="234">
        <f t="shared" si="17"/>
        <v>0</v>
      </c>
      <c r="N43" s="234">
        <f t="shared" si="16"/>
        <v>0</v>
      </c>
    </row>
    <row r="44" ht="15.75" customHeight="1">
      <c r="A44" s="54"/>
      <c r="B44" s="247"/>
      <c r="C44" s="248"/>
      <c r="D44" s="248"/>
      <c r="E44" s="248"/>
      <c r="F44" s="248"/>
      <c r="G44" s="248"/>
      <c r="H44" s="248"/>
      <c r="I44" s="248"/>
      <c r="J44" s="248"/>
      <c r="K44" s="248"/>
      <c r="L44" s="248"/>
      <c r="M44" s="248"/>
      <c r="N44" s="248"/>
    </row>
    <row r="45" ht="15.75" customHeight="1">
      <c r="A45" s="54"/>
      <c r="B45" s="241" t="str">
        <f>"Tier 5: Residual Split (above "&amp;TEXT(Inputs!$C$126,"0%")&amp;" IRR)"</f>
        <v>Tier 5: Residual Split (above 15% IRR)</v>
      </c>
      <c r="C45" s="249"/>
      <c r="D45" s="250"/>
      <c r="E45" s="250"/>
      <c r="F45" s="250"/>
      <c r="G45" s="250"/>
      <c r="H45" s="250"/>
      <c r="I45" s="250"/>
      <c r="J45" s="250"/>
      <c r="K45" s="250"/>
      <c r="L45" s="250"/>
      <c r="M45" s="250"/>
      <c r="N45" s="251"/>
    </row>
    <row r="46" ht="15.75" customHeight="1">
      <c r="A46" s="54"/>
      <c r="B46" s="230" t="str">
        <f>"  Tier 5 to LP ("&amp;TEXT(Inputs!$C$133,"0%")&amp;")"</f>
        <v>  Tier 5 to LP (50%)</v>
      </c>
      <c r="C46" s="231">
        <v>0.0</v>
      </c>
      <c r="D46" s="232">
        <f>IF(IFERROR(IRR(C$57),0)&gt;=Inputs!$C$126,D38*Inputs!$C$133,D43*Inputs!$C$133)</f>
        <v>0</v>
      </c>
      <c r="E46" s="232">
        <f>IF(IFERROR(IRR(C$57:D$57),0)&gt;=Inputs!$C$126,E38*Inputs!$C$133,E43*Inputs!$C$133)</f>
        <v>0</v>
      </c>
      <c r="F46" s="232">
        <f>IF(IFERROR(IRR(C$57:E$57),0)&gt;=Inputs!$C$126,F38*Inputs!$C$133,F43*Inputs!$C$133)</f>
        <v>0</v>
      </c>
      <c r="G46" s="232">
        <f>IF(IFERROR(IRR(C$57:F$57),0)&gt;=Inputs!$C$126,G38*Inputs!$C$133,G43*Inputs!$C$133)</f>
        <v>0</v>
      </c>
      <c r="H46" s="232">
        <f>IF(IFERROR(IRR(C$57:G$57),0)&gt;=Inputs!$C$126,H38*Inputs!$C$133,H43*Inputs!$C$133)</f>
        <v>0</v>
      </c>
      <c r="I46" s="232">
        <f>IF(IFERROR(IRR(C$57:H$57),0)&gt;=Inputs!$C$126,I38*Inputs!$C$133,I43*Inputs!$C$133)</f>
        <v>0</v>
      </c>
      <c r="J46" s="232">
        <f>IF(IFERROR(IRR(C$57:I$57),0)&gt;=Inputs!$C$126,J38*Inputs!$C$133,J43*Inputs!$C$133)</f>
        <v>0</v>
      </c>
      <c r="K46" s="232">
        <f>IF(IFERROR(IRR(C$57:J$57),0)&gt;=Inputs!$C$126,K38*Inputs!$C$133,K43*Inputs!$C$133)</f>
        <v>0</v>
      </c>
      <c r="L46" s="232">
        <f>IF(IFERROR(IRR(C$57:K$57),0)&gt;=Inputs!$C$126,L38*Inputs!$C$133,L43*Inputs!$C$133)</f>
        <v>0</v>
      </c>
      <c r="M46" s="232">
        <f>IF(IFERROR(IRR(C$57:L$57),0)&gt;=Inputs!$C$126,M38*Inputs!$C$133,M43*Inputs!$C$133)</f>
        <v>0</v>
      </c>
      <c r="N46" s="232">
        <f t="shared" ref="N46:N47" si="18">SUM(C46:M46)</f>
        <v>0</v>
      </c>
    </row>
    <row r="47" ht="15.75" customHeight="1">
      <c r="A47" s="54"/>
      <c r="B47" s="230" t="str">
        <f>"  Tier 5 to GP ("&amp;TEXT(Inputs!$D$133,"0%")&amp;")"</f>
        <v>  Tier 5 to GP (50%)</v>
      </c>
      <c r="C47" s="233">
        <v>0.0</v>
      </c>
      <c r="D47" s="234">
        <f>IF(IFERROR(IRR(C$57),0)&gt;=Inputs!$C$126,D38*Inputs!$D$133,D43*Inputs!$D$133)</f>
        <v>0</v>
      </c>
      <c r="E47" s="234">
        <f>IF(IFERROR(IRR(C$57:D$57),0)&gt;=Inputs!$C$126,E38*Inputs!$D$133,E43*Inputs!$D$133)</f>
        <v>0</v>
      </c>
      <c r="F47" s="234">
        <f>IF(IFERROR(IRR(C$57:E$57),0)&gt;=Inputs!$C$126,F38*Inputs!$D$133,F43*Inputs!$D$133)</f>
        <v>0</v>
      </c>
      <c r="G47" s="234">
        <f>IF(IFERROR(IRR(C$57:F$57),0)&gt;=Inputs!$C$126,G38*Inputs!$D$133,G43*Inputs!$D$133)</f>
        <v>0</v>
      </c>
      <c r="H47" s="234">
        <f>IF(IFERROR(IRR(C$57:G$57),0)&gt;=Inputs!$C$126,H38*Inputs!$D$133,H43*Inputs!$D$133)</f>
        <v>0</v>
      </c>
      <c r="I47" s="234">
        <f>IF(IFERROR(IRR(C$57:H$57),0)&gt;=Inputs!$C$126,I38*Inputs!$D$133,I43*Inputs!$D$133)</f>
        <v>0</v>
      </c>
      <c r="J47" s="234">
        <f>IF(IFERROR(IRR(C$57:I$57),0)&gt;=Inputs!$C$126,J38*Inputs!$D$133,J43*Inputs!$D$133)</f>
        <v>0</v>
      </c>
      <c r="K47" s="234">
        <f>IF(IFERROR(IRR(C$57:J$57),0)&gt;=Inputs!$C$126,K38*Inputs!$D$133,K43*Inputs!$D$133)</f>
        <v>0</v>
      </c>
      <c r="L47" s="234">
        <f>IF(IFERROR(IRR(C$57:K$57),0)&gt;=Inputs!$C$126,L38*Inputs!$D$133,L43*Inputs!$D$133)</f>
        <v>0</v>
      </c>
      <c r="M47" s="234">
        <f>IF(IFERROR(IRR(C$57:L$57),0)&gt;=Inputs!$C$126,M38*Inputs!$D$133,M43*Inputs!$D$133)</f>
        <v>0</v>
      </c>
      <c r="N47" s="234">
        <f t="shared" si="18"/>
        <v>0</v>
      </c>
    </row>
    <row r="48" ht="15.75" customHeight="1">
      <c r="A48" s="54"/>
      <c r="B48" s="247"/>
      <c r="C48" s="252"/>
      <c r="D48" s="252"/>
      <c r="E48" s="252"/>
      <c r="F48" s="252"/>
      <c r="G48" s="252"/>
      <c r="H48" s="252"/>
      <c r="I48" s="252"/>
      <c r="J48" s="252"/>
      <c r="K48" s="252"/>
      <c r="L48" s="252"/>
      <c r="M48" s="252"/>
      <c r="N48" s="252"/>
    </row>
    <row r="49" ht="15.75" customHeight="1">
      <c r="A49" s="54"/>
      <c r="B49" s="5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</row>
    <row r="50" ht="15.75" customHeight="1">
      <c r="A50" s="54"/>
      <c r="B50" s="182" t="s">
        <v>390</v>
      </c>
      <c r="C50" s="227"/>
      <c r="D50" s="228"/>
      <c r="E50" s="228"/>
      <c r="F50" s="228"/>
      <c r="G50" s="228"/>
      <c r="H50" s="228"/>
      <c r="I50" s="228"/>
      <c r="J50" s="228"/>
      <c r="K50" s="228"/>
      <c r="L50" s="228"/>
      <c r="M50" s="228"/>
      <c r="N50" s="229"/>
    </row>
    <row r="51" ht="15.75" customHeight="1">
      <c r="A51" s="54"/>
      <c r="B51" s="253" t="s">
        <v>65</v>
      </c>
      <c r="C51" s="254">
        <f t="shared" ref="C51:M51" si="19">C23+C30+C36+C41+C46</f>
        <v>0</v>
      </c>
      <c r="D51" s="255">
        <f t="shared" si="19"/>
        <v>0</v>
      </c>
      <c r="E51" s="255">
        <f t="shared" si="19"/>
        <v>0</v>
      </c>
      <c r="F51" s="255">
        <f t="shared" si="19"/>
        <v>0</v>
      </c>
      <c r="G51" s="255">
        <f t="shared" si="19"/>
        <v>0</v>
      </c>
      <c r="H51" s="255">
        <f t="shared" si="19"/>
        <v>0</v>
      </c>
      <c r="I51" s="255">
        <f t="shared" si="19"/>
        <v>0</v>
      </c>
      <c r="J51" s="255">
        <f t="shared" si="19"/>
        <v>0</v>
      </c>
      <c r="K51" s="255">
        <f t="shared" si="19"/>
        <v>0</v>
      </c>
      <c r="L51" s="255">
        <f t="shared" si="19"/>
        <v>0</v>
      </c>
      <c r="M51" s="255">
        <f t="shared" si="19"/>
        <v>0</v>
      </c>
      <c r="N51" s="255">
        <f t="shared" ref="N51:N54" si="21">SUM(C51:M51)</f>
        <v>0</v>
      </c>
    </row>
    <row r="52" ht="15.75" customHeight="1">
      <c r="A52" s="54"/>
      <c r="B52" s="256" t="s">
        <v>66</v>
      </c>
      <c r="C52" s="257">
        <f t="shared" ref="C52:M52" si="20">C37+C42+C47</f>
        <v>0</v>
      </c>
      <c r="D52" s="258">
        <f t="shared" si="20"/>
        <v>0</v>
      </c>
      <c r="E52" s="258">
        <f t="shared" si="20"/>
        <v>0</v>
      </c>
      <c r="F52" s="258">
        <f t="shared" si="20"/>
        <v>0</v>
      </c>
      <c r="G52" s="258">
        <f t="shared" si="20"/>
        <v>0</v>
      </c>
      <c r="H52" s="258">
        <f t="shared" si="20"/>
        <v>0</v>
      </c>
      <c r="I52" s="258">
        <f t="shared" si="20"/>
        <v>0</v>
      </c>
      <c r="J52" s="258">
        <f t="shared" si="20"/>
        <v>0</v>
      </c>
      <c r="K52" s="258">
        <f t="shared" si="20"/>
        <v>0</v>
      </c>
      <c r="L52" s="258">
        <f t="shared" si="20"/>
        <v>0</v>
      </c>
      <c r="M52" s="258">
        <f t="shared" si="20"/>
        <v>0</v>
      </c>
      <c r="N52" s="258">
        <f t="shared" si="21"/>
        <v>0</v>
      </c>
    </row>
    <row r="53" ht="15.75" customHeight="1">
      <c r="A53" s="54"/>
      <c r="B53" s="259" t="s">
        <v>345</v>
      </c>
      <c r="C53" s="260">
        <f t="shared" ref="C53:M53" si="22">C51+C52</f>
        <v>0</v>
      </c>
      <c r="D53" s="261">
        <f t="shared" si="22"/>
        <v>0</v>
      </c>
      <c r="E53" s="261">
        <f t="shared" si="22"/>
        <v>0</v>
      </c>
      <c r="F53" s="261">
        <f t="shared" si="22"/>
        <v>0</v>
      </c>
      <c r="G53" s="261">
        <f t="shared" si="22"/>
        <v>0</v>
      </c>
      <c r="H53" s="261">
        <f t="shared" si="22"/>
        <v>0</v>
      </c>
      <c r="I53" s="261">
        <f t="shared" si="22"/>
        <v>0</v>
      </c>
      <c r="J53" s="261">
        <f t="shared" si="22"/>
        <v>0</v>
      </c>
      <c r="K53" s="261">
        <f t="shared" si="22"/>
        <v>0</v>
      </c>
      <c r="L53" s="261">
        <f t="shared" si="22"/>
        <v>0</v>
      </c>
      <c r="M53" s="261">
        <f t="shared" si="22"/>
        <v>0</v>
      </c>
      <c r="N53" s="261">
        <f t="shared" si="21"/>
        <v>0</v>
      </c>
    </row>
    <row r="54" ht="15.75" customHeight="1">
      <c r="A54" s="54"/>
      <c r="B54" s="262" t="s">
        <v>391</v>
      </c>
      <c r="C54" s="263">
        <f t="shared" ref="C54:M54" si="23">C53-C19</f>
        <v>-745000</v>
      </c>
      <c r="D54" s="264">
        <f t="shared" si="23"/>
        <v>0</v>
      </c>
      <c r="E54" s="264">
        <f t="shared" si="23"/>
        <v>0</v>
      </c>
      <c r="F54" s="264">
        <f t="shared" si="23"/>
        <v>0</v>
      </c>
      <c r="G54" s="264">
        <f t="shared" si="23"/>
        <v>0</v>
      </c>
      <c r="H54" s="264">
        <f t="shared" si="23"/>
        <v>0</v>
      </c>
      <c r="I54" s="264">
        <f t="shared" si="23"/>
        <v>0</v>
      </c>
      <c r="J54" s="264">
        <f t="shared" si="23"/>
        <v>0</v>
      </c>
      <c r="K54" s="264">
        <f t="shared" si="23"/>
        <v>0</v>
      </c>
      <c r="L54" s="264">
        <f t="shared" si="23"/>
        <v>0</v>
      </c>
      <c r="M54" s="264">
        <f t="shared" si="23"/>
        <v>0</v>
      </c>
      <c r="N54" s="264">
        <f t="shared" si="21"/>
        <v>-745000</v>
      </c>
    </row>
    <row r="55" ht="15.75" customHeight="1">
      <c r="A55" s="54"/>
      <c r="B55" s="5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</row>
    <row r="56" ht="15.75" customHeight="1">
      <c r="A56" s="54"/>
      <c r="B56" s="182" t="s">
        <v>392</v>
      </c>
      <c r="C56" s="227"/>
      <c r="D56" s="228"/>
      <c r="E56" s="228"/>
      <c r="F56" s="228"/>
      <c r="G56" s="228"/>
      <c r="H56" s="228"/>
      <c r="I56" s="228"/>
      <c r="J56" s="228"/>
      <c r="K56" s="228"/>
      <c r="L56" s="228"/>
      <c r="M56" s="228"/>
      <c r="N56" s="229"/>
    </row>
    <row r="57" ht="15.75" customHeight="1">
      <c r="A57" s="54"/>
      <c r="B57" s="230" t="s">
        <v>393</v>
      </c>
      <c r="C57" s="231">
        <f t="shared" ref="C57:C59" si="25">C12</f>
        <v>-85000</v>
      </c>
      <c r="D57" s="232">
        <f t="shared" ref="D57:M57" si="24">D51</f>
        <v>0</v>
      </c>
      <c r="E57" s="232">
        <f t="shared" si="24"/>
        <v>0</v>
      </c>
      <c r="F57" s="232">
        <f t="shared" si="24"/>
        <v>0</v>
      </c>
      <c r="G57" s="232">
        <f t="shared" si="24"/>
        <v>0</v>
      </c>
      <c r="H57" s="232">
        <f t="shared" si="24"/>
        <v>0</v>
      </c>
      <c r="I57" s="232">
        <f t="shared" si="24"/>
        <v>0</v>
      </c>
      <c r="J57" s="232">
        <f t="shared" si="24"/>
        <v>0</v>
      </c>
      <c r="K57" s="232">
        <f t="shared" si="24"/>
        <v>0</v>
      </c>
      <c r="L57" s="232">
        <f t="shared" si="24"/>
        <v>0</v>
      </c>
      <c r="M57" s="232">
        <f t="shared" si="24"/>
        <v>0</v>
      </c>
      <c r="N57" s="232"/>
    </row>
    <row r="58" ht="15.75" customHeight="1">
      <c r="A58" s="54"/>
      <c r="B58" s="230" t="s">
        <v>394</v>
      </c>
      <c r="C58" s="233">
        <f t="shared" si="25"/>
        <v>830000</v>
      </c>
      <c r="D58" s="234">
        <f t="shared" ref="D58:M58" si="26">D52</f>
        <v>0</v>
      </c>
      <c r="E58" s="234">
        <f t="shared" si="26"/>
        <v>0</v>
      </c>
      <c r="F58" s="234">
        <f t="shared" si="26"/>
        <v>0</v>
      </c>
      <c r="G58" s="234">
        <f t="shared" si="26"/>
        <v>0</v>
      </c>
      <c r="H58" s="234">
        <f t="shared" si="26"/>
        <v>0</v>
      </c>
      <c r="I58" s="234">
        <f t="shared" si="26"/>
        <v>0</v>
      </c>
      <c r="J58" s="234">
        <f t="shared" si="26"/>
        <v>0</v>
      </c>
      <c r="K58" s="234">
        <f t="shared" si="26"/>
        <v>0</v>
      </c>
      <c r="L58" s="234">
        <f t="shared" si="26"/>
        <v>0</v>
      </c>
      <c r="M58" s="234">
        <f t="shared" si="26"/>
        <v>0</v>
      </c>
      <c r="N58" s="234"/>
    </row>
    <row r="59" ht="15.75" customHeight="1">
      <c r="A59" s="54"/>
      <c r="B59" s="230" t="s">
        <v>395</v>
      </c>
      <c r="C59" s="233">
        <f t="shared" si="25"/>
        <v>745000</v>
      </c>
      <c r="D59" s="234">
        <f t="shared" ref="D59:M59" si="27">D53</f>
        <v>0</v>
      </c>
      <c r="E59" s="234">
        <f t="shared" si="27"/>
        <v>0</v>
      </c>
      <c r="F59" s="234">
        <f t="shared" si="27"/>
        <v>0</v>
      </c>
      <c r="G59" s="234">
        <f t="shared" si="27"/>
        <v>0</v>
      </c>
      <c r="H59" s="234">
        <f t="shared" si="27"/>
        <v>0</v>
      </c>
      <c r="I59" s="234">
        <f t="shared" si="27"/>
        <v>0</v>
      </c>
      <c r="J59" s="234">
        <f t="shared" si="27"/>
        <v>0</v>
      </c>
      <c r="K59" s="234">
        <f t="shared" si="27"/>
        <v>0</v>
      </c>
      <c r="L59" s="234">
        <f t="shared" si="27"/>
        <v>0</v>
      </c>
      <c r="M59" s="234">
        <f t="shared" si="27"/>
        <v>0</v>
      </c>
      <c r="N59" s="234"/>
    </row>
    <row r="60" ht="15.75" customHeight="1">
      <c r="A60" s="54"/>
      <c r="B60" s="5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</row>
    <row r="61" ht="15.75" customHeight="1">
      <c r="A61" s="54"/>
      <c r="B61" s="241" t="s">
        <v>396</v>
      </c>
      <c r="C61" s="244"/>
      <c r="D61" s="245"/>
      <c r="E61" s="245"/>
      <c r="F61" s="245"/>
      <c r="G61" s="245"/>
      <c r="H61" s="245"/>
      <c r="I61" s="245"/>
      <c r="J61" s="245"/>
      <c r="K61" s="245"/>
      <c r="L61" s="245"/>
      <c r="M61" s="245"/>
      <c r="N61" s="246"/>
    </row>
    <row r="62" ht="15.75" customHeight="1">
      <c r="A62" s="54"/>
      <c r="B62" s="230" t="s">
        <v>397</v>
      </c>
      <c r="C62" s="265" t="str">
        <f>IFERROR(IRR(C57),"-")</f>
        <v>-</v>
      </c>
      <c r="D62" s="266" t="str">
        <f>IFERROR(IRR(C57:D57),"-")</f>
        <v>-</v>
      </c>
      <c r="E62" s="266" t="str">
        <f>IFERROR(IRR(C57:E57),"-")</f>
        <v>-</v>
      </c>
      <c r="F62" s="266" t="str">
        <f>IFERROR(IRR(C57:F57),"-")</f>
        <v>-</v>
      </c>
      <c r="G62" s="266" t="str">
        <f>IFERROR(IRR(C57:G57),"-")</f>
        <v>-</v>
      </c>
      <c r="H62" s="266" t="str">
        <f>IFERROR(IRR(C57:H57),"-")</f>
        <v>-</v>
      </c>
      <c r="I62" s="266" t="str">
        <f>IFERROR(IRR(C57:I57),"-")</f>
        <v>-</v>
      </c>
      <c r="J62" s="266" t="str">
        <f>IFERROR(IRR(C57:J57),"-")</f>
        <v>-</v>
      </c>
      <c r="K62" s="266" t="str">
        <f>IFERROR(IRR(C57:K57),"-")</f>
        <v>-</v>
      </c>
      <c r="L62" s="266" t="str">
        <f>IFERROR(IRR(C57:L57),"-")</f>
        <v>-</v>
      </c>
      <c r="M62" s="266" t="str">
        <f>IFERROR(IRR(C57:M57),"-")</f>
        <v>-</v>
      </c>
      <c r="N62" s="267" t="str">
        <f>IFERROR(IRR(C57:M57),"-")</f>
        <v>-</v>
      </c>
    </row>
    <row r="63" ht="15.75" customHeight="1">
      <c r="A63" s="54"/>
      <c r="B63" s="230" t="s">
        <v>398</v>
      </c>
      <c r="C63" s="268">
        <f>IFERROR(-SUM(C51)/C12,"-")</f>
        <v>0</v>
      </c>
      <c r="D63" s="269">
        <f>IFERROR(-SUM(C51:D51)/C12,"-")</f>
        <v>0</v>
      </c>
      <c r="E63" s="269">
        <f>IFERROR(-SUM(C51:E51)/C12,"-")</f>
        <v>0</v>
      </c>
      <c r="F63" s="269">
        <f>IFERROR(-SUM(C51:F51)/C12,"-")</f>
        <v>0</v>
      </c>
      <c r="G63" s="269">
        <f>IFERROR(-SUM(C51:G51)/C12,"-")</f>
        <v>0</v>
      </c>
      <c r="H63" s="269">
        <f>IFERROR(-SUM(C51:H51)/C12,"-")</f>
        <v>0</v>
      </c>
      <c r="I63" s="269">
        <f>IFERROR(-SUM(C51:I51)/C12,"-")</f>
        <v>0</v>
      </c>
      <c r="J63" s="269">
        <f>IFERROR(-SUM(C51:J51)/C12,"-")</f>
        <v>0</v>
      </c>
      <c r="K63" s="269">
        <f>IFERROR(-SUM(C51:K51)/C12,"-")</f>
        <v>0</v>
      </c>
      <c r="L63" s="269">
        <f>IFERROR(-SUM(C51:L51)/C12,"-")</f>
        <v>0</v>
      </c>
      <c r="M63" s="269">
        <f>IFERROR(-SUM(C51:M51)/C12,"-")</f>
        <v>0</v>
      </c>
      <c r="N63" s="270">
        <f>IFERROR(-N51/C12,"-")</f>
        <v>0</v>
      </c>
    </row>
    <row r="64" ht="15.75" customHeight="1">
      <c r="A64" s="54"/>
      <c r="B64" s="230" t="s">
        <v>399</v>
      </c>
      <c r="C64" s="233">
        <f>SUM(C51)</f>
        <v>0</v>
      </c>
      <c r="D64" s="234">
        <f>SUM(C51:D51)</f>
        <v>0</v>
      </c>
      <c r="E64" s="234">
        <f>SUM(C51:E51)</f>
        <v>0</v>
      </c>
      <c r="F64" s="234">
        <f>SUM(C51:F51)</f>
        <v>0</v>
      </c>
      <c r="G64" s="234">
        <f>SUM(C51:G51)</f>
        <v>0</v>
      </c>
      <c r="H64" s="234">
        <f>SUM(C51:H51)</f>
        <v>0</v>
      </c>
      <c r="I64" s="234">
        <f>SUM(C51:I51)</f>
        <v>0</v>
      </c>
      <c r="J64" s="234">
        <f>SUM(C51:J51)</f>
        <v>0</v>
      </c>
      <c r="K64" s="234">
        <f>SUM(C51:K51)</f>
        <v>0</v>
      </c>
      <c r="L64" s="234">
        <f>SUM(C51:L51)</f>
        <v>0</v>
      </c>
      <c r="M64" s="234">
        <f>SUM(C51:M51)</f>
        <v>0</v>
      </c>
      <c r="N64" s="271">
        <f>N51</f>
        <v>0</v>
      </c>
    </row>
    <row r="65" ht="15.75" customHeight="1">
      <c r="A65" s="54"/>
      <c r="B65" s="5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</row>
    <row r="66" ht="15.75" customHeight="1">
      <c r="A66" s="54"/>
      <c r="B66" s="241" t="s">
        <v>400</v>
      </c>
      <c r="C66" s="244"/>
      <c r="D66" s="245"/>
      <c r="E66" s="245"/>
      <c r="F66" s="245"/>
      <c r="G66" s="245"/>
      <c r="H66" s="245"/>
      <c r="I66" s="245"/>
      <c r="J66" s="245"/>
      <c r="K66" s="245"/>
      <c r="L66" s="245"/>
      <c r="M66" s="245"/>
      <c r="N66" s="246"/>
    </row>
    <row r="67" ht="15.75" customHeight="1">
      <c r="A67" s="54"/>
      <c r="B67" s="230" t="s">
        <v>401</v>
      </c>
      <c r="C67" s="265" t="str">
        <f>IFERROR(IRR(C58),"-")</f>
        <v>-</v>
      </c>
      <c r="D67" s="266" t="str">
        <f>IFERROR(IRR(C58:D58),"-")</f>
        <v>-</v>
      </c>
      <c r="E67" s="266" t="str">
        <f>IFERROR(IRR(C58:E58),"-")</f>
        <v>-</v>
      </c>
      <c r="F67" s="266" t="str">
        <f>IFERROR(IRR(C58:F58),"-")</f>
        <v>-</v>
      </c>
      <c r="G67" s="266" t="str">
        <f>IFERROR(IRR(C58:G58),"-")</f>
        <v>-</v>
      </c>
      <c r="H67" s="266" t="str">
        <f>IFERROR(IRR(C58:H58),"-")</f>
        <v>-</v>
      </c>
      <c r="I67" s="266" t="str">
        <f>IFERROR(IRR(C58:I58),"-")</f>
        <v>-</v>
      </c>
      <c r="J67" s="266" t="str">
        <f>IFERROR(IRR(C58:J58),"-")</f>
        <v>-</v>
      </c>
      <c r="K67" s="266" t="str">
        <f>IFERROR(IRR(C58:K58),"-")</f>
        <v>-</v>
      </c>
      <c r="L67" s="266" t="str">
        <f>IFERROR(IRR(C58:L58),"-")</f>
        <v>-</v>
      </c>
      <c r="M67" s="266" t="str">
        <f>IFERROR(IRR(C58:M58),"-")</f>
        <v>-</v>
      </c>
      <c r="N67" s="267" t="str">
        <f>IFERROR(IRR(C58:M58),"-")</f>
        <v>-</v>
      </c>
    </row>
    <row r="68" ht="15.75" customHeight="1">
      <c r="A68" s="54"/>
      <c r="B68" s="230" t="s">
        <v>402</v>
      </c>
      <c r="C68" s="268">
        <f>IFERROR(-SUM(C52)/C13,"-")</f>
        <v>0</v>
      </c>
      <c r="D68" s="269">
        <f>IFERROR(-SUM(C52:D52)/C13,"-")</f>
        <v>0</v>
      </c>
      <c r="E68" s="269">
        <f>IFERROR(-SUM(C52:E52)/C13,"-")</f>
        <v>0</v>
      </c>
      <c r="F68" s="269">
        <f>IFERROR(-SUM(C52:F52)/C13,"-")</f>
        <v>0</v>
      </c>
      <c r="G68" s="269">
        <f>IFERROR(-SUM(C52:G52)/C13,"-")</f>
        <v>0</v>
      </c>
      <c r="H68" s="269">
        <f>IFERROR(-SUM(C52:H52)/C13,"-")</f>
        <v>0</v>
      </c>
      <c r="I68" s="269">
        <f>IFERROR(-SUM(C52:I52)/C13,"-")</f>
        <v>0</v>
      </c>
      <c r="J68" s="269">
        <f>IFERROR(-SUM(C52:J52)/C13,"-")</f>
        <v>0</v>
      </c>
      <c r="K68" s="269">
        <f>IFERROR(-SUM(C52:K52)/C13,"-")</f>
        <v>0</v>
      </c>
      <c r="L68" s="269">
        <f>IFERROR(-SUM(C52:L52)/C13,"-")</f>
        <v>0</v>
      </c>
      <c r="M68" s="269">
        <f>IFERROR(-SUM(C52:M52)/C13,"-")</f>
        <v>0</v>
      </c>
      <c r="N68" s="270">
        <f>IFERROR(-N52/C13,"-")</f>
        <v>0</v>
      </c>
    </row>
    <row r="69" ht="15.75" customHeight="1">
      <c r="A69" s="54"/>
      <c r="B69" s="230" t="s">
        <v>403</v>
      </c>
      <c r="C69" s="233">
        <f>SUM(C52)</f>
        <v>0</v>
      </c>
      <c r="D69" s="234">
        <f>SUM(C52:D52)</f>
        <v>0</v>
      </c>
      <c r="E69" s="234">
        <f>SUM(C52:E52)</f>
        <v>0</v>
      </c>
      <c r="F69" s="234">
        <f>SUM(C52:F52)</f>
        <v>0</v>
      </c>
      <c r="G69" s="234">
        <f>SUM(C52:G52)</f>
        <v>0</v>
      </c>
      <c r="H69" s="234">
        <f>SUM(C52:H52)</f>
        <v>0</v>
      </c>
      <c r="I69" s="234">
        <f>SUM(C52:I52)</f>
        <v>0</v>
      </c>
      <c r="J69" s="234">
        <f>SUM(C52:J52)</f>
        <v>0</v>
      </c>
      <c r="K69" s="234">
        <f>SUM(C52:K52)</f>
        <v>0</v>
      </c>
      <c r="L69" s="234">
        <f>SUM(C52:L52)</f>
        <v>0</v>
      </c>
      <c r="M69" s="234">
        <f>SUM(C52:M52)</f>
        <v>0</v>
      </c>
      <c r="N69" s="271">
        <f>N52</f>
        <v>0</v>
      </c>
    </row>
    <row r="70" ht="15.75" customHeight="1">
      <c r="A70" s="54"/>
      <c r="B70" s="5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</row>
    <row r="71" ht="15.75" customHeight="1">
      <c r="A71" s="54"/>
      <c r="B71" s="241" t="s">
        <v>404</v>
      </c>
      <c r="C71" s="244"/>
      <c r="D71" s="245"/>
      <c r="E71" s="245"/>
      <c r="F71" s="245"/>
      <c r="G71" s="245"/>
      <c r="H71" s="245"/>
      <c r="I71" s="245"/>
      <c r="J71" s="245"/>
      <c r="K71" s="245"/>
      <c r="L71" s="245"/>
      <c r="M71" s="245"/>
      <c r="N71" s="246"/>
    </row>
    <row r="72" ht="15.75" customHeight="1">
      <c r="A72" s="54"/>
      <c r="B72" s="230" t="s">
        <v>61</v>
      </c>
      <c r="C72" s="265" t="str">
        <f>IFERROR(IRR(C59),"-")</f>
        <v>-</v>
      </c>
      <c r="D72" s="266" t="str">
        <f>IFERROR(IRR(C59:D59),"-")</f>
        <v>-</v>
      </c>
      <c r="E72" s="266" t="str">
        <f>IFERROR(IRR(C59:E59),"-")</f>
        <v>-</v>
      </c>
      <c r="F72" s="266" t="str">
        <f>IFERROR(IRR(C59:F59),"-")</f>
        <v>-</v>
      </c>
      <c r="G72" s="266" t="str">
        <f>IFERROR(IRR(C59:G59),"-")</f>
        <v>-</v>
      </c>
      <c r="H72" s="266" t="str">
        <f>IFERROR(IRR(C59:H59),"-")</f>
        <v>-</v>
      </c>
      <c r="I72" s="266" t="str">
        <f>IFERROR(IRR(C59:I59),"-")</f>
        <v>-</v>
      </c>
      <c r="J72" s="266" t="str">
        <f>IFERROR(IRR(C59:J59),"-")</f>
        <v>-</v>
      </c>
      <c r="K72" s="266" t="str">
        <f>IFERROR(IRR(C59:K59),"-")</f>
        <v>-</v>
      </c>
      <c r="L72" s="266" t="str">
        <f>IFERROR(IRR(C59:L59),"-")</f>
        <v>-</v>
      </c>
      <c r="M72" s="266" t="str">
        <f>IFERROR(IRR(C59:M59),"-")</f>
        <v>-</v>
      </c>
      <c r="N72" s="267" t="str">
        <f>IFERROR(IRR(C59:M59),"-")</f>
        <v>-</v>
      </c>
    </row>
    <row r="73" ht="15.75" customHeight="1">
      <c r="A73" s="54"/>
      <c r="B73" s="230" t="s">
        <v>62</v>
      </c>
      <c r="C73" s="272">
        <f>IFERROR(-SUM(C53)/C14,"-")</f>
        <v>0</v>
      </c>
      <c r="D73" s="273">
        <f>IFERROR(-SUM(C53:D53)/C14,"-")</f>
        <v>0</v>
      </c>
      <c r="E73" s="273">
        <f>IFERROR(-SUM(C53:E53)/C14,"-")</f>
        <v>0</v>
      </c>
      <c r="F73" s="273">
        <f>IFERROR(-SUM(C53:F53)/C14,"-")</f>
        <v>0</v>
      </c>
      <c r="G73" s="273">
        <f>IFERROR(-SUM(C53:G53)/C14,"-")</f>
        <v>0</v>
      </c>
      <c r="H73" s="273">
        <f>IFERROR(-SUM(C53:H53)/C14,"-")</f>
        <v>0</v>
      </c>
      <c r="I73" s="273">
        <f>IFERROR(-SUM(C53:I53)/C14,"-")</f>
        <v>0</v>
      </c>
      <c r="J73" s="273">
        <f>IFERROR(-SUM(C53:J53)/C14,"-")</f>
        <v>0</v>
      </c>
      <c r="K73" s="273">
        <f>IFERROR(-SUM(C53:K53)/C14,"-")</f>
        <v>0</v>
      </c>
      <c r="L73" s="273">
        <f>IFERROR(-SUM(C53:L53)/C14,"-")</f>
        <v>0</v>
      </c>
      <c r="M73" s="273">
        <f>IFERROR(-SUM(C53:M53)/C14,"-")</f>
        <v>0</v>
      </c>
      <c r="N73" s="274">
        <f>IFERROR(-N53/C14,"-")</f>
        <v>0</v>
      </c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printOptions/>
  <pageMargins bottom="0.75" footer="0.0" header="0.0" left="0.7" right="0.7" top="0.75"/>
  <pageSetup orientation="landscape"/>
  <drawing r:id="rId1"/>
</worksheet>
</file>